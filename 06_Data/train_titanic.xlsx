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3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Ex3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Ex4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5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tables/table4.xml" ContentType="application/vnd.openxmlformats-officedocument.spreadsheetml.table+xml"/>
  <Override PartName="/xl/pivotTables/pivotTable3.xml" ContentType="application/vnd.openxmlformats-officedocument.spreadsheetml.pivotTable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charts/chartEx6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drawings/drawing9.xml" ContentType="application/vnd.openxmlformats-officedocument.drawing+xml"/>
  <Override PartName="/xl/charts/chartEx7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drawings/drawing10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pivotTables/pivotTable4.xml" ContentType="application/vnd.openxmlformats-officedocument.spreadsheetml.pivotTable+xml"/>
  <Override PartName="/xl/drawings/drawing11.xml" ContentType="application/vnd.openxmlformats-officedocument.drawing+xml"/>
  <Override PartName="/xl/charts/chartEx8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Ex9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Ex10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drawings/drawing12.xml" ContentType="application/vnd.openxmlformats-officedocument.drawing+xml"/>
  <Override PartName="/xl/charts/chartEx11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angyu027/Library/CloudStorage/Dropbox/Academia/UCI_Teaching/UCI_425.89_Business_analytics/Codebooks/"/>
    </mc:Choice>
  </mc:AlternateContent>
  <xr:revisionPtr revIDLastSave="0" documentId="13_ncr:1_{80528AD8-FAA4-1B45-9B59-9EA4FDCA4DFA}" xr6:coauthVersionLast="47" xr6:coauthVersionMax="47" xr10:uidLastSave="{00000000-0000-0000-0000-000000000000}"/>
  <bookViews>
    <workbookView xWindow="20" yWindow="500" windowWidth="38120" windowHeight="19620" activeTab="18" xr2:uid="{00000000-000D-0000-FFFF-FFFF00000000}"/>
  </bookViews>
  <sheets>
    <sheet name="train" sheetId="1" r:id="rId1"/>
    <sheet name="Sheet11" sheetId="33" r:id="rId2"/>
    <sheet name="Sheet10" sheetId="32" r:id="rId3"/>
    <sheet name="Sheet4" sheetId="26" r:id="rId4"/>
    <sheet name="Sheet12" sheetId="34" r:id="rId5"/>
    <sheet name="pivot_t2" sheetId="25" r:id="rId6"/>
    <sheet name="Sheet8" sheetId="30" r:id="rId7"/>
    <sheet name="Sheet9" sheetId="31" r:id="rId8"/>
    <sheet name="t2" sheetId="24" r:id="rId9"/>
    <sheet name="histogram" sheetId="23" r:id="rId10"/>
    <sheet name="Sheet5" sheetId="27" r:id="rId11"/>
    <sheet name="pivotal" sheetId="20" r:id="rId12"/>
    <sheet name="univariate" sheetId="5" r:id="rId13"/>
    <sheet name="percentiles" sheetId="21" r:id="rId14"/>
    <sheet name="Boxplots" sheetId="2" r:id="rId15"/>
    <sheet name="Sheet1" sheetId="19" r:id="rId16"/>
    <sheet name="regression" sheetId="16" r:id="rId17"/>
    <sheet name="pivtol_t3" sheetId="37" r:id="rId18"/>
    <sheet name="t3" sheetId="36" r:id="rId19"/>
    <sheet name="two-samples t test" sheetId="18" r:id="rId20"/>
    <sheet name="Correlation Table" sheetId="4" r:id="rId21"/>
    <sheet name="EDA" sheetId="3" r:id="rId22"/>
  </sheets>
  <definedNames>
    <definedName name="_xlnm._FilterDatabase" localSheetId="18" hidden="1">'t3'!$D$1:$D$894</definedName>
    <definedName name="_xlchart.v1.0" hidden="1">Sheet10!$B$1:$B$893</definedName>
    <definedName name="_xlchart.v1.1" hidden="1">Sheet10!$A$1:$A$878</definedName>
    <definedName name="_xlchart.v1.10" hidden="1">Sheet1!$A$2:$A$892</definedName>
    <definedName name="_xlchart.v1.11" hidden="1">Sheet1!$B$1</definedName>
    <definedName name="_xlchart.v1.12" hidden="1">Sheet1!$B$2:$B$892</definedName>
    <definedName name="_xlchart.v1.13" hidden="1">'t3'!$C$1</definedName>
    <definedName name="_xlchart.v1.14" hidden="1">'t3'!$C$2:$C$887</definedName>
    <definedName name="_xlchart.v1.15" hidden="1">'t3'!$D$1</definedName>
    <definedName name="_xlchart.v1.16" hidden="1">'t3'!$D$2:$D$887</definedName>
    <definedName name="_xlchart.v1.17" hidden="1">'t3'!$E$1</definedName>
    <definedName name="_xlchart.v1.18" hidden="1">'t3'!$E$2:$E$887</definedName>
    <definedName name="_xlchart.v1.19" hidden="1">'t3'!$E$1</definedName>
    <definedName name="_xlchart.v1.2" hidden="1">'t2'!$A$2:$A$889</definedName>
    <definedName name="_xlchart.v1.20" hidden="1">'t3'!$E$2:$E$894</definedName>
    <definedName name="_xlchart.v1.21" hidden="1">'t3'!$D$1</definedName>
    <definedName name="_xlchart.v1.22" hidden="1">'t3'!$D$2:$D$894</definedName>
    <definedName name="_xlchart.v1.23" hidden="1">EDA!$B$1</definedName>
    <definedName name="_xlchart.v1.24" hidden="1">EDA!$B$2:$B$892</definedName>
    <definedName name="_xlchart.v1.3" hidden="1">'t2'!$B$1</definedName>
    <definedName name="_xlchart.v1.4" hidden="1">'t2'!$B$2:$B$889</definedName>
    <definedName name="_xlchart.v1.5" hidden="1">histogram!$B$1:$B$891</definedName>
    <definedName name="_xlchart.v1.6" hidden="1">histogram!$A$1:$A$891</definedName>
    <definedName name="_xlchart.v1.7" hidden="1">Boxplots!$A$2:$A$892</definedName>
    <definedName name="_xlchart.v1.8" hidden="1">Boxplots!$B$1</definedName>
    <definedName name="_xlchart.v1.9" hidden="1">Boxplots!$B$2:$B$892</definedName>
  </definedNames>
  <calcPr calcId="191029"/>
  <pivotCaches>
    <pivotCache cacheId="0" r:id="rId23"/>
    <pivotCache cacheId="1" r:id="rId24"/>
    <pivotCache cacheId="2" r:id="rId2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6" l="1"/>
  <c r="D4" i="36"/>
  <c r="D5" i="36"/>
  <c r="D6" i="36"/>
  <c r="D7" i="36"/>
  <c r="D8" i="36"/>
  <c r="D9" i="36"/>
  <c r="D10" i="36"/>
  <c r="D11" i="36"/>
  <c r="D12" i="36"/>
  <c r="D13" i="36"/>
  <c r="D14" i="36"/>
  <c r="D15" i="36"/>
  <c r="D16" i="36"/>
  <c r="D17" i="36"/>
  <c r="D18" i="36"/>
  <c r="D19" i="36"/>
  <c r="D20" i="36"/>
  <c r="D21" i="36"/>
  <c r="D22" i="36"/>
  <c r="D23" i="36"/>
  <c r="D24" i="36"/>
  <c r="D25" i="36"/>
  <c r="D26" i="36"/>
  <c r="D27" i="36"/>
  <c r="D28" i="36"/>
  <c r="D29" i="36"/>
  <c r="D30" i="36"/>
  <c r="D31" i="36"/>
  <c r="D32" i="36"/>
  <c r="D33" i="36"/>
  <c r="D34" i="36"/>
  <c r="D35" i="36"/>
  <c r="D36" i="36"/>
  <c r="D37" i="36"/>
  <c r="D38" i="36"/>
  <c r="D39" i="36"/>
  <c r="D40" i="36"/>
  <c r="D41" i="36"/>
  <c r="D42" i="36"/>
  <c r="D43" i="36"/>
  <c r="D44" i="36"/>
  <c r="D45" i="36"/>
  <c r="D46" i="36"/>
  <c r="D47" i="36"/>
  <c r="D48" i="36"/>
  <c r="D49" i="36"/>
  <c r="D50" i="36"/>
  <c r="D51" i="36"/>
  <c r="D52" i="36"/>
  <c r="D53" i="36"/>
  <c r="D54" i="36"/>
  <c r="D55" i="36"/>
  <c r="D56" i="36"/>
  <c r="D57" i="36"/>
  <c r="D58" i="36"/>
  <c r="D59" i="36"/>
  <c r="D60" i="36"/>
  <c r="D61" i="36"/>
  <c r="D62" i="36"/>
  <c r="D63" i="36"/>
  <c r="D64" i="36"/>
  <c r="D65" i="36"/>
  <c r="D66" i="36"/>
  <c r="D67" i="36"/>
  <c r="D68" i="36"/>
  <c r="D69" i="36"/>
  <c r="D70" i="36"/>
  <c r="D71" i="36"/>
  <c r="D72" i="36"/>
  <c r="D73" i="36"/>
  <c r="D74" i="36"/>
  <c r="D75" i="36"/>
  <c r="D76" i="36"/>
  <c r="D77" i="36"/>
  <c r="D78" i="36"/>
  <c r="D79" i="36"/>
  <c r="D80" i="36"/>
  <c r="D81" i="36"/>
  <c r="D82" i="36"/>
  <c r="D83" i="36"/>
  <c r="D84" i="36"/>
  <c r="D85" i="36"/>
  <c r="D86" i="36"/>
  <c r="D87" i="36"/>
  <c r="D88" i="36"/>
  <c r="D89" i="36"/>
  <c r="D90" i="36"/>
  <c r="D91" i="36"/>
  <c r="D92" i="36"/>
  <c r="D93" i="36"/>
  <c r="D94" i="36"/>
  <c r="D95" i="36"/>
  <c r="D96" i="36"/>
  <c r="D97" i="36"/>
  <c r="D98" i="36"/>
  <c r="D99" i="36"/>
  <c r="D100" i="36"/>
  <c r="D101" i="36"/>
  <c r="D102" i="36"/>
  <c r="D103" i="36"/>
  <c r="D104" i="36"/>
  <c r="D105" i="36"/>
  <c r="D106" i="36"/>
  <c r="D107" i="36"/>
  <c r="D108" i="36"/>
  <c r="D109" i="36"/>
  <c r="D110" i="36"/>
  <c r="D111" i="36"/>
  <c r="D112" i="36"/>
  <c r="D113" i="36"/>
  <c r="D114" i="36"/>
  <c r="D115" i="36"/>
  <c r="D116" i="36"/>
  <c r="D117" i="36"/>
  <c r="D118" i="36"/>
  <c r="D119" i="36"/>
  <c r="D120" i="36"/>
  <c r="D121" i="36"/>
  <c r="D122" i="36"/>
  <c r="D123" i="36"/>
  <c r="D124" i="36"/>
  <c r="D125" i="36"/>
  <c r="D126" i="36"/>
  <c r="D127" i="36"/>
  <c r="D128" i="36"/>
  <c r="D129" i="36"/>
  <c r="D130" i="36"/>
  <c r="D131" i="36"/>
  <c r="D132" i="36"/>
  <c r="D133" i="36"/>
  <c r="D134" i="36"/>
  <c r="D135" i="36"/>
  <c r="D136" i="36"/>
  <c r="D137" i="36"/>
  <c r="D138" i="36"/>
  <c r="D139" i="36"/>
  <c r="D140" i="36"/>
  <c r="D141" i="36"/>
  <c r="D142" i="36"/>
  <c r="D143" i="36"/>
  <c r="D144" i="36"/>
  <c r="D145" i="36"/>
  <c r="D146" i="36"/>
  <c r="D147" i="36"/>
  <c r="D148" i="36"/>
  <c r="D149" i="36"/>
  <c r="D150" i="36"/>
  <c r="D151" i="36"/>
  <c r="D152" i="36"/>
  <c r="D153" i="36"/>
  <c r="D154" i="36"/>
  <c r="D155" i="36"/>
  <c r="D156" i="36"/>
  <c r="D157" i="36"/>
  <c r="D158" i="36"/>
  <c r="D159" i="36"/>
  <c r="D160" i="36"/>
  <c r="D161" i="36"/>
  <c r="D162" i="36"/>
  <c r="D163" i="36"/>
  <c r="D164" i="36"/>
  <c r="D165" i="36"/>
  <c r="D166" i="36"/>
  <c r="D167" i="36"/>
  <c r="D168" i="36"/>
  <c r="D169" i="36"/>
  <c r="D170" i="36"/>
  <c r="D171" i="36"/>
  <c r="D172" i="36"/>
  <c r="D173" i="36"/>
  <c r="D174" i="36"/>
  <c r="D175" i="36"/>
  <c r="D176" i="36"/>
  <c r="D177" i="36"/>
  <c r="D178" i="36"/>
  <c r="D179" i="36"/>
  <c r="D180" i="36"/>
  <c r="D181" i="36"/>
  <c r="D182" i="36"/>
  <c r="D183" i="36"/>
  <c r="D184" i="36"/>
  <c r="D185" i="36"/>
  <c r="D186" i="36"/>
  <c r="D187" i="36"/>
  <c r="D188" i="36"/>
  <c r="D189" i="36"/>
  <c r="D190" i="36"/>
  <c r="D191" i="36"/>
  <c r="D192" i="36"/>
  <c r="D193" i="36"/>
  <c r="D194" i="36"/>
  <c r="D195" i="36"/>
  <c r="D196" i="36"/>
  <c r="D197" i="36"/>
  <c r="D198" i="36"/>
  <c r="D199" i="36"/>
  <c r="D200" i="36"/>
  <c r="D201" i="36"/>
  <c r="D202" i="36"/>
  <c r="D203" i="36"/>
  <c r="D204" i="36"/>
  <c r="D205" i="36"/>
  <c r="D206" i="36"/>
  <c r="D207" i="36"/>
  <c r="D208" i="36"/>
  <c r="D209" i="36"/>
  <c r="D210" i="36"/>
  <c r="D211" i="36"/>
  <c r="D212" i="36"/>
  <c r="D213" i="36"/>
  <c r="D214" i="36"/>
  <c r="D215" i="36"/>
  <c r="D216" i="36"/>
  <c r="D217" i="36"/>
  <c r="D218" i="36"/>
  <c r="D219" i="36"/>
  <c r="D220" i="36"/>
  <c r="D221" i="36"/>
  <c r="D222" i="36"/>
  <c r="D223" i="36"/>
  <c r="D224" i="36"/>
  <c r="D225" i="36"/>
  <c r="D226" i="36"/>
  <c r="D227" i="36"/>
  <c r="D228" i="36"/>
  <c r="D229" i="36"/>
  <c r="D230" i="36"/>
  <c r="D231" i="36"/>
  <c r="D232" i="36"/>
  <c r="D233" i="36"/>
  <c r="D234" i="36"/>
  <c r="D235" i="36"/>
  <c r="D236" i="36"/>
  <c r="D237" i="36"/>
  <c r="D238" i="36"/>
  <c r="D239" i="36"/>
  <c r="D240" i="36"/>
  <c r="D241" i="36"/>
  <c r="D242" i="36"/>
  <c r="D243" i="36"/>
  <c r="D244" i="36"/>
  <c r="D245" i="36"/>
  <c r="D246" i="36"/>
  <c r="D247" i="36"/>
  <c r="D248" i="36"/>
  <c r="D249" i="36"/>
  <c r="D250" i="36"/>
  <c r="D251" i="36"/>
  <c r="D252" i="36"/>
  <c r="D253" i="36"/>
  <c r="D254" i="36"/>
  <c r="D255" i="36"/>
  <c r="D256" i="36"/>
  <c r="D257" i="36"/>
  <c r="D258" i="36"/>
  <c r="D259" i="36"/>
  <c r="D260" i="36"/>
  <c r="D261" i="36"/>
  <c r="D262" i="36"/>
  <c r="D263" i="36"/>
  <c r="D264" i="36"/>
  <c r="D265" i="36"/>
  <c r="D266" i="36"/>
  <c r="D267" i="36"/>
  <c r="D268" i="36"/>
  <c r="D269" i="36"/>
  <c r="D270" i="36"/>
  <c r="D271" i="36"/>
  <c r="D272" i="36"/>
  <c r="D273" i="36"/>
  <c r="D274" i="36"/>
  <c r="D275" i="36"/>
  <c r="D276" i="36"/>
  <c r="D277" i="36"/>
  <c r="D278" i="36"/>
  <c r="D279" i="36"/>
  <c r="D280" i="36"/>
  <c r="D281" i="36"/>
  <c r="D282" i="36"/>
  <c r="D283" i="36"/>
  <c r="D284" i="36"/>
  <c r="D285" i="36"/>
  <c r="D286" i="36"/>
  <c r="D287" i="36"/>
  <c r="D288" i="36"/>
  <c r="D289" i="36"/>
  <c r="D290" i="36"/>
  <c r="D291" i="36"/>
  <c r="D292" i="36"/>
  <c r="D293" i="36"/>
  <c r="D294" i="36"/>
  <c r="D295" i="36"/>
  <c r="D296" i="36"/>
  <c r="D297" i="36"/>
  <c r="D298" i="36"/>
  <c r="D299" i="36"/>
  <c r="D300" i="36"/>
  <c r="D301" i="36"/>
  <c r="D302" i="36"/>
  <c r="D303" i="36"/>
  <c r="D304" i="36"/>
  <c r="D305" i="36"/>
  <c r="D306" i="36"/>
  <c r="D307" i="36"/>
  <c r="D308" i="36"/>
  <c r="D309" i="36"/>
  <c r="D310" i="36"/>
  <c r="D311" i="36"/>
  <c r="D312" i="36"/>
  <c r="D313" i="36"/>
  <c r="D314" i="36"/>
  <c r="D315" i="36"/>
  <c r="D316" i="36"/>
  <c r="D317" i="36"/>
  <c r="D318" i="36"/>
  <c r="D319" i="36"/>
  <c r="D320" i="36"/>
  <c r="D321" i="36"/>
  <c r="D322" i="36"/>
  <c r="D323" i="36"/>
  <c r="D324" i="36"/>
  <c r="D325" i="36"/>
  <c r="D326" i="36"/>
  <c r="D327" i="36"/>
  <c r="D328" i="36"/>
  <c r="D329" i="36"/>
  <c r="D330" i="36"/>
  <c r="D331" i="36"/>
  <c r="D332" i="36"/>
  <c r="D333" i="36"/>
  <c r="D334" i="36"/>
  <c r="D335" i="36"/>
  <c r="D336" i="36"/>
  <c r="D337" i="36"/>
  <c r="D338" i="36"/>
  <c r="D339" i="36"/>
  <c r="D340" i="36"/>
  <c r="D341" i="36"/>
  <c r="D342" i="36"/>
  <c r="D343" i="36"/>
  <c r="D344" i="36"/>
  <c r="D345" i="36"/>
  <c r="D346" i="36"/>
  <c r="D347" i="36"/>
  <c r="D348" i="36"/>
  <c r="D349" i="36"/>
  <c r="D350" i="36"/>
  <c r="D351" i="36"/>
  <c r="D352" i="36"/>
  <c r="D353" i="36"/>
  <c r="D354" i="36"/>
  <c r="D355" i="36"/>
  <c r="D356" i="36"/>
  <c r="D357" i="36"/>
  <c r="D358" i="36"/>
  <c r="D359" i="36"/>
  <c r="D360" i="36"/>
  <c r="D361" i="36"/>
  <c r="D362" i="36"/>
  <c r="D363" i="36"/>
  <c r="D364" i="36"/>
  <c r="D365" i="36"/>
  <c r="D366" i="36"/>
  <c r="D367" i="36"/>
  <c r="D368" i="36"/>
  <c r="D369" i="36"/>
  <c r="D370" i="36"/>
  <c r="D371" i="36"/>
  <c r="D372" i="36"/>
  <c r="D373" i="36"/>
  <c r="D374" i="36"/>
  <c r="D375" i="36"/>
  <c r="D376" i="36"/>
  <c r="D377" i="36"/>
  <c r="D378" i="36"/>
  <c r="D379" i="36"/>
  <c r="D380" i="36"/>
  <c r="D381" i="36"/>
  <c r="D382" i="36"/>
  <c r="D383" i="36"/>
  <c r="D384" i="36"/>
  <c r="D385" i="36"/>
  <c r="D386" i="36"/>
  <c r="D387" i="36"/>
  <c r="D388" i="36"/>
  <c r="D389" i="36"/>
  <c r="D390" i="36"/>
  <c r="D391" i="36"/>
  <c r="D392" i="36"/>
  <c r="D393" i="36"/>
  <c r="D394" i="36"/>
  <c r="D395" i="36"/>
  <c r="D396" i="36"/>
  <c r="D397" i="36"/>
  <c r="D398" i="36"/>
  <c r="D399" i="36"/>
  <c r="D400" i="36"/>
  <c r="D401" i="36"/>
  <c r="D402" i="36"/>
  <c r="D403" i="36"/>
  <c r="D404" i="36"/>
  <c r="D405" i="36"/>
  <c r="D406" i="36"/>
  <c r="D407" i="36"/>
  <c r="D408" i="36"/>
  <c r="D409" i="36"/>
  <c r="D410" i="36"/>
  <c r="D411" i="36"/>
  <c r="D412" i="36"/>
  <c r="D413" i="36"/>
  <c r="D414" i="36"/>
  <c r="D415" i="36"/>
  <c r="D416" i="36"/>
  <c r="D417" i="36"/>
  <c r="D418" i="36"/>
  <c r="D419" i="36"/>
  <c r="D420" i="36"/>
  <c r="D421" i="36"/>
  <c r="D422" i="36"/>
  <c r="D423" i="36"/>
  <c r="D424" i="36"/>
  <c r="D425" i="36"/>
  <c r="D426" i="36"/>
  <c r="D427" i="36"/>
  <c r="D428" i="36"/>
  <c r="D429" i="36"/>
  <c r="D430" i="36"/>
  <c r="D431" i="36"/>
  <c r="D432" i="36"/>
  <c r="D433" i="36"/>
  <c r="D434" i="36"/>
  <c r="D435" i="36"/>
  <c r="D436" i="36"/>
  <c r="D437" i="36"/>
  <c r="D438" i="36"/>
  <c r="D439" i="36"/>
  <c r="D440" i="36"/>
  <c r="D441" i="36"/>
  <c r="D442" i="36"/>
  <c r="D443" i="36"/>
  <c r="D444" i="36"/>
  <c r="D445" i="36"/>
  <c r="D446" i="36"/>
  <c r="D447" i="36"/>
  <c r="D448" i="36"/>
  <c r="D449" i="36"/>
  <c r="D450" i="36"/>
  <c r="D451" i="36"/>
  <c r="D452" i="36"/>
  <c r="D453" i="36"/>
  <c r="D454" i="36"/>
  <c r="D455" i="36"/>
  <c r="D456" i="36"/>
  <c r="D457" i="36"/>
  <c r="D458" i="36"/>
  <c r="D459" i="36"/>
  <c r="D460" i="36"/>
  <c r="D461" i="36"/>
  <c r="D462" i="36"/>
  <c r="D463" i="36"/>
  <c r="D464" i="36"/>
  <c r="D465" i="36"/>
  <c r="D466" i="36"/>
  <c r="D467" i="36"/>
  <c r="D468" i="36"/>
  <c r="D469" i="36"/>
  <c r="D470" i="36"/>
  <c r="D471" i="36"/>
  <c r="D472" i="36"/>
  <c r="D473" i="36"/>
  <c r="D474" i="36"/>
  <c r="D475" i="36"/>
  <c r="D476" i="36"/>
  <c r="D477" i="36"/>
  <c r="D478" i="36"/>
  <c r="D479" i="36"/>
  <c r="D480" i="36"/>
  <c r="D481" i="36"/>
  <c r="D482" i="36"/>
  <c r="D483" i="36"/>
  <c r="D484" i="36"/>
  <c r="D485" i="36"/>
  <c r="D486" i="36"/>
  <c r="D487" i="36"/>
  <c r="D488" i="36"/>
  <c r="D489" i="36"/>
  <c r="D490" i="36"/>
  <c r="D491" i="36"/>
  <c r="D492" i="36"/>
  <c r="D493" i="36"/>
  <c r="D494" i="36"/>
  <c r="D495" i="36"/>
  <c r="D496" i="36"/>
  <c r="D497" i="36"/>
  <c r="D498" i="36"/>
  <c r="D499" i="36"/>
  <c r="D500" i="36"/>
  <c r="D501" i="36"/>
  <c r="D502" i="36"/>
  <c r="D503" i="36"/>
  <c r="D504" i="36"/>
  <c r="D505" i="36"/>
  <c r="D506" i="36"/>
  <c r="D507" i="36"/>
  <c r="D508" i="36"/>
  <c r="D509" i="36"/>
  <c r="D510" i="36"/>
  <c r="D511" i="36"/>
  <c r="D512" i="36"/>
  <c r="D513" i="36"/>
  <c r="D514" i="36"/>
  <c r="D515" i="36"/>
  <c r="D516" i="36"/>
  <c r="D517" i="36"/>
  <c r="D518" i="36"/>
  <c r="D519" i="36"/>
  <c r="D520" i="36"/>
  <c r="D521" i="36"/>
  <c r="D522" i="36"/>
  <c r="D523" i="36"/>
  <c r="D524" i="36"/>
  <c r="D525" i="36"/>
  <c r="D526" i="36"/>
  <c r="D527" i="36"/>
  <c r="D528" i="36"/>
  <c r="D529" i="36"/>
  <c r="D530" i="36"/>
  <c r="D531" i="36"/>
  <c r="D532" i="36"/>
  <c r="D533" i="36"/>
  <c r="D534" i="36"/>
  <c r="D535" i="36"/>
  <c r="D536" i="36"/>
  <c r="D537" i="36"/>
  <c r="D538" i="36"/>
  <c r="D539" i="36"/>
  <c r="D540" i="36"/>
  <c r="D541" i="36"/>
  <c r="D542" i="36"/>
  <c r="D543" i="36"/>
  <c r="D544" i="36"/>
  <c r="D545" i="36"/>
  <c r="D546" i="36"/>
  <c r="D547" i="36"/>
  <c r="D548" i="36"/>
  <c r="D549" i="36"/>
  <c r="D550" i="36"/>
  <c r="D551" i="36"/>
  <c r="D552" i="36"/>
  <c r="D553" i="36"/>
  <c r="D554" i="36"/>
  <c r="D555" i="36"/>
  <c r="D556" i="36"/>
  <c r="D557" i="36"/>
  <c r="D558" i="36"/>
  <c r="D559" i="36"/>
  <c r="D560" i="36"/>
  <c r="D561" i="36"/>
  <c r="D562" i="36"/>
  <c r="D563" i="36"/>
  <c r="D564" i="36"/>
  <c r="D565" i="36"/>
  <c r="D566" i="36"/>
  <c r="D567" i="36"/>
  <c r="D568" i="36"/>
  <c r="D569" i="36"/>
  <c r="D570" i="36"/>
  <c r="D571" i="36"/>
  <c r="D572" i="36"/>
  <c r="D573" i="36"/>
  <c r="D574" i="36"/>
  <c r="D575" i="36"/>
  <c r="D576" i="36"/>
  <c r="D577" i="36"/>
  <c r="D578" i="36"/>
  <c r="D579" i="36"/>
  <c r="D580" i="36"/>
  <c r="D581" i="36"/>
  <c r="D582" i="36"/>
  <c r="D583" i="36"/>
  <c r="D584" i="36"/>
  <c r="D585" i="36"/>
  <c r="D586" i="36"/>
  <c r="D587" i="36"/>
  <c r="D588" i="36"/>
  <c r="D589" i="36"/>
  <c r="D590" i="36"/>
  <c r="D591" i="36"/>
  <c r="D592" i="36"/>
  <c r="D593" i="36"/>
  <c r="D594" i="36"/>
  <c r="D595" i="36"/>
  <c r="D596" i="36"/>
  <c r="D597" i="36"/>
  <c r="D598" i="36"/>
  <c r="D599" i="36"/>
  <c r="D600" i="36"/>
  <c r="D601" i="36"/>
  <c r="D602" i="36"/>
  <c r="D603" i="36"/>
  <c r="D604" i="36"/>
  <c r="D605" i="36"/>
  <c r="D606" i="36"/>
  <c r="D607" i="36"/>
  <c r="D608" i="36"/>
  <c r="D609" i="36"/>
  <c r="D610" i="36"/>
  <c r="D611" i="36"/>
  <c r="D612" i="36"/>
  <c r="D613" i="36"/>
  <c r="D614" i="36"/>
  <c r="D615" i="36"/>
  <c r="D616" i="36"/>
  <c r="D617" i="36"/>
  <c r="D618" i="36"/>
  <c r="D619" i="36"/>
  <c r="D620" i="36"/>
  <c r="D621" i="36"/>
  <c r="D622" i="36"/>
  <c r="D623" i="36"/>
  <c r="D624" i="36"/>
  <c r="D625" i="36"/>
  <c r="D626" i="36"/>
  <c r="D627" i="36"/>
  <c r="D628" i="36"/>
  <c r="D629" i="36"/>
  <c r="D630" i="36"/>
  <c r="D631" i="36"/>
  <c r="D632" i="36"/>
  <c r="D633" i="36"/>
  <c r="D634" i="36"/>
  <c r="D635" i="36"/>
  <c r="D636" i="36"/>
  <c r="D637" i="36"/>
  <c r="D638" i="36"/>
  <c r="D639" i="36"/>
  <c r="D640" i="36"/>
  <c r="D641" i="36"/>
  <c r="D642" i="36"/>
  <c r="D643" i="36"/>
  <c r="D644" i="36"/>
  <c r="D645" i="36"/>
  <c r="D646" i="36"/>
  <c r="D647" i="36"/>
  <c r="D648" i="36"/>
  <c r="D649" i="36"/>
  <c r="D650" i="36"/>
  <c r="D651" i="36"/>
  <c r="D652" i="36"/>
  <c r="D653" i="36"/>
  <c r="D654" i="36"/>
  <c r="D655" i="36"/>
  <c r="D656" i="36"/>
  <c r="D657" i="36"/>
  <c r="D658" i="36"/>
  <c r="D659" i="36"/>
  <c r="D660" i="36"/>
  <c r="D661" i="36"/>
  <c r="D662" i="36"/>
  <c r="D663" i="36"/>
  <c r="D664" i="36"/>
  <c r="D665" i="36"/>
  <c r="D666" i="36"/>
  <c r="D667" i="36"/>
  <c r="D668" i="36"/>
  <c r="D669" i="36"/>
  <c r="D670" i="36"/>
  <c r="D671" i="36"/>
  <c r="D672" i="36"/>
  <c r="D673" i="36"/>
  <c r="D674" i="36"/>
  <c r="D675" i="36"/>
  <c r="D676" i="36"/>
  <c r="D677" i="36"/>
  <c r="D678" i="36"/>
  <c r="D679" i="36"/>
  <c r="D680" i="36"/>
  <c r="D681" i="36"/>
  <c r="D682" i="36"/>
  <c r="D683" i="36"/>
  <c r="D684" i="36"/>
  <c r="D685" i="36"/>
  <c r="D686" i="36"/>
  <c r="D687" i="36"/>
  <c r="D688" i="36"/>
  <c r="D689" i="36"/>
  <c r="D690" i="36"/>
  <c r="D691" i="36"/>
  <c r="D692" i="36"/>
  <c r="D693" i="36"/>
  <c r="D694" i="36"/>
  <c r="D695" i="36"/>
  <c r="D696" i="36"/>
  <c r="D697" i="36"/>
  <c r="D698" i="36"/>
  <c r="D699" i="36"/>
  <c r="D700" i="36"/>
  <c r="D701" i="36"/>
  <c r="D702" i="36"/>
  <c r="D703" i="36"/>
  <c r="D704" i="36"/>
  <c r="D705" i="36"/>
  <c r="D706" i="36"/>
  <c r="D707" i="36"/>
  <c r="D708" i="36"/>
  <c r="D709" i="36"/>
  <c r="D2" i="36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2" i="1"/>
  <c r="N23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2" i="1"/>
  <c r="N22" i="1"/>
  <c r="N15" i="1"/>
  <c r="B15" i="32"/>
  <c r="B16" i="32"/>
  <c r="B17" i="32"/>
  <c r="B18" i="32"/>
  <c r="B19" i="32"/>
  <c r="B20" i="32"/>
  <c r="B21" i="32"/>
  <c r="B22" i="32"/>
  <c r="B23" i="32"/>
  <c r="B24" i="32"/>
  <c r="B25" i="32"/>
  <c r="B26" i="32"/>
  <c r="B27" i="32"/>
  <c r="B28" i="32"/>
  <c r="B29" i="32"/>
  <c r="B30" i="32"/>
  <c r="B31" i="32"/>
  <c r="B32" i="32"/>
  <c r="B33" i="32"/>
  <c r="B34" i="32"/>
  <c r="B35" i="32"/>
  <c r="B36" i="32"/>
  <c r="B37" i="32"/>
  <c r="B38" i="32"/>
  <c r="B39" i="32"/>
  <c r="B40" i="32"/>
  <c r="B41" i="32"/>
  <c r="B42" i="32"/>
  <c r="B43" i="32"/>
  <c r="B44" i="32"/>
  <c r="B45" i="32"/>
  <c r="B46" i="32"/>
  <c r="B47" i="32"/>
  <c r="B48" i="32"/>
  <c r="B49" i="32"/>
  <c r="B50" i="32"/>
  <c r="B51" i="32"/>
  <c r="B52" i="32"/>
  <c r="B53" i="32"/>
  <c r="B54" i="32"/>
  <c r="B55" i="32"/>
  <c r="B56" i="32"/>
  <c r="B57" i="32"/>
  <c r="B58" i="32"/>
  <c r="B59" i="32"/>
  <c r="B60" i="32"/>
  <c r="B61" i="32"/>
  <c r="B62" i="32"/>
  <c r="B63" i="32"/>
  <c r="B64" i="32"/>
  <c r="B65" i="32"/>
  <c r="B66" i="32"/>
  <c r="B67" i="32"/>
  <c r="B68" i="32"/>
  <c r="B69" i="32"/>
  <c r="B70" i="32"/>
  <c r="B71" i="32"/>
  <c r="B72" i="32"/>
  <c r="B73" i="32"/>
  <c r="B74" i="32"/>
  <c r="B75" i="32"/>
  <c r="B76" i="32"/>
  <c r="B77" i="32"/>
  <c r="B78" i="32"/>
  <c r="B79" i="32"/>
  <c r="B80" i="32"/>
  <c r="B81" i="32"/>
  <c r="B82" i="32"/>
  <c r="B83" i="32"/>
  <c r="B84" i="32"/>
  <c r="B85" i="32"/>
  <c r="B86" i="32"/>
  <c r="B87" i="32"/>
  <c r="B88" i="32"/>
  <c r="B89" i="32"/>
  <c r="B90" i="32"/>
  <c r="B91" i="32"/>
  <c r="B92" i="32"/>
  <c r="B93" i="32"/>
  <c r="B94" i="32"/>
  <c r="B95" i="32"/>
  <c r="B96" i="32"/>
  <c r="B97" i="32"/>
  <c r="B98" i="32"/>
  <c r="B99" i="32"/>
  <c r="B100" i="32"/>
  <c r="B101" i="32"/>
  <c r="B102" i="32"/>
  <c r="B103" i="32"/>
  <c r="B104" i="32"/>
  <c r="B105" i="32"/>
  <c r="B106" i="32"/>
  <c r="B107" i="32"/>
  <c r="B108" i="32"/>
  <c r="B109" i="32"/>
  <c r="B110" i="32"/>
  <c r="B111" i="32"/>
  <c r="B112" i="32"/>
  <c r="B113" i="32"/>
  <c r="B114" i="32"/>
  <c r="B115" i="32"/>
  <c r="B116" i="32"/>
  <c r="B117" i="32"/>
  <c r="B118" i="32"/>
  <c r="B119" i="32"/>
  <c r="B120" i="32"/>
  <c r="B121" i="32"/>
  <c r="B122" i="32"/>
  <c r="B123" i="32"/>
  <c r="B124" i="32"/>
  <c r="B125" i="32"/>
  <c r="B126" i="32"/>
  <c r="B127" i="32"/>
  <c r="B128" i="32"/>
  <c r="B129" i="32"/>
  <c r="B130" i="32"/>
  <c r="B131" i="32"/>
  <c r="B132" i="32"/>
  <c r="B133" i="32"/>
  <c r="B134" i="32"/>
  <c r="B135" i="32"/>
  <c r="B136" i="32"/>
  <c r="B137" i="32"/>
  <c r="B138" i="32"/>
  <c r="B139" i="32"/>
  <c r="B140" i="32"/>
  <c r="B141" i="32"/>
  <c r="B142" i="32"/>
  <c r="B143" i="32"/>
  <c r="B144" i="32"/>
  <c r="B145" i="32"/>
  <c r="B146" i="32"/>
  <c r="B147" i="32"/>
  <c r="B148" i="32"/>
  <c r="B149" i="32"/>
  <c r="B150" i="32"/>
  <c r="B151" i="32"/>
  <c r="B152" i="32"/>
  <c r="B153" i="32"/>
  <c r="B154" i="32"/>
  <c r="B155" i="32"/>
  <c r="B156" i="32"/>
  <c r="B157" i="32"/>
  <c r="B158" i="32"/>
  <c r="B159" i="32"/>
  <c r="B160" i="32"/>
  <c r="B161" i="32"/>
  <c r="B162" i="32"/>
  <c r="B163" i="32"/>
  <c r="B164" i="32"/>
  <c r="B165" i="32"/>
  <c r="B166" i="32"/>
  <c r="B167" i="32"/>
  <c r="B168" i="32"/>
  <c r="B169" i="32"/>
  <c r="B170" i="32"/>
  <c r="B171" i="32"/>
  <c r="B172" i="32"/>
  <c r="B173" i="32"/>
  <c r="B174" i="32"/>
  <c r="B175" i="32"/>
  <c r="B176" i="32"/>
  <c r="B177" i="32"/>
  <c r="B178" i="32"/>
  <c r="B179" i="32"/>
  <c r="B180" i="32"/>
  <c r="B181" i="32"/>
  <c r="B182" i="32"/>
  <c r="B183" i="32"/>
  <c r="B184" i="32"/>
  <c r="B185" i="32"/>
  <c r="B186" i="32"/>
  <c r="B187" i="32"/>
  <c r="B188" i="32"/>
  <c r="B189" i="32"/>
  <c r="B190" i="32"/>
  <c r="B191" i="32"/>
  <c r="B192" i="32"/>
  <c r="B193" i="32"/>
  <c r="B194" i="32"/>
  <c r="B195" i="32"/>
  <c r="B196" i="32"/>
  <c r="B197" i="32"/>
  <c r="B198" i="32"/>
  <c r="B199" i="32"/>
  <c r="B200" i="32"/>
  <c r="B201" i="32"/>
  <c r="B202" i="32"/>
  <c r="B203" i="32"/>
  <c r="B204" i="32"/>
  <c r="B205" i="32"/>
  <c r="B206" i="32"/>
  <c r="B207" i="32"/>
  <c r="B208" i="32"/>
  <c r="B209" i="32"/>
  <c r="B210" i="32"/>
  <c r="B211" i="32"/>
  <c r="B212" i="32"/>
  <c r="B213" i="32"/>
  <c r="B214" i="32"/>
  <c r="B215" i="32"/>
  <c r="B216" i="32"/>
  <c r="B217" i="32"/>
  <c r="B218" i="32"/>
  <c r="B219" i="32"/>
  <c r="B220" i="32"/>
  <c r="B221" i="32"/>
  <c r="B222" i="32"/>
  <c r="B223" i="32"/>
  <c r="B224" i="32"/>
  <c r="B225" i="32"/>
  <c r="B226" i="32"/>
  <c r="B227" i="32"/>
  <c r="B228" i="32"/>
  <c r="B229" i="32"/>
  <c r="B230" i="32"/>
  <c r="B231" i="32"/>
  <c r="B232" i="32"/>
  <c r="B233" i="32"/>
  <c r="B234" i="32"/>
  <c r="B235" i="32"/>
  <c r="B236" i="32"/>
  <c r="B237" i="32"/>
  <c r="B238" i="32"/>
  <c r="B239" i="32"/>
  <c r="B240" i="32"/>
  <c r="B241" i="32"/>
  <c r="B242" i="32"/>
  <c r="B243" i="32"/>
  <c r="B244" i="32"/>
  <c r="B245" i="32"/>
  <c r="B246" i="32"/>
  <c r="B247" i="32"/>
  <c r="B248" i="32"/>
  <c r="B249" i="32"/>
  <c r="B250" i="32"/>
  <c r="B251" i="32"/>
  <c r="B252" i="32"/>
  <c r="B253" i="32"/>
  <c r="B254" i="32"/>
  <c r="B255" i="32"/>
  <c r="B256" i="32"/>
  <c r="B257" i="32"/>
  <c r="B258" i="32"/>
  <c r="B259" i="32"/>
  <c r="B260" i="32"/>
  <c r="B261" i="32"/>
  <c r="B262" i="32"/>
  <c r="B263" i="32"/>
  <c r="B264" i="32"/>
  <c r="B265" i="32"/>
  <c r="B266" i="32"/>
  <c r="B267" i="32"/>
  <c r="B268" i="32"/>
  <c r="B269" i="32"/>
  <c r="B270" i="32"/>
  <c r="B271" i="32"/>
  <c r="B272" i="32"/>
  <c r="B273" i="32"/>
  <c r="B274" i="32"/>
  <c r="B275" i="32"/>
  <c r="B276" i="32"/>
  <c r="B277" i="32"/>
  <c r="B278" i="32"/>
  <c r="B279" i="32"/>
  <c r="B280" i="32"/>
  <c r="B281" i="32"/>
  <c r="B282" i="32"/>
  <c r="B283" i="32"/>
  <c r="B284" i="32"/>
  <c r="B285" i="32"/>
  <c r="B286" i="32"/>
  <c r="B287" i="32"/>
  <c r="B288" i="32"/>
  <c r="B289" i="32"/>
  <c r="B290" i="32"/>
  <c r="B291" i="32"/>
  <c r="B292" i="32"/>
  <c r="B293" i="32"/>
  <c r="B294" i="32"/>
  <c r="B295" i="32"/>
  <c r="B296" i="32"/>
  <c r="B297" i="32"/>
  <c r="B298" i="32"/>
  <c r="B299" i="32"/>
  <c r="B300" i="32"/>
  <c r="B301" i="32"/>
  <c r="B302" i="32"/>
  <c r="B303" i="32"/>
  <c r="B304" i="32"/>
  <c r="B305" i="32"/>
  <c r="B306" i="32"/>
  <c r="B307" i="32"/>
  <c r="B308" i="32"/>
  <c r="B309" i="32"/>
  <c r="B310" i="32"/>
  <c r="B311" i="32"/>
  <c r="B312" i="32"/>
  <c r="B313" i="32"/>
  <c r="B314" i="32"/>
  <c r="B315" i="32"/>
  <c r="B316" i="32"/>
  <c r="B317" i="32"/>
  <c r="B318" i="32"/>
  <c r="B319" i="32"/>
  <c r="B320" i="32"/>
  <c r="B321" i="32"/>
  <c r="B322" i="32"/>
  <c r="B323" i="32"/>
  <c r="B324" i="32"/>
  <c r="B325" i="32"/>
  <c r="B326" i="32"/>
  <c r="B327" i="32"/>
  <c r="B328" i="32"/>
  <c r="B329" i="32"/>
  <c r="B330" i="32"/>
  <c r="B331" i="32"/>
  <c r="B332" i="32"/>
  <c r="B333" i="32"/>
  <c r="B334" i="32"/>
  <c r="B335" i="32"/>
  <c r="B336" i="32"/>
  <c r="B337" i="32"/>
  <c r="B338" i="32"/>
  <c r="B339" i="32"/>
  <c r="B340" i="32"/>
  <c r="B341" i="32"/>
  <c r="B342" i="32"/>
  <c r="B343" i="32"/>
  <c r="B344" i="32"/>
  <c r="B345" i="32"/>
  <c r="B346" i="32"/>
  <c r="B347" i="32"/>
  <c r="B348" i="32"/>
  <c r="B349" i="32"/>
  <c r="B350" i="32"/>
  <c r="B351" i="32"/>
  <c r="B352" i="32"/>
  <c r="B353" i="32"/>
  <c r="B354" i="32"/>
  <c r="B355" i="32"/>
  <c r="B356" i="32"/>
  <c r="B357" i="32"/>
  <c r="B358" i="32"/>
  <c r="B359" i="32"/>
  <c r="B360" i="32"/>
  <c r="B361" i="32"/>
  <c r="B362" i="32"/>
  <c r="B363" i="32"/>
  <c r="B364" i="32"/>
  <c r="B365" i="32"/>
  <c r="B366" i="32"/>
  <c r="B367" i="32"/>
  <c r="B368" i="32"/>
  <c r="B369" i="32"/>
  <c r="B370" i="32"/>
  <c r="B371" i="32"/>
  <c r="B372" i="32"/>
  <c r="B373" i="32"/>
  <c r="B374" i="32"/>
  <c r="B375" i="32"/>
  <c r="B376" i="32"/>
  <c r="B377" i="32"/>
  <c r="B378" i="32"/>
  <c r="B379" i="32"/>
  <c r="B380" i="32"/>
  <c r="B381" i="32"/>
  <c r="B382" i="32"/>
  <c r="B383" i="32"/>
  <c r="B384" i="32"/>
  <c r="B385" i="32"/>
  <c r="B386" i="32"/>
  <c r="B387" i="32"/>
  <c r="B388" i="32"/>
  <c r="B389" i="32"/>
  <c r="B390" i="32"/>
  <c r="B391" i="32"/>
  <c r="B392" i="32"/>
  <c r="B393" i="32"/>
  <c r="B394" i="32"/>
  <c r="B395" i="32"/>
  <c r="B396" i="32"/>
  <c r="B397" i="32"/>
  <c r="B398" i="32"/>
  <c r="B399" i="32"/>
  <c r="B400" i="32"/>
  <c r="B401" i="32"/>
  <c r="B402" i="32"/>
  <c r="B403" i="32"/>
  <c r="B404" i="32"/>
  <c r="B405" i="32"/>
  <c r="B406" i="32"/>
  <c r="B407" i="32"/>
  <c r="B408" i="32"/>
  <c r="B409" i="32"/>
  <c r="B410" i="32"/>
  <c r="B411" i="32"/>
  <c r="B412" i="32"/>
  <c r="B413" i="32"/>
  <c r="B414" i="32"/>
  <c r="B415" i="32"/>
  <c r="B416" i="32"/>
  <c r="B417" i="32"/>
  <c r="B418" i="32"/>
  <c r="B419" i="32"/>
  <c r="B420" i="32"/>
  <c r="B421" i="32"/>
  <c r="B422" i="32"/>
  <c r="B423" i="32"/>
  <c r="B424" i="32"/>
  <c r="B425" i="32"/>
  <c r="B426" i="32"/>
  <c r="B427" i="32"/>
  <c r="B428" i="32"/>
  <c r="B429" i="32"/>
  <c r="B430" i="32"/>
  <c r="B431" i="32"/>
  <c r="B432" i="32"/>
  <c r="B433" i="32"/>
  <c r="B434" i="32"/>
  <c r="B435" i="32"/>
  <c r="B436" i="32"/>
  <c r="B437" i="32"/>
  <c r="B438" i="32"/>
  <c r="B439" i="32"/>
  <c r="B440" i="32"/>
  <c r="B441" i="32"/>
  <c r="B442" i="32"/>
  <c r="B443" i="32"/>
  <c r="B444" i="32"/>
  <c r="B445" i="32"/>
  <c r="B446" i="32"/>
  <c r="B447" i="32"/>
  <c r="B448" i="32"/>
  <c r="B449" i="32"/>
  <c r="B450" i="32"/>
  <c r="B451" i="32"/>
  <c r="B452" i="32"/>
  <c r="B453" i="32"/>
  <c r="B454" i="32"/>
  <c r="B455" i="32"/>
  <c r="B456" i="32"/>
  <c r="B457" i="32"/>
  <c r="B458" i="32"/>
  <c r="B459" i="32"/>
  <c r="B460" i="32"/>
  <c r="B461" i="32"/>
  <c r="B462" i="32"/>
  <c r="B463" i="32"/>
  <c r="B464" i="32"/>
  <c r="B465" i="32"/>
  <c r="B466" i="32"/>
  <c r="B467" i="32"/>
  <c r="B468" i="32"/>
  <c r="B469" i="32"/>
  <c r="B470" i="32"/>
  <c r="B471" i="32"/>
  <c r="B472" i="32"/>
  <c r="B473" i="32"/>
  <c r="B474" i="32"/>
  <c r="B475" i="32"/>
  <c r="B476" i="32"/>
  <c r="B477" i="32"/>
  <c r="B478" i="32"/>
  <c r="B479" i="32"/>
  <c r="B480" i="32"/>
  <c r="B481" i="32"/>
  <c r="B482" i="32"/>
  <c r="B483" i="32"/>
  <c r="B484" i="32"/>
  <c r="B485" i="32"/>
  <c r="B486" i="32"/>
  <c r="B487" i="32"/>
  <c r="B488" i="32"/>
  <c r="B489" i="32"/>
  <c r="B490" i="32"/>
  <c r="B491" i="32"/>
  <c r="B492" i="32"/>
  <c r="B493" i="32"/>
  <c r="B494" i="32"/>
  <c r="B495" i="32"/>
  <c r="B496" i="32"/>
  <c r="B497" i="32"/>
  <c r="B498" i="32"/>
  <c r="B499" i="32"/>
  <c r="B500" i="32"/>
  <c r="B501" i="32"/>
  <c r="B502" i="32"/>
  <c r="B503" i="32"/>
  <c r="B504" i="32"/>
  <c r="B505" i="32"/>
  <c r="B506" i="32"/>
  <c r="B507" i="32"/>
  <c r="B508" i="32"/>
  <c r="B509" i="32"/>
  <c r="B510" i="32"/>
  <c r="B511" i="32"/>
  <c r="B512" i="32"/>
  <c r="B513" i="32"/>
  <c r="B514" i="32"/>
  <c r="B515" i="32"/>
  <c r="B516" i="32"/>
  <c r="B517" i="32"/>
  <c r="B518" i="32"/>
  <c r="B519" i="32"/>
  <c r="B520" i="32"/>
  <c r="B521" i="32"/>
  <c r="B522" i="32"/>
  <c r="B523" i="32"/>
  <c r="B524" i="32"/>
  <c r="B525" i="32"/>
  <c r="B526" i="32"/>
  <c r="B527" i="32"/>
  <c r="B528" i="32"/>
  <c r="B529" i="32"/>
  <c r="B530" i="32"/>
  <c r="B531" i="32"/>
  <c r="B532" i="32"/>
  <c r="B533" i="32"/>
  <c r="B534" i="32"/>
  <c r="B535" i="32"/>
  <c r="B536" i="32"/>
  <c r="B537" i="32"/>
  <c r="B538" i="32"/>
  <c r="B539" i="32"/>
  <c r="B540" i="32"/>
  <c r="B541" i="32"/>
  <c r="B542" i="32"/>
  <c r="B543" i="32"/>
  <c r="B544" i="32"/>
  <c r="B545" i="32"/>
  <c r="B546" i="32"/>
  <c r="B547" i="32"/>
  <c r="B548" i="32"/>
  <c r="B549" i="32"/>
  <c r="B550" i="32"/>
  <c r="B551" i="32"/>
  <c r="B552" i="32"/>
  <c r="B553" i="32"/>
  <c r="B554" i="32"/>
  <c r="B555" i="32"/>
  <c r="B556" i="32"/>
  <c r="B557" i="32"/>
  <c r="B558" i="32"/>
  <c r="B559" i="32"/>
  <c r="B560" i="32"/>
  <c r="B561" i="32"/>
  <c r="B562" i="32"/>
  <c r="B563" i="32"/>
  <c r="B564" i="32"/>
  <c r="B565" i="32"/>
  <c r="B566" i="32"/>
  <c r="B567" i="32"/>
  <c r="B568" i="32"/>
  <c r="B569" i="32"/>
  <c r="B570" i="32"/>
  <c r="B571" i="32"/>
  <c r="B572" i="32"/>
  <c r="B573" i="32"/>
  <c r="B574" i="32"/>
  <c r="B575" i="32"/>
  <c r="B576" i="32"/>
  <c r="B577" i="32"/>
  <c r="B578" i="32"/>
  <c r="B579" i="32"/>
  <c r="B580" i="32"/>
  <c r="B581" i="32"/>
  <c r="B582" i="32"/>
  <c r="B583" i="32"/>
  <c r="B584" i="32"/>
  <c r="B585" i="32"/>
  <c r="B586" i="32"/>
  <c r="B587" i="32"/>
  <c r="B588" i="32"/>
  <c r="B589" i="32"/>
  <c r="B590" i="32"/>
  <c r="B591" i="32"/>
  <c r="B592" i="32"/>
  <c r="B593" i="32"/>
  <c r="B594" i="32"/>
  <c r="B595" i="32"/>
  <c r="B596" i="32"/>
  <c r="B597" i="32"/>
  <c r="B598" i="32"/>
  <c r="B599" i="32"/>
  <c r="B600" i="32"/>
  <c r="B601" i="32"/>
  <c r="B602" i="32"/>
  <c r="B603" i="32"/>
  <c r="B604" i="32"/>
  <c r="B605" i="32"/>
  <c r="B606" i="32"/>
  <c r="B607" i="32"/>
  <c r="B608" i="32"/>
  <c r="B609" i="32"/>
  <c r="B610" i="32"/>
  <c r="B611" i="32"/>
  <c r="B612" i="32"/>
  <c r="B613" i="32"/>
  <c r="B614" i="32"/>
  <c r="B615" i="32"/>
  <c r="B616" i="32"/>
  <c r="B617" i="32"/>
  <c r="B618" i="32"/>
  <c r="B619" i="32"/>
  <c r="B620" i="32"/>
  <c r="B621" i="32"/>
  <c r="B622" i="32"/>
  <c r="B623" i="32"/>
  <c r="B624" i="32"/>
  <c r="B625" i="32"/>
  <c r="B626" i="32"/>
  <c r="B627" i="32"/>
  <c r="B628" i="32"/>
  <c r="B629" i="32"/>
  <c r="B630" i="32"/>
  <c r="B631" i="32"/>
  <c r="B632" i="32"/>
  <c r="B633" i="32"/>
  <c r="B634" i="32"/>
  <c r="B635" i="32"/>
  <c r="B636" i="32"/>
  <c r="B637" i="32"/>
  <c r="B638" i="32"/>
  <c r="B639" i="32"/>
  <c r="B640" i="32"/>
  <c r="B641" i="32"/>
  <c r="B642" i="32"/>
  <c r="B643" i="32"/>
  <c r="B644" i="32"/>
  <c r="B645" i="32"/>
  <c r="B646" i="32"/>
  <c r="B647" i="32"/>
  <c r="B648" i="32"/>
  <c r="B649" i="32"/>
  <c r="B650" i="32"/>
  <c r="B651" i="32"/>
  <c r="B652" i="32"/>
  <c r="B653" i="32"/>
  <c r="B654" i="32"/>
  <c r="B655" i="32"/>
  <c r="B656" i="32"/>
  <c r="B657" i="32"/>
  <c r="B658" i="32"/>
  <c r="B659" i="32"/>
  <c r="B660" i="32"/>
  <c r="B661" i="32"/>
  <c r="B662" i="32"/>
  <c r="B663" i="32"/>
  <c r="B664" i="32"/>
  <c r="B665" i="32"/>
  <c r="B666" i="32"/>
  <c r="B667" i="32"/>
  <c r="B668" i="32"/>
  <c r="B669" i="32"/>
  <c r="B670" i="32"/>
  <c r="B671" i="32"/>
  <c r="B672" i="32"/>
  <c r="B673" i="32"/>
  <c r="B674" i="32"/>
  <c r="B675" i="32"/>
  <c r="B676" i="32"/>
  <c r="B677" i="32"/>
  <c r="B678" i="32"/>
  <c r="B679" i="32"/>
  <c r="B680" i="32"/>
  <c r="B681" i="32"/>
  <c r="B682" i="32"/>
  <c r="B683" i="32"/>
  <c r="B684" i="32"/>
  <c r="B685" i="32"/>
  <c r="B686" i="32"/>
  <c r="B687" i="32"/>
  <c r="B688" i="32"/>
  <c r="B689" i="32"/>
  <c r="B690" i="32"/>
  <c r="B691" i="32"/>
  <c r="B692" i="32"/>
  <c r="B693" i="32"/>
  <c r="B694" i="32"/>
  <c r="B695" i="32"/>
  <c r="B696" i="32"/>
  <c r="B697" i="32"/>
  <c r="B698" i="32"/>
  <c r="B699" i="32"/>
  <c r="B700" i="32"/>
  <c r="B701" i="32"/>
  <c r="B702" i="32"/>
  <c r="B703" i="32"/>
  <c r="B704" i="32"/>
  <c r="B705" i="32"/>
  <c r="B706" i="32"/>
  <c r="B707" i="32"/>
  <c r="B708" i="32"/>
  <c r="B709" i="32"/>
  <c r="B710" i="32"/>
  <c r="B711" i="32"/>
  <c r="B712" i="32"/>
  <c r="B713" i="32"/>
  <c r="B714" i="32"/>
  <c r="B715" i="32"/>
  <c r="B716" i="32"/>
  <c r="B717" i="32"/>
  <c r="B718" i="32"/>
  <c r="B719" i="32"/>
  <c r="B720" i="32"/>
  <c r="B721" i="32"/>
  <c r="B722" i="32"/>
  <c r="B723" i="32"/>
  <c r="B724" i="32"/>
  <c r="B725" i="32"/>
  <c r="B726" i="32"/>
  <c r="B727" i="32"/>
  <c r="B728" i="32"/>
  <c r="B729" i="32"/>
  <c r="B730" i="32"/>
  <c r="B731" i="32"/>
  <c r="B732" i="32"/>
  <c r="B733" i="32"/>
  <c r="B734" i="32"/>
  <c r="B735" i="32"/>
  <c r="B736" i="32"/>
  <c r="B737" i="32"/>
  <c r="B738" i="32"/>
  <c r="B739" i="32"/>
  <c r="B740" i="32"/>
  <c r="B741" i="32"/>
  <c r="B742" i="32"/>
  <c r="B743" i="32"/>
  <c r="B744" i="32"/>
  <c r="B745" i="32"/>
  <c r="B746" i="32"/>
  <c r="B747" i="32"/>
  <c r="B748" i="32"/>
  <c r="B749" i="32"/>
  <c r="B750" i="32"/>
  <c r="B751" i="32"/>
  <c r="B752" i="32"/>
  <c r="B753" i="32"/>
  <c r="B754" i="32"/>
  <c r="B755" i="32"/>
  <c r="B756" i="32"/>
  <c r="B757" i="32"/>
  <c r="B758" i="32"/>
  <c r="B759" i="32"/>
  <c r="B760" i="32"/>
  <c r="B761" i="32"/>
  <c r="B762" i="32"/>
  <c r="B763" i="32"/>
  <c r="B764" i="32"/>
  <c r="B765" i="32"/>
  <c r="B766" i="32"/>
  <c r="B767" i="32"/>
  <c r="B768" i="32"/>
  <c r="B769" i="32"/>
  <c r="B770" i="32"/>
  <c r="B771" i="32"/>
  <c r="B772" i="32"/>
  <c r="B773" i="32"/>
  <c r="B774" i="32"/>
  <c r="B775" i="32"/>
  <c r="B776" i="32"/>
  <c r="B777" i="32"/>
  <c r="B778" i="32"/>
  <c r="B779" i="32"/>
  <c r="B780" i="32"/>
  <c r="B781" i="32"/>
  <c r="B782" i="32"/>
  <c r="B783" i="32"/>
  <c r="B784" i="32"/>
  <c r="B785" i="32"/>
  <c r="B786" i="32"/>
  <c r="B787" i="32"/>
  <c r="B788" i="32"/>
  <c r="B789" i="32"/>
  <c r="B790" i="32"/>
  <c r="B791" i="32"/>
  <c r="B792" i="32"/>
  <c r="B793" i="32"/>
  <c r="B794" i="32"/>
  <c r="B795" i="32"/>
  <c r="B796" i="32"/>
  <c r="B797" i="32"/>
  <c r="B798" i="32"/>
  <c r="B799" i="32"/>
  <c r="B800" i="32"/>
  <c r="B801" i="32"/>
  <c r="B802" i="32"/>
  <c r="B803" i="32"/>
  <c r="B804" i="32"/>
  <c r="B805" i="32"/>
  <c r="B806" i="32"/>
  <c r="B807" i="32"/>
  <c r="B808" i="32"/>
  <c r="B809" i="32"/>
  <c r="B810" i="32"/>
  <c r="B811" i="32"/>
  <c r="B812" i="32"/>
  <c r="B813" i="32"/>
  <c r="B814" i="32"/>
  <c r="B815" i="32"/>
  <c r="B816" i="32"/>
  <c r="B817" i="32"/>
  <c r="B818" i="32"/>
  <c r="B819" i="32"/>
  <c r="B820" i="32"/>
  <c r="B821" i="32"/>
  <c r="B822" i="32"/>
  <c r="B823" i="32"/>
  <c r="B824" i="32"/>
  <c r="B825" i="32"/>
  <c r="B826" i="32"/>
  <c r="B827" i="32"/>
  <c r="B828" i="32"/>
  <c r="B829" i="32"/>
  <c r="B830" i="32"/>
  <c r="B831" i="32"/>
  <c r="B832" i="32"/>
  <c r="B833" i="32"/>
  <c r="B834" i="32"/>
  <c r="B835" i="32"/>
  <c r="B836" i="32"/>
  <c r="B837" i="32"/>
  <c r="B838" i="32"/>
  <c r="B839" i="32"/>
  <c r="B840" i="32"/>
  <c r="B841" i="32"/>
  <c r="B842" i="32"/>
  <c r="B843" i="32"/>
  <c r="B844" i="32"/>
  <c r="B845" i="32"/>
  <c r="B846" i="32"/>
  <c r="B847" i="32"/>
  <c r="B848" i="32"/>
  <c r="B849" i="32"/>
  <c r="B850" i="32"/>
  <c r="B851" i="32"/>
  <c r="B852" i="32"/>
  <c r="B853" i="32"/>
  <c r="B854" i="32"/>
  <c r="B855" i="32"/>
  <c r="B856" i="32"/>
  <c r="B857" i="32"/>
  <c r="B858" i="32"/>
  <c r="B859" i="32"/>
  <c r="B860" i="32"/>
  <c r="B861" i="32"/>
  <c r="B862" i="32"/>
  <c r="B863" i="32"/>
  <c r="B864" i="32"/>
  <c r="B865" i="32"/>
  <c r="B866" i="32"/>
  <c r="B867" i="32"/>
  <c r="B868" i="32"/>
  <c r="B869" i="32"/>
  <c r="B870" i="32"/>
  <c r="B871" i="32"/>
  <c r="B872" i="32"/>
  <c r="B873" i="32"/>
  <c r="B874" i="32"/>
  <c r="B875" i="32"/>
  <c r="B876" i="32"/>
  <c r="B2" i="32"/>
  <c r="B3" i="32"/>
  <c r="B4" i="32"/>
  <c r="B5" i="32"/>
  <c r="B6" i="32"/>
  <c r="B7" i="32"/>
  <c r="B8" i="32"/>
  <c r="B9" i="32"/>
  <c r="B10" i="32"/>
  <c r="B11" i="32"/>
  <c r="B12" i="32"/>
  <c r="B13" i="32"/>
  <c r="B14" i="32"/>
  <c r="B1" i="32"/>
  <c r="C2" i="23"/>
  <c r="C3" i="23"/>
  <c r="C4" i="23"/>
  <c r="C5" i="23"/>
  <c r="C6" i="23"/>
  <c r="C7" i="23"/>
  <c r="C8" i="23"/>
  <c r="C9" i="23"/>
  <c r="C10" i="23"/>
  <c r="C11" i="23"/>
  <c r="C12" i="23"/>
  <c r="C13" i="23"/>
  <c r="C14" i="23"/>
  <c r="C15" i="23"/>
  <c r="C16" i="23"/>
  <c r="C17" i="23"/>
  <c r="C18" i="23"/>
  <c r="C19" i="23"/>
  <c r="C20" i="23"/>
  <c r="C21" i="23"/>
  <c r="C22" i="23"/>
  <c r="C23" i="23"/>
  <c r="C24" i="23"/>
  <c r="C25" i="23"/>
  <c r="C26" i="23"/>
  <c r="C27" i="23"/>
  <c r="C28" i="23"/>
  <c r="C29" i="23"/>
  <c r="C30" i="23"/>
  <c r="C31" i="23"/>
  <c r="C32" i="23"/>
  <c r="C33" i="23"/>
  <c r="C34" i="23"/>
  <c r="C35" i="23"/>
  <c r="C36" i="23"/>
  <c r="C37" i="23"/>
  <c r="C38" i="23"/>
  <c r="C39" i="23"/>
  <c r="C40" i="23"/>
  <c r="C41" i="23"/>
  <c r="C42" i="23"/>
  <c r="C43" i="23"/>
  <c r="C44" i="23"/>
  <c r="C45" i="23"/>
  <c r="C46" i="23"/>
  <c r="C47" i="23"/>
  <c r="C48" i="23"/>
  <c r="C49" i="23"/>
  <c r="C50" i="23"/>
  <c r="C51" i="23"/>
  <c r="C52" i="23"/>
  <c r="C53" i="23"/>
  <c r="C54" i="23"/>
  <c r="C55" i="23"/>
  <c r="C56" i="23"/>
  <c r="C57" i="23"/>
  <c r="C58" i="23"/>
  <c r="C59" i="23"/>
  <c r="C60" i="23"/>
  <c r="C61" i="23"/>
  <c r="C62" i="23"/>
  <c r="C63" i="23"/>
  <c r="C64" i="23"/>
  <c r="C65" i="23"/>
  <c r="C66" i="23"/>
  <c r="C67" i="23"/>
  <c r="C68" i="23"/>
  <c r="C69" i="23"/>
  <c r="C70" i="23"/>
  <c r="C71" i="23"/>
  <c r="C72" i="23"/>
  <c r="C73" i="23"/>
  <c r="C74" i="23"/>
  <c r="C75" i="23"/>
  <c r="C76" i="23"/>
  <c r="C77" i="23"/>
  <c r="C78" i="23"/>
  <c r="C79" i="23"/>
  <c r="C80" i="23"/>
  <c r="C81" i="23"/>
  <c r="C82" i="23"/>
  <c r="C83" i="23"/>
  <c r="C84" i="23"/>
  <c r="C85" i="23"/>
  <c r="C86" i="23"/>
  <c r="C87" i="23"/>
  <c r="C88" i="23"/>
  <c r="C89" i="23"/>
  <c r="C90" i="23"/>
  <c r="C91" i="23"/>
  <c r="C92" i="23"/>
  <c r="C93" i="23"/>
  <c r="C94" i="23"/>
  <c r="C95" i="23"/>
  <c r="C96" i="23"/>
  <c r="C97" i="23"/>
  <c r="C98" i="23"/>
  <c r="C99" i="23"/>
  <c r="C100" i="23"/>
  <c r="C101" i="23"/>
  <c r="C102" i="23"/>
  <c r="C103" i="23"/>
  <c r="C104" i="23"/>
  <c r="C105" i="23"/>
  <c r="C106" i="23"/>
  <c r="C107" i="23"/>
  <c r="C108" i="23"/>
  <c r="C109" i="23"/>
  <c r="C110" i="23"/>
  <c r="C111" i="23"/>
  <c r="C112" i="23"/>
  <c r="C113" i="23"/>
  <c r="C114" i="23"/>
  <c r="C115" i="23"/>
  <c r="C116" i="23"/>
  <c r="C117" i="23"/>
  <c r="C118" i="23"/>
  <c r="C119" i="23"/>
  <c r="C120" i="23"/>
  <c r="C121" i="23"/>
  <c r="C122" i="23"/>
  <c r="C123" i="23"/>
  <c r="C124" i="23"/>
  <c r="C125" i="23"/>
  <c r="C126" i="23"/>
  <c r="C127" i="23"/>
  <c r="C128" i="23"/>
  <c r="C129" i="23"/>
  <c r="C130" i="23"/>
  <c r="C131" i="23"/>
  <c r="C132" i="23"/>
  <c r="C133" i="23"/>
  <c r="C134" i="23"/>
  <c r="C135" i="23"/>
  <c r="C136" i="23"/>
  <c r="C137" i="23"/>
  <c r="C138" i="23"/>
  <c r="C139" i="23"/>
  <c r="C140" i="23"/>
  <c r="C141" i="23"/>
  <c r="C142" i="23"/>
  <c r="C143" i="23"/>
  <c r="C144" i="23"/>
  <c r="C145" i="23"/>
  <c r="C146" i="23"/>
  <c r="C147" i="23"/>
  <c r="C148" i="23"/>
  <c r="C149" i="23"/>
  <c r="C150" i="23"/>
  <c r="C151" i="23"/>
  <c r="C152" i="23"/>
  <c r="C153" i="23"/>
  <c r="C154" i="23"/>
  <c r="C155" i="23"/>
  <c r="C156" i="23"/>
  <c r="C157" i="23"/>
  <c r="C158" i="23"/>
  <c r="C159" i="23"/>
  <c r="C160" i="23"/>
  <c r="C161" i="23"/>
  <c r="C162" i="23"/>
  <c r="C163" i="23"/>
  <c r="C164" i="23"/>
  <c r="C165" i="23"/>
  <c r="C166" i="23"/>
  <c r="C167" i="23"/>
  <c r="C168" i="23"/>
  <c r="C169" i="23"/>
  <c r="C170" i="23"/>
  <c r="C171" i="23"/>
  <c r="C172" i="23"/>
  <c r="C173" i="23"/>
  <c r="C174" i="23"/>
  <c r="C175" i="23"/>
  <c r="C176" i="23"/>
  <c r="C177" i="23"/>
  <c r="C178" i="23"/>
  <c r="C179" i="23"/>
  <c r="C180" i="23"/>
  <c r="C181" i="23"/>
  <c r="C182" i="23"/>
  <c r="C183" i="23"/>
  <c r="C184" i="23"/>
  <c r="C185" i="23"/>
  <c r="C186" i="23"/>
  <c r="C187" i="23"/>
  <c r="C188" i="23"/>
  <c r="C189" i="23"/>
  <c r="C190" i="23"/>
  <c r="C191" i="23"/>
  <c r="C192" i="23"/>
  <c r="C193" i="23"/>
  <c r="C194" i="23"/>
  <c r="C195" i="23"/>
  <c r="C196" i="23"/>
  <c r="C197" i="23"/>
  <c r="C198" i="23"/>
  <c r="C199" i="23"/>
  <c r="C200" i="23"/>
  <c r="C201" i="23"/>
  <c r="C202" i="23"/>
  <c r="C203" i="23"/>
  <c r="C204" i="23"/>
  <c r="C205" i="23"/>
  <c r="C206" i="23"/>
  <c r="C207" i="23"/>
  <c r="C208" i="23"/>
  <c r="C209" i="23"/>
  <c r="C210" i="23"/>
  <c r="C211" i="23"/>
  <c r="C212" i="23"/>
  <c r="C213" i="23"/>
  <c r="C214" i="23"/>
  <c r="C215" i="23"/>
  <c r="C216" i="23"/>
  <c r="C217" i="23"/>
  <c r="C218" i="23"/>
  <c r="C219" i="23"/>
  <c r="C220" i="23"/>
  <c r="C221" i="23"/>
  <c r="C222" i="23"/>
  <c r="C223" i="23"/>
  <c r="C224" i="23"/>
  <c r="C225" i="23"/>
  <c r="C226" i="23"/>
  <c r="C227" i="23"/>
  <c r="C228" i="23"/>
  <c r="C229" i="23"/>
  <c r="C230" i="23"/>
  <c r="C231" i="23"/>
  <c r="C232" i="23"/>
  <c r="C233" i="23"/>
  <c r="C234" i="23"/>
  <c r="C235" i="23"/>
  <c r="C236" i="23"/>
  <c r="C237" i="23"/>
  <c r="C238" i="23"/>
  <c r="C239" i="23"/>
  <c r="C240" i="23"/>
  <c r="C241" i="23"/>
  <c r="C242" i="23"/>
  <c r="C243" i="23"/>
  <c r="C244" i="23"/>
  <c r="C245" i="23"/>
  <c r="C246" i="23"/>
  <c r="C247" i="23"/>
  <c r="C248" i="23"/>
  <c r="C249" i="23"/>
  <c r="C250" i="23"/>
  <c r="C251" i="23"/>
  <c r="C252" i="23"/>
  <c r="C253" i="23"/>
  <c r="C254" i="23"/>
  <c r="C255" i="23"/>
  <c r="C256" i="23"/>
  <c r="C257" i="23"/>
  <c r="C258" i="23"/>
  <c r="C259" i="23"/>
  <c r="C260" i="23"/>
  <c r="C261" i="23"/>
  <c r="C262" i="23"/>
  <c r="C263" i="23"/>
  <c r="C264" i="23"/>
  <c r="C265" i="23"/>
  <c r="C266" i="23"/>
  <c r="C267" i="23"/>
  <c r="C268" i="23"/>
  <c r="C269" i="23"/>
  <c r="C270" i="23"/>
  <c r="C271" i="23"/>
  <c r="C272" i="23"/>
  <c r="C273" i="23"/>
  <c r="C274" i="23"/>
  <c r="C275" i="23"/>
  <c r="C276" i="23"/>
  <c r="C277" i="23"/>
  <c r="C278" i="23"/>
  <c r="C279" i="23"/>
  <c r="C280" i="23"/>
  <c r="C281" i="23"/>
  <c r="C282" i="23"/>
  <c r="C283" i="23"/>
  <c r="C284" i="23"/>
  <c r="C285" i="23"/>
  <c r="C286" i="23"/>
  <c r="C287" i="23"/>
  <c r="C288" i="23"/>
  <c r="C289" i="23"/>
  <c r="C290" i="23"/>
  <c r="C291" i="23"/>
  <c r="C292" i="23"/>
  <c r="C293" i="23"/>
  <c r="C294" i="23"/>
  <c r="C295" i="23"/>
  <c r="C296" i="23"/>
  <c r="C297" i="23"/>
  <c r="C298" i="23"/>
  <c r="C299" i="23"/>
  <c r="C300" i="23"/>
  <c r="C301" i="23"/>
  <c r="C302" i="23"/>
  <c r="C303" i="23"/>
  <c r="C304" i="23"/>
  <c r="C305" i="23"/>
  <c r="C306" i="23"/>
  <c r="C307" i="23"/>
  <c r="C308" i="23"/>
  <c r="C309" i="23"/>
  <c r="C310" i="23"/>
  <c r="C311" i="23"/>
  <c r="C312" i="23"/>
  <c r="C313" i="23"/>
  <c r="C314" i="23"/>
  <c r="C315" i="23"/>
  <c r="C316" i="23"/>
  <c r="C317" i="23"/>
  <c r="C318" i="23"/>
  <c r="C319" i="23"/>
  <c r="C320" i="23"/>
  <c r="C321" i="23"/>
  <c r="C322" i="23"/>
  <c r="C323" i="23"/>
  <c r="C324" i="23"/>
  <c r="C325" i="23"/>
  <c r="C326" i="23"/>
  <c r="C327" i="23"/>
  <c r="C328" i="23"/>
  <c r="C329" i="23"/>
  <c r="C330" i="23"/>
  <c r="C331" i="23"/>
  <c r="C332" i="23"/>
  <c r="C333" i="23"/>
  <c r="C334" i="23"/>
  <c r="C335" i="23"/>
  <c r="C336" i="23"/>
  <c r="C337" i="23"/>
  <c r="C338" i="23"/>
  <c r="C339" i="23"/>
  <c r="C340" i="23"/>
  <c r="C341" i="23"/>
  <c r="C342" i="23"/>
  <c r="C343" i="23"/>
  <c r="C344" i="23"/>
  <c r="C345" i="23"/>
  <c r="C346" i="23"/>
  <c r="C347" i="23"/>
  <c r="C348" i="23"/>
  <c r="C349" i="23"/>
  <c r="C350" i="23"/>
  <c r="C351" i="23"/>
  <c r="C352" i="23"/>
  <c r="C353" i="23"/>
  <c r="C354" i="23"/>
  <c r="C355" i="23"/>
  <c r="C356" i="23"/>
  <c r="C357" i="23"/>
  <c r="C358" i="23"/>
  <c r="C359" i="23"/>
  <c r="C360" i="23"/>
  <c r="C361" i="23"/>
  <c r="C362" i="23"/>
  <c r="C363" i="23"/>
  <c r="C364" i="23"/>
  <c r="C365" i="23"/>
  <c r="C366" i="23"/>
  <c r="C367" i="23"/>
  <c r="C368" i="23"/>
  <c r="C369" i="23"/>
  <c r="C370" i="23"/>
  <c r="C371" i="23"/>
  <c r="C372" i="23"/>
  <c r="C373" i="23"/>
  <c r="C374" i="23"/>
  <c r="C375" i="23"/>
  <c r="C376" i="23"/>
  <c r="C377" i="23"/>
  <c r="C378" i="23"/>
  <c r="C379" i="23"/>
  <c r="C380" i="23"/>
  <c r="C381" i="23"/>
  <c r="C382" i="23"/>
  <c r="C383" i="23"/>
  <c r="C384" i="23"/>
  <c r="C385" i="23"/>
  <c r="C386" i="23"/>
  <c r="C387" i="23"/>
  <c r="C388" i="23"/>
  <c r="C389" i="23"/>
  <c r="C390" i="23"/>
  <c r="C391" i="23"/>
  <c r="C392" i="23"/>
  <c r="C393" i="23"/>
  <c r="C394" i="23"/>
  <c r="C395" i="23"/>
  <c r="C396" i="23"/>
  <c r="C397" i="23"/>
  <c r="C398" i="23"/>
  <c r="C399" i="23"/>
  <c r="C400" i="23"/>
  <c r="C401" i="23"/>
  <c r="C402" i="23"/>
  <c r="C403" i="23"/>
  <c r="C404" i="23"/>
  <c r="C405" i="23"/>
  <c r="C406" i="23"/>
  <c r="C407" i="23"/>
  <c r="C408" i="23"/>
  <c r="C409" i="23"/>
  <c r="C410" i="23"/>
  <c r="C411" i="23"/>
  <c r="C412" i="23"/>
  <c r="C413" i="23"/>
  <c r="C414" i="23"/>
  <c r="C415" i="23"/>
  <c r="C416" i="23"/>
  <c r="C417" i="23"/>
  <c r="C418" i="23"/>
  <c r="C419" i="23"/>
  <c r="C420" i="23"/>
  <c r="C421" i="23"/>
  <c r="C422" i="23"/>
  <c r="C423" i="23"/>
  <c r="C424" i="23"/>
  <c r="C425" i="23"/>
  <c r="C426" i="23"/>
  <c r="C427" i="23"/>
  <c r="C428" i="23"/>
  <c r="C429" i="23"/>
  <c r="C430" i="23"/>
  <c r="C431" i="23"/>
  <c r="C432" i="23"/>
  <c r="C433" i="23"/>
  <c r="C434" i="23"/>
  <c r="C435" i="23"/>
  <c r="C436" i="23"/>
  <c r="C437" i="23"/>
  <c r="C438" i="23"/>
  <c r="C439" i="23"/>
  <c r="C440" i="23"/>
  <c r="C441" i="23"/>
  <c r="C442" i="23"/>
  <c r="C443" i="23"/>
  <c r="C444" i="23"/>
  <c r="C445" i="23"/>
  <c r="C446" i="23"/>
  <c r="C447" i="23"/>
  <c r="C448" i="23"/>
  <c r="C449" i="23"/>
  <c r="C450" i="23"/>
  <c r="C451" i="23"/>
  <c r="C452" i="23"/>
  <c r="C453" i="23"/>
  <c r="C454" i="23"/>
  <c r="C455" i="23"/>
  <c r="C456" i="23"/>
  <c r="C457" i="23"/>
  <c r="C458" i="23"/>
  <c r="C459" i="23"/>
  <c r="C460" i="23"/>
  <c r="C461" i="23"/>
  <c r="C462" i="23"/>
  <c r="C463" i="23"/>
  <c r="C464" i="23"/>
  <c r="C465" i="23"/>
  <c r="C466" i="23"/>
  <c r="C467" i="23"/>
  <c r="C468" i="23"/>
  <c r="C469" i="23"/>
  <c r="C470" i="23"/>
  <c r="C471" i="23"/>
  <c r="C472" i="23"/>
  <c r="C473" i="23"/>
  <c r="C474" i="23"/>
  <c r="C475" i="23"/>
  <c r="C476" i="23"/>
  <c r="C477" i="23"/>
  <c r="C478" i="23"/>
  <c r="C479" i="23"/>
  <c r="C480" i="23"/>
  <c r="C481" i="23"/>
  <c r="C482" i="23"/>
  <c r="C483" i="23"/>
  <c r="C484" i="23"/>
  <c r="C485" i="23"/>
  <c r="C486" i="23"/>
  <c r="C487" i="23"/>
  <c r="C488" i="23"/>
  <c r="C489" i="23"/>
  <c r="C490" i="23"/>
  <c r="C491" i="23"/>
  <c r="C492" i="23"/>
  <c r="C493" i="23"/>
  <c r="C494" i="23"/>
  <c r="C495" i="23"/>
  <c r="C496" i="23"/>
  <c r="C497" i="23"/>
  <c r="C498" i="23"/>
  <c r="C499" i="23"/>
  <c r="C500" i="23"/>
  <c r="C501" i="23"/>
  <c r="C502" i="23"/>
  <c r="C503" i="23"/>
  <c r="C504" i="23"/>
  <c r="C505" i="23"/>
  <c r="C506" i="23"/>
  <c r="C507" i="23"/>
  <c r="C508" i="23"/>
  <c r="C509" i="23"/>
  <c r="C510" i="23"/>
  <c r="C511" i="23"/>
  <c r="C512" i="23"/>
  <c r="C513" i="23"/>
  <c r="C514" i="23"/>
  <c r="C515" i="23"/>
  <c r="C516" i="23"/>
  <c r="C517" i="23"/>
  <c r="C518" i="23"/>
  <c r="C519" i="23"/>
  <c r="C520" i="23"/>
  <c r="C521" i="23"/>
  <c r="C522" i="23"/>
  <c r="C523" i="23"/>
  <c r="C524" i="23"/>
  <c r="C525" i="23"/>
  <c r="C526" i="23"/>
  <c r="C527" i="23"/>
  <c r="C528" i="23"/>
  <c r="C529" i="23"/>
  <c r="C530" i="23"/>
  <c r="C531" i="23"/>
  <c r="C532" i="23"/>
  <c r="C533" i="23"/>
  <c r="C534" i="23"/>
  <c r="C535" i="23"/>
  <c r="C536" i="23"/>
  <c r="C537" i="23"/>
  <c r="C538" i="23"/>
  <c r="C539" i="23"/>
  <c r="C540" i="23"/>
  <c r="C541" i="23"/>
  <c r="C542" i="23"/>
  <c r="C543" i="23"/>
  <c r="C544" i="23"/>
  <c r="C545" i="23"/>
  <c r="C546" i="23"/>
  <c r="C547" i="23"/>
  <c r="C548" i="23"/>
  <c r="C549" i="23"/>
  <c r="C550" i="23"/>
  <c r="C551" i="23"/>
  <c r="C552" i="23"/>
  <c r="C553" i="23"/>
  <c r="C554" i="23"/>
  <c r="C555" i="23"/>
  <c r="C556" i="23"/>
  <c r="C557" i="23"/>
  <c r="C558" i="23"/>
  <c r="C559" i="23"/>
  <c r="C560" i="23"/>
  <c r="C561" i="23"/>
  <c r="C562" i="23"/>
  <c r="C563" i="23"/>
  <c r="C564" i="23"/>
  <c r="C565" i="23"/>
  <c r="C566" i="23"/>
  <c r="C567" i="23"/>
  <c r="C568" i="23"/>
  <c r="C569" i="23"/>
  <c r="C570" i="23"/>
  <c r="C571" i="23"/>
  <c r="C572" i="23"/>
  <c r="C573" i="23"/>
  <c r="C574" i="23"/>
  <c r="C575" i="23"/>
  <c r="C576" i="23"/>
  <c r="C577" i="23"/>
  <c r="C578" i="23"/>
  <c r="C579" i="23"/>
  <c r="C580" i="23"/>
  <c r="C581" i="23"/>
  <c r="C582" i="23"/>
  <c r="C583" i="23"/>
  <c r="C584" i="23"/>
  <c r="C585" i="23"/>
  <c r="C586" i="23"/>
  <c r="C587" i="23"/>
  <c r="C588" i="23"/>
  <c r="C589" i="23"/>
  <c r="C590" i="23"/>
  <c r="C591" i="23"/>
  <c r="C592" i="23"/>
  <c r="C593" i="23"/>
  <c r="C594" i="23"/>
  <c r="C595" i="23"/>
  <c r="C596" i="23"/>
  <c r="C597" i="23"/>
  <c r="C598" i="23"/>
  <c r="C599" i="23"/>
  <c r="C600" i="23"/>
  <c r="C601" i="23"/>
  <c r="C602" i="23"/>
  <c r="C603" i="23"/>
  <c r="C604" i="23"/>
  <c r="C605" i="23"/>
  <c r="C606" i="23"/>
  <c r="C607" i="23"/>
  <c r="C608" i="23"/>
  <c r="C609" i="23"/>
  <c r="C610" i="23"/>
  <c r="C611" i="23"/>
  <c r="C612" i="23"/>
  <c r="C613" i="23"/>
  <c r="C614" i="23"/>
  <c r="C615" i="23"/>
  <c r="C616" i="23"/>
  <c r="C617" i="23"/>
  <c r="C618" i="23"/>
  <c r="C619" i="23"/>
  <c r="C620" i="23"/>
  <c r="C621" i="23"/>
  <c r="C622" i="23"/>
  <c r="C623" i="23"/>
  <c r="C624" i="23"/>
  <c r="C625" i="23"/>
  <c r="C626" i="23"/>
  <c r="C627" i="23"/>
  <c r="C628" i="23"/>
  <c r="C629" i="23"/>
  <c r="C630" i="23"/>
  <c r="C631" i="23"/>
  <c r="C632" i="23"/>
  <c r="C633" i="23"/>
  <c r="C634" i="23"/>
  <c r="C635" i="23"/>
  <c r="C636" i="23"/>
  <c r="C637" i="23"/>
  <c r="C638" i="23"/>
  <c r="C639" i="23"/>
  <c r="C640" i="23"/>
  <c r="C641" i="23"/>
  <c r="C642" i="23"/>
  <c r="C643" i="23"/>
  <c r="C644" i="23"/>
  <c r="C645" i="23"/>
  <c r="C646" i="23"/>
  <c r="C647" i="23"/>
  <c r="C648" i="23"/>
  <c r="C649" i="23"/>
  <c r="C650" i="23"/>
  <c r="C651" i="23"/>
  <c r="C652" i="23"/>
  <c r="C653" i="23"/>
  <c r="C654" i="23"/>
  <c r="C655" i="23"/>
  <c r="C656" i="23"/>
  <c r="C657" i="23"/>
  <c r="C658" i="23"/>
  <c r="C659" i="23"/>
  <c r="C660" i="23"/>
  <c r="C661" i="23"/>
  <c r="C662" i="23"/>
  <c r="C663" i="23"/>
  <c r="C664" i="23"/>
  <c r="C665" i="23"/>
  <c r="C666" i="23"/>
  <c r="C667" i="23"/>
  <c r="C668" i="23"/>
  <c r="C669" i="23"/>
  <c r="C670" i="23"/>
  <c r="C671" i="23"/>
  <c r="C672" i="23"/>
  <c r="C673" i="23"/>
  <c r="C674" i="23"/>
  <c r="C675" i="23"/>
  <c r="C676" i="23"/>
  <c r="C677" i="23"/>
  <c r="C678" i="23"/>
  <c r="C679" i="23"/>
  <c r="C680" i="23"/>
  <c r="C681" i="23"/>
  <c r="C682" i="23"/>
  <c r="C683" i="23"/>
  <c r="C684" i="23"/>
  <c r="C685" i="23"/>
  <c r="C686" i="23"/>
  <c r="C687" i="23"/>
  <c r="C688" i="23"/>
  <c r="C689" i="23"/>
  <c r="C690" i="23"/>
  <c r="C691" i="23"/>
  <c r="C692" i="23"/>
  <c r="C693" i="23"/>
  <c r="C694" i="23"/>
  <c r="C695" i="23"/>
  <c r="C696" i="23"/>
  <c r="C697" i="23"/>
  <c r="C698" i="23"/>
  <c r="C699" i="23"/>
  <c r="C700" i="23"/>
  <c r="C701" i="23"/>
  <c r="C702" i="23"/>
  <c r="C703" i="23"/>
  <c r="C704" i="23"/>
  <c r="C705" i="23"/>
  <c r="C706" i="23"/>
  <c r="C707" i="23"/>
  <c r="C708" i="23"/>
  <c r="C709" i="23"/>
  <c r="C710" i="23"/>
  <c r="C711" i="23"/>
  <c r="C712" i="23"/>
  <c r="C713" i="23"/>
  <c r="C714" i="23"/>
  <c r="C715" i="23"/>
  <c r="C716" i="23"/>
  <c r="C717" i="23"/>
  <c r="C718" i="23"/>
  <c r="C719" i="23"/>
  <c r="C720" i="23"/>
  <c r="C721" i="23"/>
  <c r="C722" i="23"/>
  <c r="C723" i="23"/>
  <c r="C724" i="23"/>
  <c r="C725" i="23"/>
  <c r="C726" i="23"/>
  <c r="C727" i="23"/>
  <c r="C728" i="23"/>
  <c r="C729" i="23"/>
  <c r="C730" i="23"/>
  <c r="C731" i="23"/>
  <c r="C732" i="23"/>
  <c r="C733" i="23"/>
  <c r="C734" i="23"/>
  <c r="C735" i="23"/>
  <c r="C736" i="23"/>
  <c r="C737" i="23"/>
  <c r="C738" i="23"/>
  <c r="C739" i="23"/>
  <c r="C740" i="23"/>
  <c r="C741" i="23"/>
  <c r="C742" i="23"/>
  <c r="C743" i="23"/>
  <c r="C744" i="23"/>
  <c r="C745" i="23"/>
  <c r="C746" i="23"/>
  <c r="C747" i="23"/>
  <c r="C748" i="23"/>
  <c r="C749" i="23"/>
  <c r="C750" i="23"/>
  <c r="C751" i="23"/>
  <c r="C752" i="23"/>
  <c r="C753" i="23"/>
  <c r="C754" i="23"/>
  <c r="C755" i="23"/>
  <c r="C756" i="23"/>
  <c r="C757" i="23"/>
  <c r="C758" i="23"/>
  <c r="C759" i="23"/>
  <c r="C760" i="23"/>
  <c r="C761" i="23"/>
  <c r="C762" i="23"/>
  <c r="C763" i="23"/>
  <c r="C764" i="23"/>
  <c r="C765" i="23"/>
  <c r="C766" i="23"/>
  <c r="C767" i="23"/>
  <c r="C768" i="23"/>
  <c r="C769" i="23"/>
  <c r="C770" i="23"/>
  <c r="C771" i="23"/>
  <c r="C772" i="23"/>
  <c r="C773" i="23"/>
  <c r="C774" i="23"/>
  <c r="C775" i="23"/>
  <c r="C776" i="23"/>
  <c r="C777" i="23"/>
  <c r="C778" i="23"/>
  <c r="C779" i="23"/>
  <c r="C780" i="23"/>
  <c r="C781" i="23"/>
  <c r="C782" i="23"/>
  <c r="C783" i="23"/>
  <c r="C784" i="23"/>
  <c r="C785" i="23"/>
  <c r="C786" i="23"/>
  <c r="C787" i="23"/>
  <c r="C788" i="23"/>
  <c r="C789" i="23"/>
  <c r="C790" i="23"/>
  <c r="C791" i="23"/>
  <c r="C792" i="23"/>
  <c r="C793" i="23"/>
  <c r="C794" i="23"/>
  <c r="C795" i="23"/>
  <c r="C796" i="23"/>
  <c r="C797" i="23"/>
  <c r="C798" i="23"/>
  <c r="C799" i="23"/>
  <c r="C800" i="23"/>
  <c r="C801" i="23"/>
  <c r="C802" i="23"/>
  <c r="C803" i="23"/>
  <c r="C804" i="23"/>
  <c r="C805" i="23"/>
  <c r="C806" i="23"/>
  <c r="C807" i="23"/>
  <c r="C808" i="23"/>
  <c r="C809" i="23"/>
  <c r="C810" i="23"/>
  <c r="C811" i="23"/>
  <c r="C812" i="23"/>
  <c r="C813" i="23"/>
  <c r="C814" i="23"/>
  <c r="C815" i="23"/>
  <c r="C816" i="23"/>
  <c r="C817" i="23"/>
  <c r="C818" i="23"/>
  <c r="C819" i="23"/>
  <c r="C820" i="23"/>
  <c r="C821" i="23"/>
  <c r="C822" i="23"/>
  <c r="C823" i="23"/>
  <c r="C824" i="23"/>
  <c r="C825" i="23"/>
  <c r="C826" i="23"/>
  <c r="C827" i="23"/>
  <c r="C828" i="23"/>
  <c r="C829" i="23"/>
  <c r="C830" i="23"/>
  <c r="C831" i="23"/>
  <c r="C832" i="23"/>
  <c r="C833" i="23"/>
  <c r="C834" i="23"/>
  <c r="C835" i="23"/>
  <c r="C836" i="23"/>
  <c r="C837" i="23"/>
  <c r="C838" i="23"/>
  <c r="C839" i="23"/>
  <c r="C840" i="23"/>
  <c r="C841" i="23"/>
  <c r="C842" i="23"/>
  <c r="C843" i="23"/>
  <c r="C844" i="23"/>
  <c r="C845" i="23"/>
  <c r="C846" i="23"/>
  <c r="C847" i="23"/>
  <c r="C848" i="23"/>
  <c r="C849" i="23"/>
  <c r="C850" i="23"/>
  <c r="C851" i="23"/>
  <c r="C852" i="23"/>
  <c r="C853" i="23"/>
  <c r="C854" i="23"/>
  <c r="C855" i="23"/>
  <c r="C856" i="23"/>
  <c r="C857" i="23"/>
  <c r="C858" i="23"/>
  <c r="C859" i="23"/>
  <c r="C860" i="23"/>
  <c r="C861" i="23"/>
  <c r="C862" i="23"/>
  <c r="C863" i="23"/>
  <c r="C864" i="23"/>
  <c r="C865" i="23"/>
  <c r="C866" i="23"/>
  <c r="C867" i="23"/>
  <c r="C868" i="23"/>
  <c r="C869" i="23"/>
  <c r="C870" i="23"/>
  <c r="C871" i="23"/>
  <c r="C872" i="23"/>
  <c r="C873" i="23"/>
  <c r="C874" i="23"/>
  <c r="C875" i="23"/>
  <c r="C876" i="23"/>
  <c r="C877" i="23"/>
  <c r="C878" i="23"/>
  <c r="C879" i="23"/>
  <c r="C880" i="23"/>
  <c r="C881" i="23"/>
  <c r="C882" i="23"/>
  <c r="C883" i="23"/>
  <c r="C884" i="23"/>
  <c r="C885" i="23"/>
  <c r="C886" i="23"/>
  <c r="C887" i="23"/>
  <c r="C888" i="23"/>
  <c r="C889" i="23"/>
  <c r="C890" i="23"/>
  <c r="C891" i="23"/>
  <c r="C1" i="23"/>
  <c r="B2" i="23"/>
  <c r="B3" i="23"/>
  <c r="B4" i="23"/>
  <c r="B5" i="23"/>
  <c r="B6" i="23"/>
  <c r="B7" i="23"/>
  <c r="B8" i="23"/>
  <c r="B9" i="23"/>
  <c r="B10" i="23"/>
  <c r="B11" i="23"/>
  <c r="B12" i="23"/>
  <c r="B13" i="23"/>
  <c r="B14" i="23"/>
  <c r="B15" i="23"/>
  <c r="B16" i="23"/>
  <c r="B17" i="23"/>
  <c r="B18" i="23"/>
  <c r="B19" i="23"/>
  <c r="B20" i="23"/>
  <c r="B21" i="23"/>
  <c r="B22" i="23"/>
  <c r="B23" i="23"/>
  <c r="B24" i="23"/>
  <c r="B25" i="23"/>
  <c r="B26" i="23"/>
  <c r="B27" i="23"/>
  <c r="B28" i="23"/>
  <c r="B29" i="23"/>
  <c r="B30" i="23"/>
  <c r="B31" i="23"/>
  <c r="B32" i="23"/>
  <c r="B33" i="23"/>
  <c r="B34" i="23"/>
  <c r="B35" i="23"/>
  <c r="B36" i="23"/>
  <c r="B37" i="23"/>
  <c r="B38" i="23"/>
  <c r="B39" i="23"/>
  <c r="B40" i="23"/>
  <c r="B41" i="23"/>
  <c r="B42" i="23"/>
  <c r="B43" i="23"/>
  <c r="B44" i="23"/>
  <c r="B45" i="23"/>
  <c r="B46" i="23"/>
  <c r="B47" i="23"/>
  <c r="B48" i="23"/>
  <c r="B49" i="23"/>
  <c r="B50" i="23"/>
  <c r="B51" i="23"/>
  <c r="B52" i="23"/>
  <c r="B53" i="23"/>
  <c r="B54" i="23"/>
  <c r="B55" i="23"/>
  <c r="B56" i="23"/>
  <c r="B57" i="23"/>
  <c r="B58" i="23"/>
  <c r="B59" i="23"/>
  <c r="B60" i="23"/>
  <c r="B61" i="23"/>
  <c r="B62" i="23"/>
  <c r="B63" i="23"/>
  <c r="B64" i="23"/>
  <c r="B65" i="23"/>
  <c r="B66" i="23"/>
  <c r="B67" i="23"/>
  <c r="B68" i="23"/>
  <c r="B69" i="23"/>
  <c r="B70" i="23"/>
  <c r="B71" i="23"/>
  <c r="B72" i="23"/>
  <c r="B73" i="23"/>
  <c r="B74" i="23"/>
  <c r="B75" i="23"/>
  <c r="B76" i="23"/>
  <c r="B77" i="23"/>
  <c r="B78" i="23"/>
  <c r="B79" i="23"/>
  <c r="B80" i="23"/>
  <c r="B81" i="23"/>
  <c r="B82" i="23"/>
  <c r="B83" i="23"/>
  <c r="B84" i="23"/>
  <c r="B85" i="23"/>
  <c r="B86" i="23"/>
  <c r="B87" i="23"/>
  <c r="B88" i="23"/>
  <c r="B89" i="23"/>
  <c r="B90" i="23"/>
  <c r="B91" i="23"/>
  <c r="B92" i="23"/>
  <c r="B93" i="23"/>
  <c r="B94" i="23"/>
  <c r="B95" i="23"/>
  <c r="B96" i="23"/>
  <c r="B97" i="23"/>
  <c r="B98" i="23"/>
  <c r="B99" i="23"/>
  <c r="B100" i="23"/>
  <c r="B101" i="23"/>
  <c r="B102" i="23"/>
  <c r="B103" i="23"/>
  <c r="B104" i="23"/>
  <c r="B105" i="23"/>
  <c r="B106" i="23"/>
  <c r="B107" i="23"/>
  <c r="B108" i="23"/>
  <c r="B109" i="23"/>
  <c r="B110" i="23"/>
  <c r="B111" i="23"/>
  <c r="B112" i="23"/>
  <c r="B113" i="23"/>
  <c r="B114" i="23"/>
  <c r="B115" i="23"/>
  <c r="B116" i="23"/>
  <c r="B117" i="23"/>
  <c r="B118" i="23"/>
  <c r="B119" i="23"/>
  <c r="B120" i="23"/>
  <c r="B121" i="23"/>
  <c r="B122" i="23"/>
  <c r="B123" i="23"/>
  <c r="B124" i="23"/>
  <c r="B125" i="23"/>
  <c r="B126" i="23"/>
  <c r="B127" i="23"/>
  <c r="B128" i="23"/>
  <c r="B129" i="23"/>
  <c r="B130" i="23"/>
  <c r="B131" i="23"/>
  <c r="B132" i="23"/>
  <c r="B133" i="23"/>
  <c r="B134" i="23"/>
  <c r="B135" i="23"/>
  <c r="B136" i="23"/>
  <c r="B137" i="23"/>
  <c r="B138" i="23"/>
  <c r="B139" i="23"/>
  <c r="B140" i="23"/>
  <c r="B141" i="23"/>
  <c r="B142" i="23"/>
  <c r="B143" i="23"/>
  <c r="B144" i="23"/>
  <c r="B145" i="23"/>
  <c r="B146" i="23"/>
  <c r="B147" i="23"/>
  <c r="B148" i="23"/>
  <c r="B149" i="23"/>
  <c r="B150" i="23"/>
  <c r="B151" i="23"/>
  <c r="B152" i="23"/>
  <c r="B153" i="23"/>
  <c r="B154" i="23"/>
  <c r="B155" i="23"/>
  <c r="B156" i="23"/>
  <c r="B157" i="23"/>
  <c r="B158" i="23"/>
  <c r="B159" i="23"/>
  <c r="B160" i="23"/>
  <c r="B161" i="23"/>
  <c r="B162" i="23"/>
  <c r="B163" i="23"/>
  <c r="B164" i="23"/>
  <c r="B165" i="23"/>
  <c r="B166" i="23"/>
  <c r="B167" i="23"/>
  <c r="B168" i="23"/>
  <c r="B169" i="23"/>
  <c r="B170" i="23"/>
  <c r="B171" i="23"/>
  <c r="B172" i="23"/>
  <c r="B173" i="23"/>
  <c r="B174" i="23"/>
  <c r="B175" i="23"/>
  <c r="B176" i="23"/>
  <c r="B177" i="23"/>
  <c r="B178" i="23"/>
  <c r="B179" i="23"/>
  <c r="B180" i="23"/>
  <c r="B181" i="23"/>
  <c r="B182" i="23"/>
  <c r="B183" i="23"/>
  <c r="B184" i="23"/>
  <c r="B185" i="23"/>
  <c r="B186" i="23"/>
  <c r="B187" i="23"/>
  <c r="B188" i="23"/>
  <c r="B189" i="23"/>
  <c r="B190" i="23"/>
  <c r="B191" i="23"/>
  <c r="B192" i="23"/>
  <c r="B193" i="23"/>
  <c r="B194" i="23"/>
  <c r="B195" i="23"/>
  <c r="B196" i="23"/>
  <c r="B197" i="23"/>
  <c r="B198" i="23"/>
  <c r="B199" i="23"/>
  <c r="B200" i="23"/>
  <c r="B201" i="23"/>
  <c r="B202" i="23"/>
  <c r="B203" i="23"/>
  <c r="B204" i="23"/>
  <c r="B205" i="23"/>
  <c r="B206" i="23"/>
  <c r="B207" i="23"/>
  <c r="B208" i="23"/>
  <c r="B209" i="23"/>
  <c r="B210" i="23"/>
  <c r="B211" i="23"/>
  <c r="B212" i="23"/>
  <c r="B213" i="23"/>
  <c r="B214" i="23"/>
  <c r="B215" i="23"/>
  <c r="B216" i="23"/>
  <c r="B217" i="23"/>
  <c r="B218" i="23"/>
  <c r="B219" i="23"/>
  <c r="B220" i="23"/>
  <c r="B221" i="23"/>
  <c r="B222" i="23"/>
  <c r="B223" i="23"/>
  <c r="B224" i="23"/>
  <c r="B225" i="23"/>
  <c r="B226" i="23"/>
  <c r="B227" i="23"/>
  <c r="B228" i="23"/>
  <c r="B229" i="23"/>
  <c r="B230" i="23"/>
  <c r="B231" i="23"/>
  <c r="B232" i="23"/>
  <c r="B233" i="23"/>
  <c r="B234" i="23"/>
  <c r="B235" i="23"/>
  <c r="B236" i="23"/>
  <c r="B237" i="23"/>
  <c r="B238" i="23"/>
  <c r="B239" i="23"/>
  <c r="B240" i="23"/>
  <c r="B241" i="23"/>
  <c r="B242" i="23"/>
  <c r="B243" i="23"/>
  <c r="B244" i="23"/>
  <c r="B245" i="23"/>
  <c r="B246" i="23"/>
  <c r="B247" i="23"/>
  <c r="B248" i="23"/>
  <c r="B249" i="23"/>
  <c r="B250" i="23"/>
  <c r="B251" i="23"/>
  <c r="B252" i="23"/>
  <c r="B253" i="23"/>
  <c r="B254" i="23"/>
  <c r="B255" i="23"/>
  <c r="B256" i="23"/>
  <c r="B257" i="23"/>
  <c r="B258" i="23"/>
  <c r="B259" i="23"/>
  <c r="B260" i="23"/>
  <c r="B261" i="23"/>
  <c r="B262" i="23"/>
  <c r="B263" i="23"/>
  <c r="B264" i="23"/>
  <c r="B265" i="23"/>
  <c r="B266" i="23"/>
  <c r="B267" i="23"/>
  <c r="B268" i="23"/>
  <c r="B269" i="23"/>
  <c r="B270" i="23"/>
  <c r="B271" i="23"/>
  <c r="B272" i="23"/>
  <c r="B273" i="23"/>
  <c r="B274" i="23"/>
  <c r="B275" i="23"/>
  <c r="B276" i="23"/>
  <c r="B277" i="23"/>
  <c r="B278" i="23"/>
  <c r="B279" i="23"/>
  <c r="B280" i="23"/>
  <c r="B281" i="23"/>
  <c r="B282" i="23"/>
  <c r="B283" i="23"/>
  <c r="B284" i="23"/>
  <c r="B285" i="23"/>
  <c r="B286" i="23"/>
  <c r="B287" i="23"/>
  <c r="B288" i="23"/>
  <c r="B289" i="23"/>
  <c r="B290" i="23"/>
  <c r="B291" i="23"/>
  <c r="B292" i="23"/>
  <c r="B293" i="23"/>
  <c r="B294" i="23"/>
  <c r="B295" i="23"/>
  <c r="B296" i="23"/>
  <c r="B297" i="23"/>
  <c r="B298" i="23"/>
  <c r="B299" i="23"/>
  <c r="B300" i="23"/>
  <c r="B301" i="23"/>
  <c r="B302" i="23"/>
  <c r="B303" i="23"/>
  <c r="B304" i="23"/>
  <c r="B305" i="23"/>
  <c r="B306" i="23"/>
  <c r="B307" i="23"/>
  <c r="B308" i="23"/>
  <c r="B309" i="23"/>
  <c r="B310" i="23"/>
  <c r="B311" i="23"/>
  <c r="B312" i="23"/>
  <c r="B313" i="23"/>
  <c r="B314" i="23"/>
  <c r="B315" i="23"/>
  <c r="B316" i="23"/>
  <c r="B317" i="23"/>
  <c r="B318" i="23"/>
  <c r="B319" i="23"/>
  <c r="B320" i="23"/>
  <c r="B321" i="23"/>
  <c r="B322" i="23"/>
  <c r="B323" i="23"/>
  <c r="B324" i="23"/>
  <c r="B325" i="23"/>
  <c r="B326" i="23"/>
  <c r="B327" i="23"/>
  <c r="B328" i="23"/>
  <c r="B329" i="23"/>
  <c r="B330" i="23"/>
  <c r="B331" i="23"/>
  <c r="B332" i="23"/>
  <c r="B333" i="23"/>
  <c r="B334" i="23"/>
  <c r="B335" i="23"/>
  <c r="B336" i="23"/>
  <c r="B337" i="23"/>
  <c r="B338" i="23"/>
  <c r="B339" i="23"/>
  <c r="B340" i="23"/>
  <c r="B341" i="23"/>
  <c r="B342" i="23"/>
  <c r="B343" i="23"/>
  <c r="B344" i="23"/>
  <c r="B345" i="23"/>
  <c r="B346" i="23"/>
  <c r="B347" i="23"/>
  <c r="B348" i="23"/>
  <c r="B349" i="23"/>
  <c r="B350" i="23"/>
  <c r="B351" i="23"/>
  <c r="B352" i="23"/>
  <c r="B353" i="23"/>
  <c r="B354" i="23"/>
  <c r="B355" i="23"/>
  <c r="B356" i="23"/>
  <c r="B357" i="23"/>
  <c r="B358" i="23"/>
  <c r="B359" i="23"/>
  <c r="B360" i="23"/>
  <c r="B361" i="23"/>
  <c r="B362" i="23"/>
  <c r="B363" i="23"/>
  <c r="B364" i="23"/>
  <c r="B365" i="23"/>
  <c r="B366" i="23"/>
  <c r="B367" i="23"/>
  <c r="B368" i="23"/>
  <c r="B369" i="23"/>
  <c r="B370" i="23"/>
  <c r="B371" i="23"/>
  <c r="B372" i="23"/>
  <c r="B373" i="23"/>
  <c r="B374" i="23"/>
  <c r="B375" i="23"/>
  <c r="B376" i="23"/>
  <c r="B377" i="23"/>
  <c r="B378" i="23"/>
  <c r="B379" i="23"/>
  <c r="B380" i="23"/>
  <c r="B381" i="23"/>
  <c r="B382" i="23"/>
  <c r="B383" i="23"/>
  <c r="B384" i="23"/>
  <c r="B385" i="23"/>
  <c r="B386" i="23"/>
  <c r="B387" i="23"/>
  <c r="B388" i="23"/>
  <c r="B389" i="23"/>
  <c r="B390" i="23"/>
  <c r="B391" i="23"/>
  <c r="B392" i="23"/>
  <c r="B393" i="23"/>
  <c r="B394" i="23"/>
  <c r="B395" i="23"/>
  <c r="B396" i="23"/>
  <c r="B397" i="23"/>
  <c r="B398" i="23"/>
  <c r="B399" i="23"/>
  <c r="B400" i="23"/>
  <c r="B401" i="23"/>
  <c r="B402" i="23"/>
  <c r="B403" i="23"/>
  <c r="B404" i="23"/>
  <c r="B405" i="23"/>
  <c r="B406" i="23"/>
  <c r="B407" i="23"/>
  <c r="B408" i="23"/>
  <c r="B409" i="23"/>
  <c r="B410" i="23"/>
  <c r="B411" i="23"/>
  <c r="B412" i="23"/>
  <c r="B413" i="23"/>
  <c r="B414" i="23"/>
  <c r="B415" i="23"/>
  <c r="B416" i="23"/>
  <c r="B417" i="23"/>
  <c r="B418" i="23"/>
  <c r="B419" i="23"/>
  <c r="B420" i="23"/>
  <c r="B421" i="23"/>
  <c r="B422" i="23"/>
  <c r="B423" i="23"/>
  <c r="B424" i="23"/>
  <c r="B425" i="23"/>
  <c r="B426" i="23"/>
  <c r="B427" i="23"/>
  <c r="B428" i="23"/>
  <c r="B429" i="23"/>
  <c r="B430" i="23"/>
  <c r="B431" i="23"/>
  <c r="B432" i="23"/>
  <c r="B433" i="23"/>
  <c r="B434" i="23"/>
  <c r="B435" i="23"/>
  <c r="B436" i="23"/>
  <c r="B437" i="23"/>
  <c r="B438" i="23"/>
  <c r="B439" i="23"/>
  <c r="B440" i="23"/>
  <c r="B441" i="23"/>
  <c r="B442" i="23"/>
  <c r="B443" i="23"/>
  <c r="B444" i="23"/>
  <c r="B445" i="23"/>
  <c r="B446" i="23"/>
  <c r="B447" i="23"/>
  <c r="B448" i="23"/>
  <c r="B449" i="23"/>
  <c r="B450" i="23"/>
  <c r="B451" i="23"/>
  <c r="B452" i="23"/>
  <c r="B453" i="23"/>
  <c r="B454" i="23"/>
  <c r="B455" i="23"/>
  <c r="B456" i="23"/>
  <c r="B457" i="23"/>
  <c r="B458" i="23"/>
  <c r="B459" i="23"/>
  <c r="B460" i="23"/>
  <c r="B461" i="23"/>
  <c r="B462" i="23"/>
  <c r="B463" i="23"/>
  <c r="B464" i="23"/>
  <c r="B465" i="23"/>
  <c r="B466" i="23"/>
  <c r="B467" i="23"/>
  <c r="B468" i="23"/>
  <c r="B469" i="23"/>
  <c r="B470" i="23"/>
  <c r="B471" i="23"/>
  <c r="B472" i="23"/>
  <c r="B473" i="23"/>
  <c r="B474" i="23"/>
  <c r="B475" i="23"/>
  <c r="B476" i="23"/>
  <c r="B477" i="23"/>
  <c r="B478" i="23"/>
  <c r="B479" i="23"/>
  <c r="B480" i="23"/>
  <c r="B481" i="23"/>
  <c r="B482" i="23"/>
  <c r="B483" i="23"/>
  <c r="B484" i="23"/>
  <c r="B485" i="23"/>
  <c r="B486" i="23"/>
  <c r="B487" i="23"/>
  <c r="B488" i="23"/>
  <c r="B489" i="23"/>
  <c r="B490" i="23"/>
  <c r="B491" i="23"/>
  <c r="B492" i="23"/>
  <c r="B493" i="23"/>
  <c r="B494" i="23"/>
  <c r="B495" i="23"/>
  <c r="B496" i="23"/>
  <c r="B497" i="23"/>
  <c r="B498" i="23"/>
  <c r="B499" i="23"/>
  <c r="B500" i="23"/>
  <c r="B501" i="23"/>
  <c r="B502" i="23"/>
  <c r="B503" i="23"/>
  <c r="B504" i="23"/>
  <c r="B505" i="23"/>
  <c r="B506" i="23"/>
  <c r="B507" i="23"/>
  <c r="B508" i="23"/>
  <c r="B509" i="23"/>
  <c r="B510" i="23"/>
  <c r="B511" i="23"/>
  <c r="B512" i="23"/>
  <c r="B513" i="23"/>
  <c r="B514" i="23"/>
  <c r="B515" i="23"/>
  <c r="B516" i="23"/>
  <c r="B517" i="23"/>
  <c r="B518" i="23"/>
  <c r="B519" i="23"/>
  <c r="B520" i="23"/>
  <c r="B521" i="23"/>
  <c r="B522" i="23"/>
  <c r="B523" i="23"/>
  <c r="B524" i="23"/>
  <c r="B525" i="23"/>
  <c r="B526" i="23"/>
  <c r="B527" i="23"/>
  <c r="B528" i="23"/>
  <c r="B529" i="23"/>
  <c r="B530" i="23"/>
  <c r="B531" i="23"/>
  <c r="B532" i="23"/>
  <c r="B533" i="23"/>
  <c r="B534" i="23"/>
  <c r="B535" i="23"/>
  <c r="B536" i="23"/>
  <c r="B537" i="23"/>
  <c r="B538" i="23"/>
  <c r="B539" i="23"/>
  <c r="B540" i="23"/>
  <c r="B541" i="23"/>
  <c r="B542" i="23"/>
  <c r="B543" i="23"/>
  <c r="B544" i="23"/>
  <c r="B545" i="23"/>
  <c r="B546" i="23"/>
  <c r="B547" i="23"/>
  <c r="B548" i="23"/>
  <c r="B549" i="23"/>
  <c r="B550" i="23"/>
  <c r="B551" i="23"/>
  <c r="B552" i="23"/>
  <c r="B553" i="23"/>
  <c r="B554" i="23"/>
  <c r="B555" i="23"/>
  <c r="B556" i="23"/>
  <c r="B557" i="23"/>
  <c r="B558" i="23"/>
  <c r="B559" i="23"/>
  <c r="B560" i="23"/>
  <c r="B561" i="23"/>
  <c r="B562" i="23"/>
  <c r="B563" i="23"/>
  <c r="B564" i="23"/>
  <c r="B565" i="23"/>
  <c r="B566" i="23"/>
  <c r="B567" i="23"/>
  <c r="B568" i="23"/>
  <c r="B569" i="23"/>
  <c r="B570" i="23"/>
  <c r="B571" i="23"/>
  <c r="B572" i="23"/>
  <c r="B573" i="23"/>
  <c r="B574" i="23"/>
  <c r="B575" i="23"/>
  <c r="B576" i="23"/>
  <c r="B577" i="23"/>
  <c r="B578" i="23"/>
  <c r="B579" i="23"/>
  <c r="B580" i="23"/>
  <c r="B581" i="23"/>
  <c r="B582" i="23"/>
  <c r="B583" i="23"/>
  <c r="B584" i="23"/>
  <c r="B585" i="23"/>
  <c r="B586" i="23"/>
  <c r="B587" i="23"/>
  <c r="B588" i="23"/>
  <c r="B589" i="23"/>
  <c r="B590" i="23"/>
  <c r="B591" i="23"/>
  <c r="B592" i="23"/>
  <c r="B593" i="23"/>
  <c r="B594" i="23"/>
  <c r="B595" i="23"/>
  <c r="B596" i="23"/>
  <c r="B597" i="23"/>
  <c r="B598" i="23"/>
  <c r="B599" i="23"/>
  <c r="B600" i="23"/>
  <c r="B601" i="23"/>
  <c r="B602" i="23"/>
  <c r="B603" i="23"/>
  <c r="B604" i="23"/>
  <c r="B605" i="23"/>
  <c r="B606" i="23"/>
  <c r="B607" i="23"/>
  <c r="B608" i="23"/>
  <c r="B609" i="23"/>
  <c r="B610" i="23"/>
  <c r="B611" i="23"/>
  <c r="B612" i="23"/>
  <c r="B613" i="23"/>
  <c r="B614" i="23"/>
  <c r="B615" i="23"/>
  <c r="B616" i="23"/>
  <c r="B617" i="23"/>
  <c r="B618" i="23"/>
  <c r="B619" i="23"/>
  <c r="B620" i="23"/>
  <c r="B621" i="23"/>
  <c r="B622" i="23"/>
  <c r="B623" i="23"/>
  <c r="B624" i="23"/>
  <c r="B625" i="23"/>
  <c r="B626" i="23"/>
  <c r="B627" i="23"/>
  <c r="B628" i="23"/>
  <c r="B629" i="23"/>
  <c r="B630" i="23"/>
  <c r="B631" i="23"/>
  <c r="B632" i="23"/>
  <c r="B633" i="23"/>
  <c r="B634" i="23"/>
  <c r="B635" i="23"/>
  <c r="B636" i="23"/>
  <c r="B637" i="23"/>
  <c r="B638" i="23"/>
  <c r="B639" i="23"/>
  <c r="B640" i="23"/>
  <c r="B641" i="23"/>
  <c r="B642" i="23"/>
  <c r="B643" i="23"/>
  <c r="B644" i="23"/>
  <c r="B645" i="23"/>
  <c r="B646" i="23"/>
  <c r="B647" i="23"/>
  <c r="B648" i="23"/>
  <c r="B649" i="23"/>
  <c r="B650" i="23"/>
  <c r="B651" i="23"/>
  <c r="B652" i="23"/>
  <c r="B653" i="23"/>
  <c r="B654" i="23"/>
  <c r="B655" i="23"/>
  <c r="B656" i="23"/>
  <c r="B657" i="23"/>
  <c r="B658" i="23"/>
  <c r="B659" i="23"/>
  <c r="B660" i="23"/>
  <c r="B661" i="23"/>
  <c r="B662" i="23"/>
  <c r="B663" i="23"/>
  <c r="B664" i="23"/>
  <c r="B665" i="23"/>
  <c r="B666" i="23"/>
  <c r="B667" i="23"/>
  <c r="B668" i="23"/>
  <c r="B669" i="23"/>
  <c r="B670" i="23"/>
  <c r="B671" i="23"/>
  <c r="B672" i="23"/>
  <c r="B673" i="23"/>
  <c r="B674" i="23"/>
  <c r="B675" i="23"/>
  <c r="B676" i="23"/>
  <c r="B677" i="23"/>
  <c r="B678" i="23"/>
  <c r="B679" i="23"/>
  <c r="B680" i="23"/>
  <c r="B681" i="23"/>
  <c r="B682" i="23"/>
  <c r="B683" i="23"/>
  <c r="B684" i="23"/>
  <c r="B685" i="23"/>
  <c r="B686" i="23"/>
  <c r="B687" i="23"/>
  <c r="B688" i="23"/>
  <c r="B689" i="23"/>
  <c r="B690" i="23"/>
  <c r="B691" i="23"/>
  <c r="B692" i="23"/>
  <c r="B693" i="23"/>
  <c r="B694" i="23"/>
  <c r="B695" i="23"/>
  <c r="B696" i="23"/>
  <c r="B697" i="23"/>
  <c r="B698" i="23"/>
  <c r="B699" i="23"/>
  <c r="B700" i="23"/>
  <c r="B701" i="23"/>
  <c r="B702" i="23"/>
  <c r="B703" i="23"/>
  <c r="B704" i="23"/>
  <c r="B705" i="23"/>
  <c r="B706" i="23"/>
  <c r="B707" i="23"/>
  <c r="B708" i="23"/>
  <c r="B709" i="23"/>
  <c r="B710" i="23"/>
  <c r="B711" i="23"/>
  <c r="B712" i="23"/>
  <c r="B713" i="23"/>
  <c r="B714" i="23"/>
  <c r="B715" i="23"/>
  <c r="B716" i="23"/>
  <c r="B717" i="23"/>
  <c r="B718" i="23"/>
  <c r="B719" i="23"/>
  <c r="B720" i="23"/>
  <c r="B721" i="23"/>
  <c r="B722" i="23"/>
  <c r="B723" i="23"/>
  <c r="B724" i="23"/>
  <c r="B725" i="23"/>
  <c r="B726" i="23"/>
  <c r="B727" i="23"/>
  <c r="B728" i="23"/>
  <c r="B729" i="23"/>
  <c r="B730" i="23"/>
  <c r="B731" i="23"/>
  <c r="B732" i="23"/>
  <c r="B733" i="23"/>
  <c r="B734" i="23"/>
  <c r="B735" i="23"/>
  <c r="B736" i="23"/>
  <c r="B737" i="23"/>
  <c r="B738" i="23"/>
  <c r="B739" i="23"/>
  <c r="B740" i="23"/>
  <c r="B741" i="23"/>
  <c r="B742" i="23"/>
  <c r="B743" i="23"/>
  <c r="B744" i="23"/>
  <c r="B745" i="23"/>
  <c r="B746" i="23"/>
  <c r="B747" i="23"/>
  <c r="B748" i="23"/>
  <c r="B749" i="23"/>
  <c r="B750" i="23"/>
  <c r="B751" i="23"/>
  <c r="B752" i="23"/>
  <c r="B753" i="23"/>
  <c r="B754" i="23"/>
  <c r="B755" i="23"/>
  <c r="B756" i="23"/>
  <c r="B757" i="23"/>
  <c r="B758" i="23"/>
  <c r="B759" i="23"/>
  <c r="B760" i="23"/>
  <c r="B761" i="23"/>
  <c r="B762" i="23"/>
  <c r="B763" i="23"/>
  <c r="B764" i="23"/>
  <c r="B765" i="23"/>
  <c r="B766" i="23"/>
  <c r="B767" i="23"/>
  <c r="B768" i="23"/>
  <c r="B769" i="23"/>
  <c r="B770" i="23"/>
  <c r="B771" i="23"/>
  <c r="B772" i="23"/>
  <c r="B773" i="23"/>
  <c r="B774" i="23"/>
  <c r="B775" i="23"/>
  <c r="B776" i="23"/>
  <c r="B777" i="23"/>
  <c r="B778" i="23"/>
  <c r="B779" i="23"/>
  <c r="B780" i="23"/>
  <c r="B781" i="23"/>
  <c r="B782" i="23"/>
  <c r="B783" i="23"/>
  <c r="B784" i="23"/>
  <c r="B785" i="23"/>
  <c r="B786" i="23"/>
  <c r="B787" i="23"/>
  <c r="B788" i="23"/>
  <c r="B789" i="23"/>
  <c r="B790" i="23"/>
  <c r="B791" i="23"/>
  <c r="B792" i="23"/>
  <c r="B793" i="23"/>
  <c r="B794" i="23"/>
  <c r="B795" i="23"/>
  <c r="B796" i="23"/>
  <c r="B797" i="23"/>
  <c r="B798" i="23"/>
  <c r="B799" i="23"/>
  <c r="B800" i="23"/>
  <c r="B801" i="23"/>
  <c r="B802" i="23"/>
  <c r="B803" i="23"/>
  <c r="B804" i="23"/>
  <c r="B805" i="23"/>
  <c r="B806" i="23"/>
  <c r="B807" i="23"/>
  <c r="B808" i="23"/>
  <c r="B809" i="23"/>
  <c r="B810" i="23"/>
  <c r="B811" i="23"/>
  <c r="B812" i="23"/>
  <c r="B813" i="23"/>
  <c r="B814" i="23"/>
  <c r="B815" i="23"/>
  <c r="B816" i="23"/>
  <c r="B817" i="23"/>
  <c r="B818" i="23"/>
  <c r="B819" i="23"/>
  <c r="B820" i="23"/>
  <c r="B821" i="23"/>
  <c r="B822" i="23"/>
  <c r="B823" i="23"/>
  <c r="B824" i="23"/>
  <c r="B825" i="23"/>
  <c r="B826" i="23"/>
  <c r="B827" i="23"/>
  <c r="B828" i="23"/>
  <c r="B829" i="23"/>
  <c r="B830" i="23"/>
  <c r="B831" i="23"/>
  <c r="B832" i="23"/>
  <c r="B833" i="23"/>
  <c r="B834" i="23"/>
  <c r="B835" i="23"/>
  <c r="B836" i="23"/>
  <c r="B837" i="23"/>
  <c r="B838" i="23"/>
  <c r="B839" i="23"/>
  <c r="B840" i="23"/>
  <c r="B841" i="23"/>
  <c r="B842" i="23"/>
  <c r="B843" i="23"/>
  <c r="B844" i="23"/>
  <c r="B845" i="23"/>
  <c r="B846" i="23"/>
  <c r="B847" i="23"/>
  <c r="B848" i="23"/>
  <c r="B849" i="23"/>
  <c r="B850" i="23"/>
  <c r="B851" i="23"/>
  <c r="B852" i="23"/>
  <c r="B853" i="23"/>
  <c r="B854" i="23"/>
  <c r="B855" i="23"/>
  <c r="B856" i="23"/>
  <c r="B857" i="23"/>
  <c r="B858" i="23"/>
  <c r="B859" i="23"/>
  <c r="B860" i="23"/>
  <c r="B861" i="23"/>
  <c r="B862" i="23"/>
  <c r="B863" i="23"/>
  <c r="B864" i="23"/>
  <c r="B865" i="23"/>
  <c r="B866" i="23"/>
  <c r="B867" i="23"/>
  <c r="B868" i="23"/>
  <c r="B869" i="23"/>
  <c r="B870" i="23"/>
  <c r="B871" i="23"/>
  <c r="B872" i="23"/>
  <c r="B873" i="23"/>
  <c r="B874" i="23"/>
  <c r="B875" i="23"/>
  <c r="B876" i="23"/>
  <c r="B877" i="23"/>
  <c r="B878" i="23"/>
  <c r="B879" i="23"/>
  <c r="B880" i="23"/>
  <c r="B881" i="23"/>
  <c r="B882" i="23"/>
  <c r="B883" i="23"/>
  <c r="B884" i="23"/>
  <c r="B885" i="23"/>
  <c r="B886" i="23"/>
  <c r="B887" i="23"/>
  <c r="B888" i="23"/>
  <c r="B889" i="23"/>
  <c r="B890" i="23"/>
  <c r="B891" i="23"/>
  <c r="B1" i="23"/>
  <c r="P19" i="1"/>
  <c r="P18" i="1"/>
  <c r="P17" i="1"/>
  <c r="P16" i="1"/>
  <c r="P15" i="1"/>
  <c r="P14" i="1"/>
  <c r="P13" i="1"/>
  <c r="N16" i="1"/>
  <c r="N19" i="1"/>
  <c r="N18" i="1"/>
  <c r="N17" i="1"/>
  <c r="N14" i="1"/>
  <c r="N13" i="1"/>
  <c r="I5" i="31"/>
  <c r="I4" i="31"/>
  <c r="C5" i="31"/>
  <c r="C4" i="31"/>
</calcChain>
</file>

<file path=xl/sharedStrings.xml><?xml version="1.0" encoding="utf-8"?>
<sst xmlns="http://schemas.openxmlformats.org/spreadsheetml/2006/main" count="7171" uniqueCount="1290">
  <si>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</si>
  <si>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</si>
  <si>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</si>
  <si>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</si>
  <si>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</si>
  <si>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</si>
  <si>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</si>
  <si>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</si>
  <si>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</si>
  <si>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</si>
  <si>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</si>
  <si>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</si>
  <si>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</si>
  <si>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</si>
  <si>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</si>
  <si>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</si>
  <si>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</si>
  <si>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</si>
  <si>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</si>
  <si>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</si>
  <si>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</si>
  <si>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</si>
  <si>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</si>
  <si>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</si>
  <si>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</si>
  <si>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</si>
  <si>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</si>
  <si>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</si>
  <si>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</si>
  <si>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</si>
  <si>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</si>
  <si>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</si>
  <si>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</si>
  <si>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</si>
  <si>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</si>
  <si>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</si>
  <si>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</si>
  <si>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</si>
  <si>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</si>
  <si>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</si>
  <si>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</si>
  <si>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</si>
  <si>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</si>
  <si>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</si>
  <si>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</si>
  <si>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</si>
  <si>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</si>
  <si>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</si>
  <si>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</si>
  <si>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</si>
  <si>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</si>
  <si>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</si>
  <si>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</si>
  <si>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</si>
  <si>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</si>
  <si>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</si>
  <si>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</si>
  <si>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</si>
  <si>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</si>
  <si>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</si>
  <si>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</si>
  <si>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</si>
  <si>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</si>
  <si>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</si>
  <si>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</si>
  <si>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</si>
  <si>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</si>
  <si>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</si>
  <si>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</si>
  <si>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</si>
  <si>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</si>
  <si>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</si>
  <si>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</si>
  <si>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</si>
  <si>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</si>
  <si>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</si>
  <si>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</si>
  <si>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</si>
  <si>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</si>
  <si>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</si>
  <si>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</si>
  <si>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</si>
  <si>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</si>
  <si>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</si>
  <si>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</si>
  <si>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</si>
  <si>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</si>
  <si>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</si>
  <si>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</si>
  <si>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</si>
  <si>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</si>
  <si>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</si>
  <si>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</si>
  <si>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</si>
  <si>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</si>
  <si>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</si>
  <si>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</si>
  <si>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</si>
  <si>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</si>
  <si>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</si>
  <si>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</si>
  <si>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</si>
  <si>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</si>
  <si>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</si>
  <si>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</si>
  <si>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</si>
  <si>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</si>
  <si>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</si>
  <si>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</si>
  <si>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</si>
  <si>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</si>
  <si>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</si>
  <si>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</si>
  <si>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</si>
  <si>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</si>
  <si>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</si>
  <si>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</si>
  <si>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</si>
  <si>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</si>
  <si>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</si>
  <si>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</si>
  <si>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</si>
  <si>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</si>
  <si>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</si>
  <si>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</si>
  <si>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</si>
  <si>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</si>
  <si>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</si>
  <si>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</si>
  <si>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</si>
  <si>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</si>
  <si>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</si>
  <si>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</si>
  <si>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</si>
  <si>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</si>
  <si>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</si>
  <si>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</si>
  <si>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</si>
  <si>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</si>
  <si>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</si>
  <si>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</si>
  <si>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</si>
  <si>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</si>
  <si>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</si>
  <si>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</si>
  <si>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</si>
  <si>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</si>
  <si>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</si>
  <si>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</si>
  <si>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</si>
  <si>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</si>
  <si>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</si>
  <si>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</si>
  <si>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</si>
  <si>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</si>
  <si>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</si>
  <si>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</si>
  <si>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</si>
  <si>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</si>
  <si>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</si>
  <si>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</si>
  <si>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</si>
  <si>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</si>
  <si>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</si>
  <si>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</si>
  <si>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</si>
  <si>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</si>
  <si>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</si>
  <si>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</si>
  <si>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</si>
  <si>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</si>
  <si>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</si>
  <si>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</si>
  <si>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</si>
  <si>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</si>
  <si>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</si>
  <si>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</si>
  <si>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</si>
  <si>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</si>
  <si>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</si>
  <si>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</si>
  <si>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</si>
  <si>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</si>
  <si>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</si>
  <si>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</si>
  <si>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</si>
  <si>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</si>
  <si>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</si>
  <si>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</si>
  <si>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</si>
  <si>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</si>
  <si>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</si>
  <si>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</si>
  <si>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</si>
  <si>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</si>
  <si>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</si>
  <si>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</si>
  <si>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</si>
  <si>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</si>
  <si>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</si>
  <si>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</si>
  <si>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</si>
  <si>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</si>
  <si>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</si>
  <si>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</si>
  <si>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</si>
  <si>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</si>
  <si>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</si>
  <si>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</si>
  <si>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</si>
  <si>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</si>
  <si>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</si>
  <si>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</si>
  <si>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</si>
  <si>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</si>
  <si>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</si>
  <si>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</si>
  <si>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</si>
  <si>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</si>
  <si>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</si>
  <si>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</si>
  <si>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</si>
  <si>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</si>
  <si>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</si>
  <si>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</si>
  <si>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</si>
  <si>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</si>
  <si>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</si>
  <si>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</si>
  <si>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</si>
  <si>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</si>
  <si>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</si>
  <si>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</si>
  <si>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</si>
  <si>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</si>
  <si>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</si>
  <si>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</si>
  <si>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</si>
  <si>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</si>
  <si>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</si>
  <si>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</si>
  <si>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</si>
  <si>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</si>
  <si>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</si>
  <si>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</si>
  <si>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</si>
  <si>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</si>
  <si>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</si>
  <si>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</si>
  <si>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</si>
  <si>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</si>
  <si>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</si>
  <si>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</si>
  <si>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</si>
  <si>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</si>
  <si>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</si>
  <si>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</si>
  <si>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</si>
  <si>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</si>
  <si>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</si>
  <si>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</si>
  <si>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</si>
  <si>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</si>
  <si>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</si>
  <si>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</si>
  <si>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</si>
  <si>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</si>
  <si>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</si>
  <si>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</si>
  <si>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</si>
  <si>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</si>
  <si>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</si>
  <si>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</si>
  <si>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</si>
  <si>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</si>
  <si>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</si>
  <si>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</si>
  <si>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</si>
  <si>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</si>
  <si>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</si>
  <si>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</si>
  <si>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</si>
  <si>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</si>
  <si>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</si>
  <si>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</si>
  <si>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</si>
  <si>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</si>
  <si>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</si>
  <si>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</si>
  <si>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</si>
  <si>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</si>
  <si>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</si>
  <si>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</si>
  <si>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</si>
  <si>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</si>
  <si>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</si>
  <si>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</si>
  <si>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</si>
  <si>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</si>
  <si>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</si>
  <si>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</si>
  <si>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</si>
  <si>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</si>
  <si>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</si>
  <si>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</si>
  <si>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</si>
  <si>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</si>
  <si>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</si>
  <si>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</si>
  <si>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</si>
  <si>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</si>
  <si>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</si>
  <si>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</si>
  <si>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</si>
  <si>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</si>
  <si>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</si>
  <si>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</si>
  <si>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</si>
  <si>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</si>
  <si>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</si>
  <si>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</si>
  <si>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</si>
  <si>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</si>
  <si>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</si>
  <si>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</si>
  <si>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</si>
  <si>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</si>
  <si>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</si>
  <si>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</si>
  <si>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</si>
  <si>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</si>
  <si>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</si>
  <si>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</si>
  <si>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</si>
  <si>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</si>
  <si>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</si>
  <si>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</si>
  <si>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</si>
  <si>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</si>
  <si>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</si>
  <si>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</si>
  <si>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</si>
  <si>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</si>
  <si>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</si>
  <si>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</si>
  <si>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</si>
  <si>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</si>
  <si>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</si>
  <si>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</si>
  <si>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</si>
  <si>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</si>
  <si>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</si>
  <si>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</si>
  <si>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</si>
  <si>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</si>
  <si>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</si>
  <si>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</si>
  <si>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</si>
  <si>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</si>
  <si>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</si>
  <si>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</si>
  <si>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</si>
  <si>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</si>
  <si>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</si>
  <si>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</si>
  <si>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</si>
  <si>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</si>
  <si>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</si>
  <si>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</si>
  <si>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</si>
  <si>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</si>
  <si>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</si>
  <si>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</si>
  <si>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</si>
  <si>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</si>
  <si>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</si>
  <si>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</si>
  <si>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</si>
  <si>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</si>
  <si>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</si>
  <si>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</si>
  <si>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</si>
  <si>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</si>
  <si>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</si>
  <si>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</si>
  <si>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</si>
  <si>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</si>
  <si>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</si>
  <si>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</si>
  <si>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</si>
  <si>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</si>
  <si>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</si>
  <si>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</si>
  <si>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</si>
  <si>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</si>
  <si>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</si>
  <si>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</si>
  <si>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</si>
  <si>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</si>
  <si>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</si>
  <si>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</si>
  <si>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</si>
  <si>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</si>
  <si>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</si>
  <si>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</si>
  <si>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</si>
  <si>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</si>
  <si>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</si>
  <si>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</si>
  <si>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</si>
  <si>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</si>
  <si>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</si>
  <si>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</si>
  <si>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</si>
  <si>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</si>
  <si>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</si>
  <si>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</si>
  <si>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</si>
  <si>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</si>
  <si>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</si>
  <si>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</si>
  <si>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</si>
  <si>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</si>
  <si>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</si>
  <si>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</si>
  <si>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</si>
  <si>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</si>
  <si>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</si>
  <si>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</si>
  <si>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</si>
  <si>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</si>
  <si>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</si>
  <si>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</si>
  <si>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</si>
  <si>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</si>
  <si>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</si>
  <si>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</si>
  <si>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</si>
  <si>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</si>
  <si>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</si>
  <si>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</si>
  <si>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</si>
  <si>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</si>
  <si>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</si>
  <si>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</si>
  <si>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</si>
  <si>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</si>
  <si>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</si>
  <si>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</si>
  <si>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</si>
  <si>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</si>
  <si>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</si>
  <si>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</si>
  <si>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</si>
  <si>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</si>
  <si>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</si>
  <si>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</si>
  <si>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</si>
  <si>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</si>
  <si>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</si>
  <si>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</si>
  <si>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</si>
  <si>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</si>
  <si>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</si>
  <si>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</si>
  <si>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</si>
  <si>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</si>
  <si>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</si>
  <si>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</si>
  <si>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</si>
  <si>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</si>
  <si>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</si>
  <si>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</si>
  <si>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</si>
  <si>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</si>
  <si>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</si>
  <si>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</si>
  <si>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</si>
  <si>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</si>
  <si>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</si>
  <si>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</si>
  <si>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</si>
  <si>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</si>
  <si>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</si>
  <si>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</si>
  <si>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</si>
  <si>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</si>
  <si>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</si>
  <si>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</si>
  <si>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</si>
  <si>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</si>
  <si>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</si>
  <si>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</si>
  <si>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</si>
  <si>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</si>
  <si>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</si>
  <si>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</si>
  <si>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</si>
  <si>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</si>
  <si>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</si>
  <si>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</si>
  <si>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</si>
  <si>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</si>
  <si>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</si>
  <si>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</si>
  <si>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</si>
  <si>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</si>
  <si>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</si>
  <si>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</si>
  <si>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</si>
  <si>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</si>
  <si>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</si>
  <si>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</si>
  <si>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</si>
  <si>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</si>
  <si>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</si>
  <si>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</si>
  <si>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</si>
  <si>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</si>
  <si>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</si>
  <si>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</si>
  <si>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</si>
  <si>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</si>
  <si>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</si>
  <si>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</si>
  <si>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</si>
  <si>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</si>
  <si>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</si>
  <si>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</si>
  <si>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</si>
  <si>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</si>
  <si>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</si>
  <si>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</si>
  <si>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</si>
  <si>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</si>
  <si>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</si>
  <si>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</si>
  <si>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</si>
  <si>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</si>
  <si>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</si>
  <si>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</si>
  <si>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</si>
  <si>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</si>
  <si>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</si>
  <si>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</si>
  <si>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</si>
  <si>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</si>
  <si>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</si>
  <si>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</si>
  <si>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</si>
  <si>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</si>
  <si>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</si>
  <si>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</si>
  <si>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</si>
  <si>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</si>
  <si>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</si>
  <si>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</si>
  <si>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</si>
  <si>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</si>
  <si>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</si>
  <si>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</si>
  <si>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</si>
  <si>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</si>
  <si>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</si>
  <si>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</si>
  <si>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</si>
  <si>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</si>
  <si>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</si>
  <si>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</si>
  <si>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</si>
  <si>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</si>
  <si>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</si>
  <si>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</si>
  <si>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</si>
  <si>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</si>
  <si>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</si>
  <si>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</si>
  <si>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</si>
  <si>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</si>
  <si>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</si>
  <si>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</si>
  <si>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</si>
  <si>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</si>
  <si>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</si>
  <si>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</si>
  <si>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</si>
  <si>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</si>
  <si>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</si>
  <si>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</si>
  <si>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</si>
  <si>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</si>
  <si>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</si>
  <si>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</si>
  <si>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</si>
  <si>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</si>
  <si>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</si>
  <si>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</si>
  <si>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</si>
  <si>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</si>
  <si>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</si>
  <si>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</si>
  <si>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</si>
  <si>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</si>
  <si>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</si>
  <si>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</si>
  <si>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</si>
  <si>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</si>
  <si>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</si>
  <si>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</si>
  <si>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</si>
  <si>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</si>
  <si>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</si>
  <si>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</si>
  <si>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</si>
  <si>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</si>
  <si>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</si>
  <si>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</si>
  <si>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</si>
  <si>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</si>
  <si>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</si>
  <si>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</si>
  <si>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</si>
  <si>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</si>
  <si>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</si>
  <si>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</si>
  <si>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</si>
  <si>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</si>
  <si>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</si>
  <si>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</si>
  <si>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</si>
  <si>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</si>
  <si>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</si>
  <si>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</si>
  <si>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</si>
  <si>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</si>
  <si>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</si>
  <si>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</si>
  <si>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</si>
  <si>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</si>
  <si>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</si>
  <si>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</si>
  <si>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</si>
  <si>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</si>
  <si>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</si>
  <si>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</si>
  <si>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</si>
  <si>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</si>
  <si>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</si>
  <si>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</si>
  <si>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</si>
  <si>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</si>
  <si>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</si>
  <si>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</si>
  <si>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</si>
  <si>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</si>
  <si>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</si>
  <si>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</si>
  <si>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</si>
  <si>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</si>
  <si>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</si>
  <si>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</si>
  <si>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</si>
  <si>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</si>
  <si>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</si>
  <si>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</si>
  <si>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</si>
  <si>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</si>
  <si>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</si>
  <si>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</si>
  <si>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</si>
  <si>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</si>
  <si>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</si>
  <si>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</si>
  <si>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</si>
  <si>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</si>
  <si>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</si>
  <si>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</si>
  <si>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</si>
  <si>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</si>
  <si>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</si>
  <si>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</si>
  <si>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</si>
  <si>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</si>
  <si>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</si>
  <si>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</si>
  <si>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</si>
  <si>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</si>
  <si>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</si>
  <si>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</si>
  <si>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</si>
  <si>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</si>
  <si>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</si>
  <si>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</si>
  <si>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</si>
  <si>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</si>
  <si>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</si>
  <si>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</si>
  <si>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</si>
  <si>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</si>
  <si>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</si>
  <si>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</si>
  <si>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</si>
  <si>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</si>
  <si>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</si>
  <si>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</si>
  <si>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</si>
  <si>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</si>
  <si>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</si>
  <si>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</si>
  <si>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</si>
  <si>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</si>
  <si>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</si>
  <si>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</si>
  <si>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</si>
  <si>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</si>
  <si>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</si>
  <si>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</si>
  <si>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</si>
  <si>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</si>
  <si>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</si>
  <si>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</si>
  <si>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</si>
  <si>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</si>
  <si>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</si>
  <si>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</si>
  <si>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</si>
  <si>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</si>
  <si>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</si>
  <si>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</si>
  <si>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</si>
  <si>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</si>
  <si>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</si>
  <si>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</si>
  <si>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</si>
  <si>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</si>
  <si>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</si>
  <si>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</si>
  <si>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</si>
  <si>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</si>
  <si>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</si>
  <si>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</si>
  <si>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</si>
  <si>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</si>
  <si>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</si>
  <si>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</si>
  <si>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</si>
  <si>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</si>
  <si>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</si>
  <si>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</si>
  <si>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</si>
  <si>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</si>
  <si>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</si>
  <si>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</si>
  <si>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</si>
  <si>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</si>
  <si>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</si>
  <si>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</si>
  <si>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</si>
  <si>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</si>
  <si>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</si>
  <si>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</si>
  <si>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</si>
  <si>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</si>
  <si>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</si>
  <si>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</si>
  <si>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</si>
  <si>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</si>
  <si>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</si>
  <si>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</si>
  <si>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</si>
  <si>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</si>
  <si>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</si>
  <si>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</si>
  <si>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</si>
  <si>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</si>
  <si>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</si>
  <si>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</si>
  <si>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</si>
  <si>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</si>
  <si>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</si>
  <si>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</si>
  <si>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</si>
  <si>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</si>
  <si>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</si>
  <si>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</si>
  <si>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</si>
  <si>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</si>
  <si>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</si>
  <si>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</si>
  <si>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</si>
  <si>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</si>
  <si>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</si>
  <si>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</si>
  <si>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</si>
  <si>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</si>
  <si>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</si>
  <si>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</si>
  <si>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</si>
  <si>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</si>
  <si>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</si>
  <si>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</si>
  <si>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</si>
  <si>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</si>
  <si>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</si>
  <si>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</si>
  <si>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</si>
  <si>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</si>
  <si>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</si>
  <si>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</si>
  <si>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</si>
  <si>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</si>
  <si>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</si>
  <si>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</si>
  <si>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</si>
  <si>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</si>
  <si>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</si>
  <si>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</si>
  <si>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</si>
  <si>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</si>
  <si>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</si>
  <si>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</si>
  <si>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</si>
  <si>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</si>
  <si>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</si>
  <si>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</si>
  <si>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</si>
  <si>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</si>
  <si>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</si>
  <si>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</si>
  <si>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</si>
  <si>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</si>
  <si>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</si>
  <si>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</si>
  <si>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</si>
  <si>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</si>
  <si>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</si>
  <si>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</si>
  <si>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</si>
  <si>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</si>
  <si>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</si>
  <si>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</si>
  <si>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</si>
  <si>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</si>
  <si>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</si>
  <si>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</si>
  <si>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</si>
  <si>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</si>
  <si>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</si>
  <si>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</si>
  <si>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</si>
  <si>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</si>
  <si>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</si>
  <si>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</si>
  <si>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</si>
  <si>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</si>
  <si>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</si>
  <si>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</si>
  <si>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</si>
  <si>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</si>
  <si>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</si>
  <si>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</si>
  <si>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</si>
  <si>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</si>
  <si>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</si>
  <si>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</si>
  <si>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</si>
  <si>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</si>
  <si>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</si>
  <si>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</si>
  <si>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</si>
  <si>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</si>
  <si>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</si>
  <si>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</si>
  <si>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</si>
  <si>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</si>
  <si>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</si>
  <si>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</si>
  <si>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</si>
  <si>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</si>
  <si>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</si>
  <si>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</si>
  <si>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</si>
  <si>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</si>
  <si>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</si>
  <si>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</si>
  <si>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</si>
  <si>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</si>
  <si>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</si>
  <si>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</si>
  <si>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</si>
  <si>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</si>
  <si>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</si>
  <si>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</si>
  <si>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</si>
  <si>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</si>
  <si>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</si>
  <si>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</si>
  <si>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</si>
  <si>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</si>
  <si>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</si>
  <si>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</si>
  <si>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</si>
  <si>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</si>
  <si>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</si>
  <si>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</si>
  <si>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</si>
  <si>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</si>
  <si>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</si>
  <si>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</si>
  <si>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</si>
  <si>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</si>
  <si>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</si>
  <si>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</si>
  <si>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</si>
  <si>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</si>
  <si>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</si>
  <si>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</si>
  <si>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</si>
  <si>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</si>
  <si>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</si>
  <si>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</si>
  <si>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</si>
  <si>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</si>
  <si>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</si>
  <si>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</si>
  <si>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</si>
  <si>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</si>
  <si>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</si>
  <si>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</si>
  <si>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</si>
  <si>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</si>
  <si>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</si>
  <si>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</si>
  <si>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</si>
  <si>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</si>
  <si>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</si>
  <si>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</si>
  <si>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</si>
  <si>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</si>
  <si>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</si>
  <si>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</si>
  <si>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</si>
  <si>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</si>
  <si>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</si>
  <si>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</si>
  <si>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</si>
  <si>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</si>
  <si>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</si>
  <si>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</si>
  <si>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</si>
  <si>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</si>
  <si>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</si>
  <si>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</si>
  <si>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</si>
  <si>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</si>
  <si>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</si>
  <si>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</si>
  <si>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</si>
  <si>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</si>
  <si>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</si>
  <si>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</si>
  <si>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</si>
  <si>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</si>
  <si>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</si>
  <si>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</si>
  <si>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</si>
  <si>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</si>
  <si>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</si>
  <si>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</si>
  <si>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</si>
  <si>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</si>
  <si>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</si>
  <si>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</si>
  <si>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</si>
  <si>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</si>
  <si>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</si>
  <si>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</si>
  <si>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</si>
  <si>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</si>
  <si>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</si>
  <si>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</si>
  <si>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</si>
  <si>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</si>
  <si>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</si>
  <si>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</si>
  <si>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</si>
  <si>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</si>
  <si>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</si>
  <si>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</si>
  <si>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</si>
  <si>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</si>
  <si>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</si>
  <si>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</si>
  <si>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</si>
  <si>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</si>
  <si>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</si>
  <si>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</si>
  <si>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</si>
  <si>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</si>
  <si>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</si>
  <si>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</si>
  <si>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</si>
  <si>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</si>
  <si>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</si>
  <si>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</si>
  <si>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</si>
  <si>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</si>
  <si>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</si>
  <si>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</si>
  <si>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</si>
  <si>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</si>
  <si>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</si>
  <si>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</si>
  <si>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</si>
  <si>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</si>
  <si>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</si>
  <si>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</si>
  <si>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</si>
  <si>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</si>
  <si>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</si>
  <si>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</si>
  <si>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</si>
  <si>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</si>
  <si>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</si>
  <si>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</si>
  <si>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</si>
  <si>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</si>
  <si>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</si>
  <si>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</si>
  <si>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</si>
  <si>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</si>
  <si>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</si>
  <si>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</si>
  <si>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</si>
  <si>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</si>
  <si>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</si>
  <si>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</si>
  <si>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</si>
  <si>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</si>
  <si>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</si>
  <si>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</si>
  <si>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</si>
  <si>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</si>
  <si>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</si>
  <si>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</si>
  <si>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</si>
  <si>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</si>
  <si>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</si>
  <si>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</si>
  <si>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</si>
  <si>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</si>
  <si>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</si>
  <si>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</si>
  <si>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</si>
  <si>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</si>
  <si>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</si>
  <si>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</si>
  <si>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</si>
  <si>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</si>
  <si>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</si>
  <si>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</si>
  <si>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</si>
  <si>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</si>
  <si>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</si>
  <si>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</si>
  <si>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</si>
  <si>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</si>
  <si>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</si>
  <si>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</si>
  <si>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</si>
  <si>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</si>
  <si>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</si>
  <si>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</si>
  <si>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</si>
  <si>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</si>
  <si>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</si>
  <si>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</si>
  <si>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</si>
  <si>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</si>
  <si>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</si>
  <si>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</si>
  <si>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</si>
  <si>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</si>
  <si>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</si>
  <si>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</si>
  <si>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</si>
  <si>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</si>
  <si>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</si>
  <si>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</si>
  <si>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</si>
  <si>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</si>
  <si>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</si>
  <si>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</si>
  <si>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</si>
  <si>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</si>
  <si>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</si>
  <si>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</si>
  <si>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</si>
  <si>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</si>
  <si>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</si>
  <si>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</si>
  <si>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</si>
  <si>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</si>
  <si>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</si>
  <si>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</si>
  <si>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</si>
  <si>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</si>
  <si>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</si>
  <si>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</si>
  <si>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</si>
  <si>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</si>
  <si>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</si>
  <si>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</si>
  <si>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</si>
  <si>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</si>
  <si>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</si>
  <si>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</si>
  <si>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</si>
  <si>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</si>
  <si>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</si>
  <si>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</si>
  <si>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</si>
  <si>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</si>
  <si>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</si>
  <si>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</si>
  <si>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</si>
  <si>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</si>
  <si>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</si>
  <si>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</si>
  <si>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</si>
  <si>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</si>
  <si>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</si>
  <si>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</si>
  <si>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</si>
  <si>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</si>
  <si>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</si>
  <si>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</si>
  <si>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</si>
  <si>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</si>
  <si>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</si>
  <si>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</si>
  <si>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</si>
  <si>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</si>
  <si>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</si>
  <si>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</si>
  <si>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</si>
  <si>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</si>
  <si>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</si>
  <si>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</si>
  <si>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</si>
  <si>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</si>
  <si>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</si>
  <si>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</si>
  <si>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</si>
  <si>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</si>
  <si>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</si>
  <si>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</si>
  <si>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</si>
  <si>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</si>
  <si>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</si>
  <si>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</si>
  <si>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</si>
  <si>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</si>
  <si>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</si>
  <si>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</si>
  <si>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</si>
  <si>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</si>
  <si>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</si>
  <si>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</si>
  <si>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</si>
  <si>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</si>
  <si>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</si>
  <si>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</si>
  <si>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</si>
  <si>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</si>
  <si>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</si>
  <si>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</si>
  <si>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</si>
  <si>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</si>
  <si>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</si>
  <si>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</si>
  <si>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</si>
  <si>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</si>
  <si>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</si>
  <si>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</si>
  <si>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</si>
  <si>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</si>
  <si>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</si>
  <si>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</si>
  <si>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</si>
  <si>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</si>
  <si>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</si>
  <si>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</si>
  <si>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</si>
  <si>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</si>
  <si>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</si>
  <si>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</si>
  <si>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</si>
  <si>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</si>
  <si>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</si>
  <si>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</si>
  <si>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</si>
  <si>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</si>
  <si>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</si>
  <si>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</si>
  <si>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</si>
  <si>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</si>
  <si>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</si>
  <si>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</si>
  <si>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</si>
  <si>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</si>
  <si>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</si>
  <si>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</si>
  <si>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</si>
  <si>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</si>
  <si>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</si>
  <si>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</si>
  <si>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</si>
  <si>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</si>
  <si>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</si>
  <si>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</si>
  <si>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</si>
  <si>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</si>
  <si>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</si>
  <si>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</si>
  <si>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</si>
  <si>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</si>
  <si>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</si>
  <si>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</si>
  <si>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</si>
  <si>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</si>
  <si>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</si>
  <si>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</si>
  <si>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</si>
  <si>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</si>
  <si>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</si>
  <si>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</si>
  <si>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</si>
  <si>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</si>
  <si>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</si>
  <si>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</si>
  <si>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</si>
  <si>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</si>
  <si>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</si>
  <si>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</si>
  <si>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</si>
  <si>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</si>
  <si>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</si>
  <si>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0</t>
  </si>
  <si>
    <t>Residuals</t>
  </si>
  <si>
    <t>Standard Residuals</t>
  </si>
  <si>
    <t>PROBABILITY OUTPUT</t>
  </si>
  <si>
    <t>Percentile</t>
  </si>
  <si>
    <t>t-Test: Two-Sample Assuming Equal Variances</t>
  </si>
  <si>
    <t>Mean</t>
  </si>
  <si>
    <t>Variance</t>
  </si>
  <si>
    <t>Pooled Variance</t>
  </si>
  <si>
    <t>Hypothesized Mean Difference</t>
  </si>
  <si>
    <t>P(T&lt;=t) one-tail</t>
  </si>
  <si>
    <t>t Critical one-tail</t>
  </si>
  <si>
    <t>P(T&lt;=t) two-tail</t>
  </si>
  <si>
    <t>t Critical two-tail</t>
  </si>
  <si>
    <t>quantile</t>
  </si>
  <si>
    <t>mean</t>
  </si>
  <si>
    <t>stv</t>
  </si>
  <si>
    <t>mode</t>
  </si>
  <si>
    <t>sum</t>
  </si>
  <si>
    <t>count</t>
  </si>
  <si>
    <t>median</t>
  </si>
  <si>
    <t>Row Labels</t>
  </si>
  <si>
    <t>(blank)</t>
  </si>
  <si>
    <t>Grand Total</t>
  </si>
  <si>
    <t>Sum of Fare</t>
  </si>
  <si>
    <t>Point</t>
  </si>
  <si>
    <t>Column1</t>
  </si>
  <si>
    <t>Rank</t>
  </si>
  <si>
    <t>Percent</t>
  </si>
  <si>
    <t>Average of Fare</t>
  </si>
  <si>
    <t>Count of Fare</t>
  </si>
  <si>
    <t>Proportion</t>
  </si>
  <si>
    <t>Gender</t>
  </si>
  <si>
    <t>Proportion of Fare</t>
  </si>
  <si>
    <t>Age_new</t>
  </si>
  <si>
    <t>Fare_new</t>
  </si>
  <si>
    <t>Age_mean</t>
  </si>
  <si>
    <t>Fare_mean</t>
  </si>
  <si>
    <t>coefficient .01</t>
  </si>
  <si>
    <t xml:space="preserve">KNN </t>
  </si>
  <si>
    <t>euclidian mean</t>
  </si>
  <si>
    <t>Fare_log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</si>
</sst>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0" xfId="0" applyBorder="1"/>
    <xf numFmtId="0" fontId="18" fillId="0" borderId="11" xfId="0" applyFont="1" applyBorder="1" applyAlignment="1">
      <alignment horizontal="center"/>
    </xf>
    <xf numFmtId="2" fontId="0" fillId="0" borderId="0" xfId="0" applyNumberFormat="1"/>
    <xf numFmtId="0" fontId="18" fillId="0" borderId="11" xfId="0" applyFont="1" applyBorder="1" applyAlignment="1">
      <alignment horizontal="centerContinuous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2" fontId="0" fillId="0" borderId="10" xfId="0" applyNumberFormat="1" applyBorder="1"/>
    <xf numFmtId="10" fontId="0" fillId="0" borderId="10" xfId="0" applyNumberFormat="1" applyBorder="1"/>
    <xf numFmtId="0" fontId="16" fillId="33" borderId="12" xfId="0" applyFont="1" applyFill="1" applyBorder="1"/>
    <xf numFmtId="0" fontId="0" fillId="0" borderId="0" xfId="0" applyAlignment="1">
      <alignment horizontal="left" indent="1"/>
    </xf>
    <xf numFmtId="9" fontId="0" fillId="0" borderId="0" xfId="42" applyFont="1"/>
    <xf numFmtId="0" fontId="16" fillId="0" borderId="12" xfId="0" applyFont="1" applyBorder="1" applyAlignment="1">
      <alignment horizontal="left"/>
    </xf>
    <xf numFmtId="0" fontId="16" fillId="0" borderId="12" xfId="0" applyFon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200" b="1" i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Title: Scatter</a:t>
            </a:r>
            <a:r>
              <a:rPr lang="en-US" sz="2200" b="1" i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Plots between the passengerr's age and fare</a:t>
            </a:r>
            <a:endParaRPr lang="en-US" sz="2200" b="1" i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Sheet11!$B$1</c:f>
              <c:strCache>
                <c:ptCount val="1"/>
                <c:pt idx="0">
                  <c:v>Fare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10"/>
            <c:dispRSqr val="1"/>
            <c:dispEq val="1"/>
            <c:trendlineLbl>
              <c:layout>
                <c:manualLayout>
                  <c:x val="-7.9363073036923013E-2"/>
                  <c:y val="-0.322087646831031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2200" baseline="0"/>
                      <a:t>y = 0.003x</a:t>
                    </a:r>
                    <a:r>
                      <a:rPr lang="en-US" sz="2200" baseline="30000"/>
                      <a:t>2</a:t>
                    </a:r>
                    <a:r>
                      <a:rPr lang="en-US" sz="2200" baseline="0"/>
                      <a:t> + 0.1534x + 26.835</a:t>
                    </a:r>
                    <a:br>
                      <a:rPr lang="en-US" sz="2200" baseline="0"/>
                    </a:br>
                    <a:r>
                      <a:rPr lang="en-US" sz="2200" baseline="0"/>
                      <a:t>R² = 0.0095</a:t>
                    </a:r>
                    <a:endParaRPr lang="en-US" sz="22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Sheet11!$A$2:$A$715</c:f>
              <c:numCache>
                <c:formatCode>General</c:formatCode>
                <c:ptCount val="714"/>
                <c:pt idx="0">
                  <c:v>0.42</c:v>
                </c:pt>
                <c:pt idx="1">
                  <c:v>0.67</c:v>
                </c:pt>
                <c:pt idx="2">
                  <c:v>0.75</c:v>
                </c:pt>
                <c:pt idx="3">
                  <c:v>0.75</c:v>
                </c:pt>
                <c:pt idx="4">
                  <c:v>0.83</c:v>
                </c:pt>
                <c:pt idx="5">
                  <c:v>0.83</c:v>
                </c:pt>
                <c:pt idx="6">
                  <c:v>0.92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6</c:v>
                </c:pt>
                <c:pt idx="45">
                  <c:v>6</c:v>
                </c:pt>
                <c:pt idx="46">
                  <c:v>6</c:v>
                </c:pt>
                <c:pt idx="47">
                  <c:v>7</c:v>
                </c:pt>
                <c:pt idx="48">
                  <c:v>7</c:v>
                </c:pt>
                <c:pt idx="49">
                  <c:v>7</c:v>
                </c:pt>
                <c:pt idx="50">
                  <c:v>8</c:v>
                </c:pt>
                <c:pt idx="51">
                  <c:v>8</c:v>
                </c:pt>
                <c:pt idx="52">
                  <c:v>8</c:v>
                </c:pt>
                <c:pt idx="53">
                  <c:v>8</c:v>
                </c:pt>
                <c:pt idx="54">
                  <c:v>9</c:v>
                </c:pt>
                <c:pt idx="55">
                  <c:v>9</c:v>
                </c:pt>
                <c:pt idx="56">
                  <c:v>9</c:v>
                </c:pt>
                <c:pt idx="57">
                  <c:v>9</c:v>
                </c:pt>
                <c:pt idx="58">
                  <c:v>9</c:v>
                </c:pt>
                <c:pt idx="59">
                  <c:v>9</c:v>
                </c:pt>
                <c:pt idx="60">
                  <c:v>9</c:v>
                </c:pt>
                <c:pt idx="61">
                  <c:v>9</c:v>
                </c:pt>
                <c:pt idx="62">
                  <c:v>10</c:v>
                </c:pt>
                <c:pt idx="63">
                  <c:v>10</c:v>
                </c:pt>
                <c:pt idx="64">
                  <c:v>11</c:v>
                </c:pt>
                <c:pt idx="65">
                  <c:v>11</c:v>
                </c:pt>
                <c:pt idx="66">
                  <c:v>11</c:v>
                </c:pt>
                <c:pt idx="67">
                  <c:v>11</c:v>
                </c:pt>
                <c:pt idx="68">
                  <c:v>12</c:v>
                </c:pt>
                <c:pt idx="69">
                  <c:v>13</c:v>
                </c:pt>
                <c:pt idx="70">
                  <c:v>13</c:v>
                </c:pt>
                <c:pt idx="71">
                  <c:v>14</c:v>
                </c:pt>
                <c:pt idx="72">
                  <c:v>14</c:v>
                </c:pt>
                <c:pt idx="73">
                  <c:v>14</c:v>
                </c:pt>
                <c:pt idx="74">
                  <c:v>14</c:v>
                </c:pt>
                <c:pt idx="75">
                  <c:v>14</c:v>
                </c:pt>
                <c:pt idx="76">
                  <c:v>14</c:v>
                </c:pt>
                <c:pt idx="77">
                  <c:v>14.5</c:v>
                </c:pt>
                <c:pt idx="78">
                  <c:v>15</c:v>
                </c:pt>
                <c:pt idx="79">
                  <c:v>15</c:v>
                </c:pt>
                <c:pt idx="80">
                  <c:v>15</c:v>
                </c:pt>
                <c:pt idx="81">
                  <c:v>15</c:v>
                </c:pt>
                <c:pt idx="82">
                  <c:v>15</c:v>
                </c:pt>
                <c:pt idx="83">
                  <c:v>16</c:v>
                </c:pt>
                <c:pt idx="84">
                  <c:v>16</c:v>
                </c:pt>
                <c:pt idx="85">
                  <c:v>16</c:v>
                </c:pt>
                <c:pt idx="86">
                  <c:v>16</c:v>
                </c:pt>
                <c:pt idx="87">
                  <c:v>16</c:v>
                </c:pt>
                <c:pt idx="88">
                  <c:v>16</c:v>
                </c:pt>
                <c:pt idx="89">
                  <c:v>16</c:v>
                </c:pt>
                <c:pt idx="90">
                  <c:v>16</c:v>
                </c:pt>
                <c:pt idx="91">
                  <c:v>16</c:v>
                </c:pt>
                <c:pt idx="92">
                  <c:v>16</c:v>
                </c:pt>
                <c:pt idx="93">
                  <c:v>16</c:v>
                </c:pt>
                <c:pt idx="94">
                  <c:v>16</c:v>
                </c:pt>
                <c:pt idx="95">
                  <c:v>16</c:v>
                </c:pt>
                <c:pt idx="96">
                  <c:v>16</c:v>
                </c:pt>
                <c:pt idx="97">
                  <c:v>16</c:v>
                </c:pt>
                <c:pt idx="98">
                  <c:v>16</c:v>
                </c:pt>
                <c:pt idx="99">
                  <c:v>16</c:v>
                </c:pt>
                <c:pt idx="100">
                  <c:v>17</c:v>
                </c:pt>
                <c:pt idx="101">
                  <c:v>17</c:v>
                </c:pt>
                <c:pt idx="102">
                  <c:v>17</c:v>
                </c:pt>
                <c:pt idx="103">
                  <c:v>17</c:v>
                </c:pt>
                <c:pt idx="104">
                  <c:v>17</c:v>
                </c:pt>
                <c:pt idx="105">
                  <c:v>17</c:v>
                </c:pt>
                <c:pt idx="106">
                  <c:v>17</c:v>
                </c:pt>
                <c:pt idx="107">
                  <c:v>17</c:v>
                </c:pt>
                <c:pt idx="108">
                  <c:v>17</c:v>
                </c:pt>
                <c:pt idx="109">
                  <c:v>17</c:v>
                </c:pt>
                <c:pt idx="110">
                  <c:v>17</c:v>
                </c:pt>
                <c:pt idx="111">
                  <c:v>17</c:v>
                </c:pt>
                <c:pt idx="112">
                  <c:v>17</c:v>
                </c:pt>
                <c:pt idx="113">
                  <c:v>18</c:v>
                </c:pt>
                <c:pt idx="114">
                  <c:v>18</c:v>
                </c:pt>
                <c:pt idx="115">
                  <c:v>18</c:v>
                </c:pt>
                <c:pt idx="116">
                  <c:v>18</c:v>
                </c:pt>
                <c:pt idx="117">
                  <c:v>18</c:v>
                </c:pt>
                <c:pt idx="118">
                  <c:v>18</c:v>
                </c:pt>
                <c:pt idx="119">
                  <c:v>18</c:v>
                </c:pt>
                <c:pt idx="120">
                  <c:v>18</c:v>
                </c:pt>
                <c:pt idx="121">
                  <c:v>18</c:v>
                </c:pt>
                <c:pt idx="122">
                  <c:v>18</c:v>
                </c:pt>
                <c:pt idx="123">
                  <c:v>18</c:v>
                </c:pt>
                <c:pt idx="124">
                  <c:v>18</c:v>
                </c:pt>
                <c:pt idx="125">
                  <c:v>18</c:v>
                </c:pt>
                <c:pt idx="126">
                  <c:v>18</c:v>
                </c:pt>
                <c:pt idx="127">
                  <c:v>18</c:v>
                </c:pt>
                <c:pt idx="128">
                  <c:v>18</c:v>
                </c:pt>
                <c:pt idx="129">
                  <c:v>18</c:v>
                </c:pt>
                <c:pt idx="130">
                  <c:v>18</c:v>
                </c:pt>
                <c:pt idx="131">
                  <c:v>18</c:v>
                </c:pt>
                <c:pt idx="132">
                  <c:v>18</c:v>
                </c:pt>
                <c:pt idx="133">
                  <c:v>18</c:v>
                </c:pt>
                <c:pt idx="134">
                  <c:v>18</c:v>
                </c:pt>
                <c:pt idx="135">
                  <c:v>18</c:v>
                </c:pt>
                <c:pt idx="136">
                  <c:v>18</c:v>
                </c:pt>
                <c:pt idx="137">
                  <c:v>18</c:v>
                </c:pt>
                <c:pt idx="138">
                  <c:v>18</c:v>
                </c:pt>
                <c:pt idx="139">
                  <c:v>19</c:v>
                </c:pt>
                <c:pt idx="140">
                  <c:v>19</c:v>
                </c:pt>
                <c:pt idx="141">
                  <c:v>19</c:v>
                </c:pt>
                <c:pt idx="142">
                  <c:v>19</c:v>
                </c:pt>
                <c:pt idx="143">
                  <c:v>19</c:v>
                </c:pt>
                <c:pt idx="144">
                  <c:v>19</c:v>
                </c:pt>
                <c:pt idx="145">
                  <c:v>19</c:v>
                </c:pt>
                <c:pt idx="146">
                  <c:v>19</c:v>
                </c:pt>
                <c:pt idx="147">
                  <c:v>19</c:v>
                </c:pt>
                <c:pt idx="148">
                  <c:v>19</c:v>
                </c:pt>
                <c:pt idx="149">
                  <c:v>19</c:v>
                </c:pt>
                <c:pt idx="150">
                  <c:v>19</c:v>
                </c:pt>
                <c:pt idx="151">
                  <c:v>19</c:v>
                </c:pt>
                <c:pt idx="152">
                  <c:v>19</c:v>
                </c:pt>
                <c:pt idx="153">
                  <c:v>19</c:v>
                </c:pt>
                <c:pt idx="154">
                  <c:v>19</c:v>
                </c:pt>
                <c:pt idx="155">
                  <c:v>19</c:v>
                </c:pt>
                <c:pt idx="156">
                  <c:v>19</c:v>
                </c:pt>
                <c:pt idx="157">
                  <c:v>19</c:v>
                </c:pt>
                <c:pt idx="158">
                  <c:v>19</c:v>
                </c:pt>
                <c:pt idx="159">
                  <c:v>19</c:v>
                </c:pt>
                <c:pt idx="160">
                  <c:v>19</c:v>
                </c:pt>
                <c:pt idx="161">
                  <c:v>19</c:v>
                </c:pt>
                <c:pt idx="162">
                  <c:v>19</c:v>
                </c:pt>
                <c:pt idx="163">
                  <c:v>19</c:v>
                </c:pt>
                <c:pt idx="164">
                  <c:v>20</c:v>
                </c:pt>
                <c:pt idx="165">
                  <c:v>20</c:v>
                </c:pt>
                <c:pt idx="166">
                  <c:v>20</c:v>
                </c:pt>
                <c:pt idx="167">
                  <c:v>20</c:v>
                </c:pt>
                <c:pt idx="168">
                  <c:v>20</c:v>
                </c:pt>
                <c:pt idx="169">
                  <c:v>20</c:v>
                </c:pt>
                <c:pt idx="170">
                  <c:v>20</c:v>
                </c:pt>
                <c:pt idx="171">
                  <c:v>20</c:v>
                </c:pt>
                <c:pt idx="172">
                  <c:v>20</c:v>
                </c:pt>
                <c:pt idx="173">
                  <c:v>20</c:v>
                </c:pt>
                <c:pt idx="174">
                  <c:v>20</c:v>
                </c:pt>
                <c:pt idx="175">
                  <c:v>20</c:v>
                </c:pt>
                <c:pt idx="176">
                  <c:v>20</c:v>
                </c:pt>
                <c:pt idx="177">
                  <c:v>20</c:v>
                </c:pt>
                <c:pt idx="178">
                  <c:v>20</c:v>
                </c:pt>
                <c:pt idx="179">
                  <c:v>20.5</c:v>
                </c:pt>
                <c:pt idx="180">
                  <c:v>21</c:v>
                </c:pt>
                <c:pt idx="181">
                  <c:v>21</c:v>
                </c:pt>
                <c:pt idx="182">
                  <c:v>21</c:v>
                </c:pt>
                <c:pt idx="183">
                  <c:v>21</c:v>
                </c:pt>
                <c:pt idx="184">
                  <c:v>21</c:v>
                </c:pt>
                <c:pt idx="185">
                  <c:v>21</c:v>
                </c:pt>
                <c:pt idx="186">
                  <c:v>21</c:v>
                </c:pt>
                <c:pt idx="187">
                  <c:v>21</c:v>
                </c:pt>
                <c:pt idx="188">
                  <c:v>21</c:v>
                </c:pt>
                <c:pt idx="189">
                  <c:v>21</c:v>
                </c:pt>
                <c:pt idx="190">
                  <c:v>21</c:v>
                </c:pt>
                <c:pt idx="191">
                  <c:v>21</c:v>
                </c:pt>
                <c:pt idx="192">
                  <c:v>21</c:v>
                </c:pt>
                <c:pt idx="193">
                  <c:v>21</c:v>
                </c:pt>
                <c:pt idx="194">
                  <c:v>21</c:v>
                </c:pt>
                <c:pt idx="195">
                  <c:v>21</c:v>
                </c:pt>
                <c:pt idx="196">
                  <c:v>21</c:v>
                </c:pt>
                <c:pt idx="197">
                  <c:v>21</c:v>
                </c:pt>
                <c:pt idx="198">
                  <c:v>21</c:v>
                </c:pt>
                <c:pt idx="199">
                  <c:v>21</c:v>
                </c:pt>
                <c:pt idx="200">
                  <c:v>21</c:v>
                </c:pt>
                <c:pt idx="201">
                  <c:v>21</c:v>
                </c:pt>
                <c:pt idx="202">
                  <c:v>21</c:v>
                </c:pt>
                <c:pt idx="203">
                  <c:v>21</c:v>
                </c:pt>
                <c:pt idx="204">
                  <c:v>22</c:v>
                </c:pt>
                <c:pt idx="205">
                  <c:v>22</c:v>
                </c:pt>
                <c:pt idx="206">
                  <c:v>22</c:v>
                </c:pt>
                <c:pt idx="207">
                  <c:v>22</c:v>
                </c:pt>
                <c:pt idx="208">
                  <c:v>22</c:v>
                </c:pt>
                <c:pt idx="209">
                  <c:v>22</c:v>
                </c:pt>
                <c:pt idx="210">
                  <c:v>22</c:v>
                </c:pt>
                <c:pt idx="211">
                  <c:v>22</c:v>
                </c:pt>
                <c:pt idx="212">
                  <c:v>22</c:v>
                </c:pt>
                <c:pt idx="213">
                  <c:v>22</c:v>
                </c:pt>
                <c:pt idx="214">
                  <c:v>22</c:v>
                </c:pt>
                <c:pt idx="215">
                  <c:v>22</c:v>
                </c:pt>
                <c:pt idx="216">
                  <c:v>22</c:v>
                </c:pt>
                <c:pt idx="217">
                  <c:v>22</c:v>
                </c:pt>
                <c:pt idx="218">
                  <c:v>22</c:v>
                </c:pt>
                <c:pt idx="219">
                  <c:v>22</c:v>
                </c:pt>
                <c:pt idx="220">
                  <c:v>22</c:v>
                </c:pt>
                <c:pt idx="221">
                  <c:v>22</c:v>
                </c:pt>
                <c:pt idx="222">
                  <c:v>22</c:v>
                </c:pt>
                <c:pt idx="223">
                  <c:v>22</c:v>
                </c:pt>
                <c:pt idx="224">
                  <c:v>22</c:v>
                </c:pt>
                <c:pt idx="225">
                  <c:v>22</c:v>
                </c:pt>
                <c:pt idx="226">
                  <c:v>22</c:v>
                </c:pt>
                <c:pt idx="227">
                  <c:v>22</c:v>
                </c:pt>
                <c:pt idx="228">
                  <c:v>22</c:v>
                </c:pt>
                <c:pt idx="229">
                  <c:v>22</c:v>
                </c:pt>
                <c:pt idx="230">
                  <c:v>22</c:v>
                </c:pt>
                <c:pt idx="231">
                  <c:v>23</c:v>
                </c:pt>
                <c:pt idx="232">
                  <c:v>23</c:v>
                </c:pt>
                <c:pt idx="233">
                  <c:v>23</c:v>
                </c:pt>
                <c:pt idx="234">
                  <c:v>23</c:v>
                </c:pt>
                <c:pt idx="235">
                  <c:v>23</c:v>
                </c:pt>
                <c:pt idx="236">
                  <c:v>23</c:v>
                </c:pt>
                <c:pt idx="237">
                  <c:v>23</c:v>
                </c:pt>
                <c:pt idx="238">
                  <c:v>23</c:v>
                </c:pt>
                <c:pt idx="239">
                  <c:v>23</c:v>
                </c:pt>
                <c:pt idx="240">
                  <c:v>23</c:v>
                </c:pt>
                <c:pt idx="241">
                  <c:v>23</c:v>
                </c:pt>
                <c:pt idx="242">
                  <c:v>23</c:v>
                </c:pt>
                <c:pt idx="243">
                  <c:v>23</c:v>
                </c:pt>
                <c:pt idx="244">
                  <c:v>23</c:v>
                </c:pt>
                <c:pt idx="245">
                  <c:v>23</c:v>
                </c:pt>
                <c:pt idx="246">
                  <c:v>23.5</c:v>
                </c:pt>
                <c:pt idx="247">
                  <c:v>24</c:v>
                </c:pt>
                <c:pt idx="248">
                  <c:v>24</c:v>
                </c:pt>
                <c:pt idx="249">
                  <c:v>24</c:v>
                </c:pt>
                <c:pt idx="250">
                  <c:v>24</c:v>
                </c:pt>
                <c:pt idx="251">
                  <c:v>24</c:v>
                </c:pt>
                <c:pt idx="252">
                  <c:v>24</c:v>
                </c:pt>
                <c:pt idx="253">
                  <c:v>24</c:v>
                </c:pt>
                <c:pt idx="254">
                  <c:v>24</c:v>
                </c:pt>
                <c:pt idx="255">
                  <c:v>24</c:v>
                </c:pt>
                <c:pt idx="256">
                  <c:v>24</c:v>
                </c:pt>
                <c:pt idx="257">
                  <c:v>24</c:v>
                </c:pt>
                <c:pt idx="258">
                  <c:v>24</c:v>
                </c:pt>
                <c:pt idx="259">
                  <c:v>24</c:v>
                </c:pt>
                <c:pt idx="260">
                  <c:v>24</c:v>
                </c:pt>
                <c:pt idx="261">
                  <c:v>24</c:v>
                </c:pt>
                <c:pt idx="262">
                  <c:v>24</c:v>
                </c:pt>
                <c:pt idx="263">
                  <c:v>24</c:v>
                </c:pt>
                <c:pt idx="264">
                  <c:v>24</c:v>
                </c:pt>
                <c:pt idx="265">
                  <c:v>24</c:v>
                </c:pt>
                <c:pt idx="266">
                  <c:v>24</c:v>
                </c:pt>
                <c:pt idx="267">
                  <c:v>24</c:v>
                </c:pt>
                <c:pt idx="268">
                  <c:v>24</c:v>
                </c:pt>
                <c:pt idx="269">
                  <c:v>24</c:v>
                </c:pt>
                <c:pt idx="270">
                  <c:v>24</c:v>
                </c:pt>
                <c:pt idx="271">
                  <c:v>24</c:v>
                </c:pt>
                <c:pt idx="272">
                  <c:v>24</c:v>
                </c:pt>
                <c:pt idx="273">
                  <c:v>24</c:v>
                </c:pt>
                <c:pt idx="274">
                  <c:v>24</c:v>
                </c:pt>
                <c:pt idx="275">
                  <c:v>24</c:v>
                </c:pt>
                <c:pt idx="276">
                  <c:v>24</c:v>
                </c:pt>
                <c:pt idx="277">
                  <c:v>24.5</c:v>
                </c:pt>
                <c:pt idx="278">
                  <c:v>25</c:v>
                </c:pt>
                <c:pt idx="279">
                  <c:v>25</c:v>
                </c:pt>
                <c:pt idx="280">
                  <c:v>25</c:v>
                </c:pt>
                <c:pt idx="281">
                  <c:v>25</c:v>
                </c:pt>
                <c:pt idx="282">
                  <c:v>25</c:v>
                </c:pt>
                <c:pt idx="283">
                  <c:v>25</c:v>
                </c:pt>
                <c:pt idx="284">
                  <c:v>25</c:v>
                </c:pt>
                <c:pt idx="285">
                  <c:v>25</c:v>
                </c:pt>
                <c:pt idx="286">
                  <c:v>25</c:v>
                </c:pt>
                <c:pt idx="287">
                  <c:v>25</c:v>
                </c:pt>
                <c:pt idx="288">
                  <c:v>25</c:v>
                </c:pt>
                <c:pt idx="289">
                  <c:v>25</c:v>
                </c:pt>
                <c:pt idx="290">
                  <c:v>25</c:v>
                </c:pt>
                <c:pt idx="291">
                  <c:v>25</c:v>
                </c:pt>
                <c:pt idx="292">
                  <c:v>25</c:v>
                </c:pt>
                <c:pt idx="293">
                  <c:v>25</c:v>
                </c:pt>
                <c:pt idx="294">
                  <c:v>25</c:v>
                </c:pt>
                <c:pt idx="295">
                  <c:v>25</c:v>
                </c:pt>
                <c:pt idx="296">
                  <c:v>25</c:v>
                </c:pt>
                <c:pt idx="297">
                  <c:v>25</c:v>
                </c:pt>
                <c:pt idx="298">
                  <c:v>25</c:v>
                </c:pt>
                <c:pt idx="299">
                  <c:v>25</c:v>
                </c:pt>
                <c:pt idx="300">
                  <c:v>25</c:v>
                </c:pt>
                <c:pt idx="301">
                  <c:v>26</c:v>
                </c:pt>
                <c:pt idx="302">
                  <c:v>26</c:v>
                </c:pt>
                <c:pt idx="303">
                  <c:v>26</c:v>
                </c:pt>
                <c:pt idx="304">
                  <c:v>26</c:v>
                </c:pt>
                <c:pt idx="305">
                  <c:v>26</c:v>
                </c:pt>
                <c:pt idx="306">
                  <c:v>26</c:v>
                </c:pt>
                <c:pt idx="307">
                  <c:v>26</c:v>
                </c:pt>
                <c:pt idx="308">
                  <c:v>26</c:v>
                </c:pt>
                <c:pt idx="309">
                  <c:v>26</c:v>
                </c:pt>
                <c:pt idx="310">
                  <c:v>26</c:v>
                </c:pt>
                <c:pt idx="311">
                  <c:v>26</c:v>
                </c:pt>
                <c:pt idx="312">
                  <c:v>26</c:v>
                </c:pt>
                <c:pt idx="313">
                  <c:v>26</c:v>
                </c:pt>
                <c:pt idx="314">
                  <c:v>26</c:v>
                </c:pt>
                <c:pt idx="315">
                  <c:v>26</c:v>
                </c:pt>
                <c:pt idx="316">
                  <c:v>26</c:v>
                </c:pt>
                <c:pt idx="317">
                  <c:v>26</c:v>
                </c:pt>
                <c:pt idx="318">
                  <c:v>26</c:v>
                </c:pt>
                <c:pt idx="319">
                  <c:v>27</c:v>
                </c:pt>
                <c:pt idx="320">
                  <c:v>27</c:v>
                </c:pt>
                <c:pt idx="321">
                  <c:v>27</c:v>
                </c:pt>
                <c:pt idx="322">
                  <c:v>27</c:v>
                </c:pt>
                <c:pt idx="323">
                  <c:v>27</c:v>
                </c:pt>
                <c:pt idx="324">
                  <c:v>27</c:v>
                </c:pt>
                <c:pt idx="325">
                  <c:v>27</c:v>
                </c:pt>
                <c:pt idx="326">
                  <c:v>27</c:v>
                </c:pt>
                <c:pt idx="327">
                  <c:v>27</c:v>
                </c:pt>
                <c:pt idx="328">
                  <c:v>27</c:v>
                </c:pt>
                <c:pt idx="329">
                  <c:v>27</c:v>
                </c:pt>
                <c:pt idx="330">
                  <c:v>27</c:v>
                </c:pt>
                <c:pt idx="331">
                  <c:v>27</c:v>
                </c:pt>
                <c:pt idx="332">
                  <c:v>27</c:v>
                </c:pt>
                <c:pt idx="333">
                  <c:v>27</c:v>
                </c:pt>
                <c:pt idx="334">
                  <c:v>27</c:v>
                </c:pt>
                <c:pt idx="335">
                  <c:v>27</c:v>
                </c:pt>
                <c:pt idx="336">
                  <c:v>27</c:v>
                </c:pt>
                <c:pt idx="337">
                  <c:v>28</c:v>
                </c:pt>
                <c:pt idx="338">
                  <c:v>28</c:v>
                </c:pt>
                <c:pt idx="339">
                  <c:v>28</c:v>
                </c:pt>
                <c:pt idx="340">
                  <c:v>28</c:v>
                </c:pt>
                <c:pt idx="341">
                  <c:v>28</c:v>
                </c:pt>
                <c:pt idx="342">
                  <c:v>28</c:v>
                </c:pt>
                <c:pt idx="343">
                  <c:v>28</c:v>
                </c:pt>
                <c:pt idx="344">
                  <c:v>28</c:v>
                </c:pt>
                <c:pt idx="345">
                  <c:v>28</c:v>
                </c:pt>
                <c:pt idx="346">
                  <c:v>28</c:v>
                </c:pt>
                <c:pt idx="347">
                  <c:v>28</c:v>
                </c:pt>
                <c:pt idx="348">
                  <c:v>28</c:v>
                </c:pt>
                <c:pt idx="349">
                  <c:v>28</c:v>
                </c:pt>
                <c:pt idx="350">
                  <c:v>28</c:v>
                </c:pt>
                <c:pt idx="351">
                  <c:v>28</c:v>
                </c:pt>
                <c:pt idx="352">
                  <c:v>28</c:v>
                </c:pt>
                <c:pt idx="353">
                  <c:v>28</c:v>
                </c:pt>
                <c:pt idx="354">
                  <c:v>28</c:v>
                </c:pt>
                <c:pt idx="355">
                  <c:v>28</c:v>
                </c:pt>
                <c:pt idx="356">
                  <c:v>28</c:v>
                </c:pt>
                <c:pt idx="357">
                  <c:v>28</c:v>
                </c:pt>
                <c:pt idx="358">
                  <c:v>28</c:v>
                </c:pt>
                <c:pt idx="359">
                  <c:v>28</c:v>
                </c:pt>
                <c:pt idx="360">
                  <c:v>28</c:v>
                </c:pt>
                <c:pt idx="361">
                  <c:v>28</c:v>
                </c:pt>
                <c:pt idx="362">
                  <c:v>28.5</c:v>
                </c:pt>
                <c:pt idx="363">
                  <c:v>28.5</c:v>
                </c:pt>
                <c:pt idx="364">
                  <c:v>29</c:v>
                </c:pt>
                <c:pt idx="365">
                  <c:v>29</c:v>
                </c:pt>
                <c:pt idx="366">
                  <c:v>29</c:v>
                </c:pt>
                <c:pt idx="367">
                  <c:v>29</c:v>
                </c:pt>
                <c:pt idx="368">
                  <c:v>29</c:v>
                </c:pt>
                <c:pt idx="369">
                  <c:v>29</c:v>
                </c:pt>
                <c:pt idx="370">
                  <c:v>29</c:v>
                </c:pt>
                <c:pt idx="371">
                  <c:v>29</c:v>
                </c:pt>
                <c:pt idx="372">
                  <c:v>29</c:v>
                </c:pt>
                <c:pt idx="373">
                  <c:v>29</c:v>
                </c:pt>
                <c:pt idx="374">
                  <c:v>29</c:v>
                </c:pt>
                <c:pt idx="375">
                  <c:v>29</c:v>
                </c:pt>
                <c:pt idx="376">
                  <c:v>29</c:v>
                </c:pt>
                <c:pt idx="377">
                  <c:v>29</c:v>
                </c:pt>
                <c:pt idx="378">
                  <c:v>29</c:v>
                </c:pt>
                <c:pt idx="379">
                  <c:v>29</c:v>
                </c:pt>
                <c:pt idx="380">
                  <c:v>29</c:v>
                </c:pt>
                <c:pt idx="381">
                  <c:v>29</c:v>
                </c:pt>
                <c:pt idx="382">
                  <c:v>29</c:v>
                </c:pt>
                <c:pt idx="383">
                  <c:v>29</c:v>
                </c:pt>
                <c:pt idx="384">
                  <c:v>30</c:v>
                </c:pt>
                <c:pt idx="385">
                  <c:v>30</c:v>
                </c:pt>
                <c:pt idx="386">
                  <c:v>30</c:v>
                </c:pt>
                <c:pt idx="387">
                  <c:v>30</c:v>
                </c:pt>
                <c:pt idx="388">
                  <c:v>30</c:v>
                </c:pt>
                <c:pt idx="389">
                  <c:v>30</c:v>
                </c:pt>
                <c:pt idx="390">
                  <c:v>30</c:v>
                </c:pt>
                <c:pt idx="391">
                  <c:v>30</c:v>
                </c:pt>
                <c:pt idx="392">
                  <c:v>30</c:v>
                </c:pt>
                <c:pt idx="393">
                  <c:v>30</c:v>
                </c:pt>
                <c:pt idx="394">
                  <c:v>30</c:v>
                </c:pt>
                <c:pt idx="395">
                  <c:v>30</c:v>
                </c:pt>
                <c:pt idx="396">
                  <c:v>30</c:v>
                </c:pt>
                <c:pt idx="397">
                  <c:v>30</c:v>
                </c:pt>
                <c:pt idx="398">
                  <c:v>30</c:v>
                </c:pt>
                <c:pt idx="399">
                  <c:v>30</c:v>
                </c:pt>
                <c:pt idx="400">
                  <c:v>30</c:v>
                </c:pt>
                <c:pt idx="401">
                  <c:v>30</c:v>
                </c:pt>
                <c:pt idx="402">
                  <c:v>30</c:v>
                </c:pt>
                <c:pt idx="403">
                  <c:v>30</c:v>
                </c:pt>
                <c:pt idx="404">
                  <c:v>30</c:v>
                </c:pt>
                <c:pt idx="405">
                  <c:v>30</c:v>
                </c:pt>
                <c:pt idx="406">
                  <c:v>30</c:v>
                </c:pt>
                <c:pt idx="407">
                  <c:v>30</c:v>
                </c:pt>
                <c:pt idx="408">
                  <c:v>30</c:v>
                </c:pt>
                <c:pt idx="409">
                  <c:v>30.5</c:v>
                </c:pt>
                <c:pt idx="410">
                  <c:v>30.5</c:v>
                </c:pt>
                <c:pt idx="411">
                  <c:v>31</c:v>
                </c:pt>
                <c:pt idx="412">
                  <c:v>31</c:v>
                </c:pt>
                <c:pt idx="413">
                  <c:v>31</c:v>
                </c:pt>
                <c:pt idx="414">
                  <c:v>31</c:v>
                </c:pt>
                <c:pt idx="415">
                  <c:v>31</c:v>
                </c:pt>
                <c:pt idx="416">
                  <c:v>31</c:v>
                </c:pt>
                <c:pt idx="417">
                  <c:v>31</c:v>
                </c:pt>
                <c:pt idx="418">
                  <c:v>31</c:v>
                </c:pt>
                <c:pt idx="419">
                  <c:v>31</c:v>
                </c:pt>
                <c:pt idx="420">
                  <c:v>31</c:v>
                </c:pt>
                <c:pt idx="421">
                  <c:v>31</c:v>
                </c:pt>
                <c:pt idx="422">
                  <c:v>31</c:v>
                </c:pt>
                <c:pt idx="423">
                  <c:v>31</c:v>
                </c:pt>
                <c:pt idx="424">
                  <c:v>31</c:v>
                </c:pt>
                <c:pt idx="425">
                  <c:v>31</c:v>
                </c:pt>
                <c:pt idx="426">
                  <c:v>31</c:v>
                </c:pt>
                <c:pt idx="427">
                  <c:v>31</c:v>
                </c:pt>
                <c:pt idx="428">
                  <c:v>32</c:v>
                </c:pt>
                <c:pt idx="429">
                  <c:v>32</c:v>
                </c:pt>
                <c:pt idx="430">
                  <c:v>32</c:v>
                </c:pt>
                <c:pt idx="431">
                  <c:v>32</c:v>
                </c:pt>
                <c:pt idx="432">
                  <c:v>32</c:v>
                </c:pt>
                <c:pt idx="433">
                  <c:v>32</c:v>
                </c:pt>
                <c:pt idx="434">
                  <c:v>32</c:v>
                </c:pt>
                <c:pt idx="435">
                  <c:v>32</c:v>
                </c:pt>
                <c:pt idx="436">
                  <c:v>32</c:v>
                </c:pt>
                <c:pt idx="437">
                  <c:v>32</c:v>
                </c:pt>
                <c:pt idx="438">
                  <c:v>32</c:v>
                </c:pt>
                <c:pt idx="439">
                  <c:v>32</c:v>
                </c:pt>
                <c:pt idx="440">
                  <c:v>32</c:v>
                </c:pt>
                <c:pt idx="441">
                  <c:v>32</c:v>
                </c:pt>
                <c:pt idx="442">
                  <c:v>32</c:v>
                </c:pt>
                <c:pt idx="443">
                  <c:v>32</c:v>
                </c:pt>
                <c:pt idx="444">
                  <c:v>32</c:v>
                </c:pt>
                <c:pt idx="445">
                  <c:v>32</c:v>
                </c:pt>
                <c:pt idx="446">
                  <c:v>32.5</c:v>
                </c:pt>
                <c:pt idx="447">
                  <c:v>32.5</c:v>
                </c:pt>
                <c:pt idx="448">
                  <c:v>33</c:v>
                </c:pt>
                <c:pt idx="449">
                  <c:v>33</c:v>
                </c:pt>
                <c:pt idx="450">
                  <c:v>33</c:v>
                </c:pt>
                <c:pt idx="451">
                  <c:v>33</c:v>
                </c:pt>
                <c:pt idx="452">
                  <c:v>33</c:v>
                </c:pt>
                <c:pt idx="453">
                  <c:v>33</c:v>
                </c:pt>
                <c:pt idx="454">
                  <c:v>33</c:v>
                </c:pt>
                <c:pt idx="455">
                  <c:v>33</c:v>
                </c:pt>
                <c:pt idx="456">
                  <c:v>33</c:v>
                </c:pt>
                <c:pt idx="457">
                  <c:v>33</c:v>
                </c:pt>
                <c:pt idx="458">
                  <c:v>33</c:v>
                </c:pt>
                <c:pt idx="459">
                  <c:v>33</c:v>
                </c:pt>
                <c:pt idx="460">
                  <c:v>33</c:v>
                </c:pt>
                <c:pt idx="461">
                  <c:v>33</c:v>
                </c:pt>
                <c:pt idx="462">
                  <c:v>33</c:v>
                </c:pt>
                <c:pt idx="463">
                  <c:v>34</c:v>
                </c:pt>
                <c:pt idx="464">
                  <c:v>34</c:v>
                </c:pt>
                <c:pt idx="465">
                  <c:v>34</c:v>
                </c:pt>
                <c:pt idx="466">
                  <c:v>34</c:v>
                </c:pt>
                <c:pt idx="467">
                  <c:v>34</c:v>
                </c:pt>
                <c:pt idx="468">
                  <c:v>34</c:v>
                </c:pt>
                <c:pt idx="469">
                  <c:v>34</c:v>
                </c:pt>
                <c:pt idx="470">
                  <c:v>34</c:v>
                </c:pt>
                <c:pt idx="471">
                  <c:v>34</c:v>
                </c:pt>
                <c:pt idx="472">
                  <c:v>34</c:v>
                </c:pt>
                <c:pt idx="473">
                  <c:v>34</c:v>
                </c:pt>
                <c:pt idx="474">
                  <c:v>34</c:v>
                </c:pt>
                <c:pt idx="475">
                  <c:v>34</c:v>
                </c:pt>
                <c:pt idx="476">
                  <c:v>34</c:v>
                </c:pt>
                <c:pt idx="477">
                  <c:v>34</c:v>
                </c:pt>
                <c:pt idx="478">
                  <c:v>34.5</c:v>
                </c:pt>
                <c:pt idx="479">
                  <c:v>35</c:v>
                </c:pt>
                <c:pt idx="480">
                  <c:v>35</c:v>
                </c:pt>
                <c:pt idx="481">
                  <c:v>35</c:v>
                </c:pt>
                <c:pt idx="482">
                  <c:v>35</c:v>
                </c:pt>
                <c:pt idx="483">
                  <c:v>35</c:v>
                </c:pt>
                <c:pt idx="484">
                  <c:v>35</c:v>
                </c:pt>
                <c:pt idx="485">
                  <c:v>35</c:v>
                </c:pt>
                <c:pt idx="486">
                  <c:v>35</c:v>
                </c:pt>
                <c:pt idx="487">
                  <c:v>35</c:v>
                </c:pt>
                <c:pt idx="488">
                  <c:v>35</c:v>
                </c:pt>
                <c:pt idx="489">
                  <c:v>35</c:v>
                </c:pt>
                <c:pt idx="490">
                  <c:v>35</c:v>
                </c:pt>
                <c:pt idx="491">
                  <c:v>35</c:v>
                </c:pt>
                <c:pt idx="492">
                  <c:v>35</c:v>
                </c:pt>
                <c:pt idx="493">
                  <c:v>35</c:v>
                </c:pt>
                <c:pt idx="494">
                  <c:v>35</c:v>
                </c:pt>
                <c:pt idx="495">
                  <c:v>35</c:v>
                </c:pt>
                <c:pt idx="496">
                  <c:v>35</c:v>
                </c:pt>
                <c:pt idx="497">
                  <c:v>36</c:v>
                </c:pt>
                <c:pt idx="498">
                  <c:v>36</c:v>
                </c:pt>
                <c:pt idx="499">
                  <c:v>36</c:v>
                </c:pt>
                <c:pt idx="500">
                  <c:v>36</c:v>
                </c:pt>
                <c:pt idx="501">
                  <c:v>36</c:v>
                </c:pt>
                <c:pt idx="502">
                  <c:v>36</c:v>
                </c:pt>
                <c:pt idx="503">
                  <c:v>36</c:v>
                </c:pt>
                <c:pt idx="504">
                  <c:v>36</c:v>
                </c:pt>
                <c:pt idx="505">
                  <c:v>36</c:v>
                </c:pt>
                <c:pt idx="506">
                  <c:v>36</c:v>
                </c:pt>
                <c:pt idx="507">
                  <c:v>36</c:v>
                </c:pt>
                <c:pt idx="508">
                  <c:v>36</c:v>
                </c:pt>
                <c:pt idx="509">
                  <c:v>36</c:v>
                </c:pt>
                <c:pt idx="510">
                  <c:v>36</c:v>
                </c:pt>
                <c:pt idx="511">
                  <c:v>36</c:v>
                </c:pt>
                <c:pt idx="512">
                  <c:v>36</c:v>
                </c:pt>
                <c:pt idx="513">
                  <c:v>36</c:v>
                </c:pt>
                <c:pt idx="514">
                  <c:v>36</c:v>
                </c:pt>
                <c:pt idx="515">
                  <c:v>36</c:v>
                </c:pt>
                <c:pt idx="516">
                  <c:v>36</c:v>
                </c:pt>
                <c:pt idx="517">
                  <c:v>36</c:v>
                </c:pt>
                <c:pt idx="518">
                  <c:v>36</c:v>
                </c:pt>
                <c:pt idx="519">
                  <c:v>36.5</c:v>
                </c:pt>
                <c:pt idx="520">
                  <c:v>37</c:v>
                </c:pt>
                <c:pt idx="521">
                  <c:v>37</c:v>
                </c:pt>
                <c:pt idx="522">
                  <c:v>37</c:v>
                </c:pt>
                <c:pt idx="523">
                  <c:v>37</c:v>
                </c:pt>
                <c:pt idx="524">
                  <c:v>37</c:v>
                </c:pt>
                <c:pt idx="525">
                  <c:v>37</c:v>
                </c:pt>
                <c:pt idx="526">
                  <c:v>38</c:v>
                </c:pt>
                <c:pt idx="527">
                  <c:v>38</c:v>
                </c:pt>
                <c:pt idx="528">
                  <c:v>38</c:v>
                </c:pt>
                <c:pt idx="529">
                  <c:v>38</c:v>
                </c:pt>
                <c:pt idx="530">
                  <c:v>38</c:v>
                </c:pt>
                <c:pt idx="531">
                  <c:v>38</c:v>
                </c:pt>
                <c:pt idx="532">
                  <c:v>38</c:v>
                </c:pt>
                <c:pt idx="533">
                  <c:v>38</c:v>
                </c:pt>
                <c:pt idx="534">
                  <c:v>38</c:v>
                </c:pt>
                <c:pt idx="535">
                  <c:v>38</c:v>
                </c:pt>
                <c:pt idx="536">
                  <c:v>38</c:v>
                </c:pt>
                <c:pt idx="537">
                  <c:v>39</c:v>
                </c:pt>
                <c:pt idx="538">
                  <c:v>39</c:v>
                </c:pt>
                <c:pt idx="539">
                  <c:v>39</c:v>
                </c:pt>
                <c:pt idx="540">
                  <c:v>39</c:v>
                </c:pt>
                <c:pt idx="541">
                  <c:v>39</c:v>
                </c:pt>
                <c:pt idx="542">
                  <c:v>39</c:v>
                </c:pt>
                <c:pt idx="543">
                  <c:v>39</c:v>
                </c:pt>
                <c:pt idx="544">
                  <c:v>39</c:v>
                </c:pt>
                <c:pt idx="545">
                  <c:v>39</c:v>
                </c:pt>
                <c:pt idx="546">
                  <c:v>39</c:v>
                </c:pt>
                <c:pt idx="547">
                  <c:v>39</c:v>
                </c:pt>
                <c:pt idx="548">
                  <c:v>39</c:v>
                </c:pt>
                <c:pt idx="549">
                  <c:v>39</c:v>
                </c:pt>
                <c:pt idx="550">
                  <c:v>39</c:v>
                </c:pt>
                <c:pt idx="551">
                  <c:v>40</c:v>
                </c:pt>
                <c:pt idx="552">
                  <c:v>40</c:v>
                </c:pt>
                <c:pt idx="553">
                  <c:v>40</c:v>
                </c:pt>
                <c:pt idx="554">
                  <c:v>40</c:v>
                </c:pt>
                <c:pt idx="555">
                  <c:v>40</c:v>
                </c:pt>
                <c:pt idx="556">
                  <c:v>40</c:v>
                </c:pt>
                <c:pt idx="557">
                  <c:v>40</c:v>
                </c:pt>
                <c:pt idx="558">
                  <c:v>40</c:v>
                </c:pt>
                <c:pt idx="559">
                  <c:v>40</c:v>
                </c:pt>
                <c:pt idx="560">
                  <c:v>40</c:v>
                </c:pt>
                <c:pt idx="561">
                  <c:v>40</c:v>
                </c:pt>
                <c:pt idx="562">
                  <c:v>40</c:v>
                </c:pt>
                <c:pt idx="563">
                  <c:v>40</c:v>
                </c:pt>
                <c:pt idx="564">
                  <c:v>40.5</c:v>
                </c:pt>
                <c:pt idx="565">
                  <c:v>40.5</c:v>
                </c:pt>
                <c:pt idx="566">
                  <c:v>41</c:v>
                </c:pt>
                <c:pt idx="567">
                  <c:v>41</c:v>
                </c:pt>
                <c:pt idx="568">
                  <c:v>41</c:v>
                </c:pt>
                <c:pt idx="569">
                  <c:v>41</c:v>
                </c:pt>
                <c:pt idx="570">
                  <c:v>41</c:v>
                </c:pt>
                <c:pt idx="571">
                  <c:v>41</c:v>
                </c:pt>
                <c:pt idx="572">
                  <c:v>42</c:v>
                </c:pt>
                <c:pt idx="573">
                  <c:v>42</c:v>
                </c:pt>
                <c:pt idx="574">
                  <c:v>42</c:v>
                </c:pt>
                <c:pt idx="575">
                  <c:v>42</c:v>
                </c:pt>
                <c:pt idx="576">
                  <c:v>42</c:v>
                </c:pt>
                <c:pt idx="577">
                  <c:v>42</c:v>
                </c:pt>
                <c:pt idx="578">
                  <c:v>42</c:v>
                </c:pt>
                <c:pt idx="579">
                  <c:v>42</c:v>
                </c:pt>
                <c:pt idx="580">
                  <c:v>42</c:v>
                </c:pt>
                <c:pt idx="581">
                  <c:v>42</c:v>
                </c:pt>
                <c:pt idx="582">
                  <c:v>42</c:v>
                </c:pt>
                <c:pt idx="583">
                  <c:v>42</c:v>
                </c:pt>
                <c:pt idx="584">
                  <c:v>42</c:v>
                </c:pt>
                <c:pt idx="585">
                  <c:v>43</c:v>
                </c:pt>
                <c:pt idx="586">
                  <c:v>43</c:v>
                </c:pt>
                <c:pt idx="587">
                  <c:v>43</c:v>
                </c:pt>
                <c:pt idx="588">
                  <c:v>43</c:v>
                </c:pt>
                <c:pt idx="589">
                  <c:v>43</c:v>
                </c:pt>
                <c:pt idx="590">
                  <c:v>44</c:v>
                </c:pt>
                <c:pt idx="591">
                  <c:v>44</c:v>
                </c:pt>
                <c:pt idx="592">
                  <c:v>44</c:v>
                </c:pt>
                <c:pt idx="593">
                  <c:v>44</c:v>
                </c:pt>
                <c:pt idx="594">
                  <c:v>44</c:v>
                </c:pt>
                <c:pt idx="595">
                  <c:v>44</c:v>
                </c:pt>
                <c:pt idx="596">
                  <c:v>44</c:v>
                </c:pt>
                <c:pt idx="597">
                  <c:v>44</c:v>
                </c:pt>
                <c:pt idx="598">
                  <c:v>44</c:v>
                </c:pt>
                <c:pt idx="599">
                  <c:v>45</c:v>
                </c:pt>
                <c:pt idx="600">
                  <c:v>45</c:v>
                </c:pt>
                <c:pt idx="601">
                  <c:v>45</c:v>
                </c:pt>
                <c:pt idx="602">
                  <c:v>45</c:v>
                </c:pt>
                <c:pt idx="603">
                  <c:v>45</c:v>
                </c:pt>
                <c:pt idx="604">
                  <c:v>45</c:v>
                </c:pt>
                <c:pt idx="605">
                  <c:v>45</c:v>
                </c:pt>
                <c:pt idx="606">
                  <c:v>45</c:v>
                </c:pt>
                <c:pt idx="607">
                  <c:v>45</c:v>
                </c:pt>
                <c:pt idx="608">
                  <c:v>45</c:v>
                </c:pt>
                <c:pt idx="609">
                  <c:v>45</c:v>
                </c:pt>
                <c:pt idx="610">
                  <c:v>45</c:v>
                </c:pt>
                <c:pt idx="611">
                  <c:v>45.5</c:v>
                </c:pt>
                <c:pt idx="612">
                  <c:v>45.5</c:v>
                </c:pt>
                <c:pt idx="613">
                  <c:v>46</c:v>
                </c:pt>
                <c:pt idx="614">
                  <c:v>46</c:v>
                </c:pt>
                <c:pt idx="615">
                  <c:v>46</c:v>
                </c:pt>
                <c:pt idx="616">
                  <c:v>47</c:v>
                </c:pt>
                <c:pt idx="617">
                  <c:v>47</c:v>
                </c:pt>
                <c:pt idx="618">
                  <c:v>47</c:v>
                </c:pt>
                <c:pt idx="619">
                  <c:v>47</c:v>
                </c:pt>
                <c:pt idx="620">
                  <c:v>47</c:v>
                </c:pt>
                <c:pt idx="621">
                  <c:v>47</c:v>
                </c:pt>
                <c:pt idx="622">
                  <c:v>47</c:v>
                </c:pt>
                <c:pt idx="623">
                  <c:v>47</c:v>
                </c:pt>
                <c:pt idx="624">
                  <c:v>47</c:v>
                </c:pt>
                <c:pt idx="625">
                  <c:v>48</c:v>
                </c:pt>
                <c:pt idx="626">
                  <c:v>48</c:v>
                </c:pt>
                <c:pt idx="627">
                  <c:v>48</c:v>
                </c:pt>
                <c:pt idx="628">
                  <c:v>48</c:v>
                </c:pt>
                <c:pt idx="629">
                  <c:v>48</c:v>
                </c:pt>
                <c:pt idx="630">
                  <c:v>48</c:v>
                </c:pt>
                <c:pt idx="631">
                  <c:v>48</c:v>
                </c:pt>
                <c:pt idx="632">
                  <c:v>48</c:v>
                </c:pt>
                <c:pt idx="633">
                  <c:v>48</c:v>
                </c:pt>
                <c:pt idx="634">
                  <c:v>49</c:v>
                </c:pt>
                <c:pt idx="635">
                  <c:v>49</c:v>
                </c:pt>
                <c:pt idx="636">
                  <c:v>49</c:v>
                </c:pt>
                <c:pt idx="637">
                  <c:v>49</c:v>
                </c:pt>
                <c:pt idx="638">
                  <c:v>49</c:v>
                </c:pt>
                <c:pt idx="639">
                  <c:v>49</c:v>
                </c:pt>
                <c:pt idx="640">
                  <c:v>50</c:v>
                </c:pt>
                <c:pt idx="641">
                  <c:v>50</c:v>
                </c:pt>
                <c:pt idx="642">
                  <c:v>50</c:v>
                </c:pt>
                <c:pt idx="643">
                  <c:v>50</c:v>
                </c:pt>
                <c:pt idx="644">
                  <c:v>50</c:v>
                </c:pt>
                <c:pt idx="645">
                  <c:v>50</c:v>
                </c:pt>
                <c:pt idx="646">
                  <c:v>50</c:v>
                </c:pt>
                <c:pt idx="647">
                  <c:v>50</c:v>
                </c:pt>
                <c:pt idx="648">
                  <c:v>50</c:v>
                </c:pt>
                <c:pt idx="649">
                  <c:v>50</c:v>
                </c:pt>
                <c:pt idx="650">
                  <c:v>51</c:v>
                </c:pt>
                <c:pt idx="651">
                  <c:v>51</c:v>
                </c:pt>
                <c:pt idx="652">
                  <c:v>51</c:v>
                </c:pt>
                <c:pt idx="653">
                  <c:v>51</c:v>
                </c:pt>
                <c:pt idx="654">
                  <c:v>51</c:v>
                </c:pt>
                <c:pt idx="655">
                  <c:v>51</c:v>
                </c:pt>
                <c:pt idx="656">
                  <c:v>51</c:v>
                </c:pt>
                <c:pt idx="657">
                  <c:v>52</c:v>
                </c:pt>
                <c:pt idx="658">
                  <c:v>52</c:v>
                </c:pt>
                <c:pt idx="659">
                  <c:v>52</c:v>
                </c:pt>
                <c:pt idx="660">
                  <c:v>52</c:v>
                </c:pt>
                <c:pt idx="661">
                  <c:v>52</c:v>
                </c:pt>
                <c:pt idx="662">
                  <c:v>52</c:v>
                </c:pt>
                <c:pt idx="663">
                  <c:v>53</c:v>
                </c:pt>
                <c:pt idx="664">
                  <c:v>54</c:v>
                </c:pt>
                <c:pt idx="665">
                  <c:v>54</c:v>
                </c:pt>
                <c:pt idx="666">
                  <c:v>54</c:v>
                </c:pt>
                <c:pt idx="667">
                  <c:v>54</c:v>
                </c:pt>
                <c:pt idx="668">
                  <c:v>54</c:v>
                </c:pt>
                <c:pt idx="669">
                  <c:v>54</c:v>
                </c:pt>
                <c:pt idx="670">
                  <c:v>54</c:v>
                </c:pt>
                <c:pt idx="671">
                  <c:v>54</c:v>
                </c:pt>
                <c:pt idx="672">
                  <c:v>55</c:v>
                </c:pt>
                <c:pt idx="673">
                  <c:v>55</c:v>
                </c:pt>
                <c:pt idx="674">
                  <c:v>55.5</c:v>
                </c:pt>
                <c:pt idx="675">
                  <c:v>56</c:v>
                </c:pt>
                <c:pt idx="676">
                  <c:v>56</c:v>
                </c:pt>
                <c:pt idx="677">
                  <c:v>56</c:v>
                </c:pt>
                <c:pt idx="678">
                  <c:v>56</c:v>
                </c:pt>
                <c:pt idx="679">
                  <c:v>57</c:v>
                </c:pt>
                <c:pt idx="680">
                  <c:v>57</c:v>
                </c:pt>
                <c:pt idx="681">
                  <c:v>58</c:v>
                </c:pt>
                <c:pt idx="682">
                  <c:v>58</c:v>
                </c:pt>
                <c:pt idx="683">
                  <c:v>58</c:v>
                </c:pt>
                <c:pt idx="684">
                  <c:v>58</c:v>
                </c:pt>
                <c:pt idx="685">
                  <c:v>58</c:v>
                </c:pt>
                <c:pt idx="686">
                  <c:v>59</c:v>
                </c:pt>
                <c:pt idx="687">
                  <c:v>59</c:v>
                </c:pt>
                <c:pt idx="688">
                  <c:v>60</c:v>
                </c:pt>
                <c:pt idx="689">
                  <c:v>60</c:v>
                </c:pt>
                <c:pt idx="690">
                  <c:v>60</c:v>
                </c:pt>
                <c:pt idx="691">
                  <c:v>60</c:v>
                </c:pt>
                <c:pt idx="692">
                  <c:v>61</c:v>
                </c:pt>
                <c:pt idx="693">
                  <c:v>61</c:v>
                </c:pt>
                <c:pt idx="694">
                  <c:v>61</c:v>
                </c:pt>
                <c:pt idx="695">
                  <c:v>62</c:v>
                </c:pt>
                <c:pt idx="696">
                  <c:v>62</c:v>
                </c:pt>
                <c:pt idx="697">
                  <c:v>62</c:v>
                </c:pt>
                <c:pt idx="698">
                  <c:v>62</c:v>
                </c:pt>
                <c:pt idx="699">
                  <c:v>63</c:v>
                </c:pt>
                <c:pt idx="700">
                  <c:v>63</c:v>
                </c:pt>
                <c:pt idx="701">
                  <c:v>64</c:v>
                </c:pt>
                <c:pt idx="702">
                  <c:v>64</c:v>
                </c:pt>
                <c:pt idx="703">
                  <c:v>65</c:v>
                </c:pt>
                <c:pt idx="704">
                  <c:v>65</c:v>
                </c:pt>
                <c:pt idx="705">
                  <c:v>65</c:v>
                </c:pt>
                <c:pt idx="706">
                  <c:v>66</c:v>
                </c:pt>
                <c:pt idx="707">
                  <c:v>70</c:v>
                </c:pt>
                <c:pt idx="708">
                  <c:v>70</c:v>
                </c:pt>
                <c:pt idx="709">
                  <c:v>70.5</c:v>
                </c:pt>
                <c:pt idx="710">
                  <c:v>71</c:v>
                </c:pt>
                <c:pt idx="711">
                  <c:v>71</c:v>
                </c:pt>
                <c:pt idx="712">
                  <c:v>74</c:v>
                </c:pt>
                <c:pt idx="713">
                  <c:v>80</c:v>
                </c:pt>
              </c:numCache>
            </c:numRef>
          </c:xVal>
          <c:yVal>
            <c:numRef>
              <c:f>Sheet11!$B$2:$B$715</c:f>
              <c:numCache>
                <c:formatCode>0.00</c:formatCode>
                <c:ptCount val="714"/>
                <c:pt idx="0">
                  <c:v>8.5167000000000002</c:v>
                </c:pt>
                <c:pt idx="1">
                  <c:v>14.5</c:v>
                </c:pt>
                <c:pt idx="2">
                  <c:v>19.258299999999998</c:v>
                </c:pt>
                <c:pt idx="3">
                  <c:v>19.258299999999998</c:v>
                </c:pt>
                <c:pt idx="4">
                  <c:v>29</c:v>
                </c:pt>
                <c:pt idx="5">
                  <c:v>18.75</c:v>
                </c:pt>
                <c:pt idx="6">
                  <c:v>151.55000000000001</c:v>
                </c:pt>
                <c:pt idx="7">
                  <c:v>39.6875</c:v>
                </c:pt>
                <c:pt idx="8">
                  <c:v>11.1333</c:v>
                </c:pt>
                <c:pt idx="9">
                  <c:v>39</c:v>
                </c:pt>
                <c:pt idx="10">
                  <c:v>15.7417</c:v>
                </c:pt>
                <c:pt idx="11">
                  <c:v>46.9</c:v>
                </c:pt>
                <c:pt idx="12">
                  <c:v>20.574999999999999</c:v>
                </c:pt>
                <c:pt idx="13">
                  <c:v>37.004199999999997</c:v>
                </c:pt>
                <c:pt idx="14">
                  <c:v>21.074999999999999</c:v>
                </c:pt>
                <c:pt idx="15">
                  <c:v>29.125</c:v>
                </c:pt>
                <c:pt idx="16">
                  <c:v>31.274999999999999</c:v>
                </c:pt>
                <c:pt idx="17">
                  <c:v>10.4625</c:v>
                </c:pt>
                <c:pt idx="18">
                  <c:v>151.55000000000001</c:v>
                </c:pt>
                <c:pt idx="19">
                  <c:v>26</c:v>
                </c:pt>
                <c:pt idx="20">
                  <c:v>12.2875</c:v>
                </c:pt>
                <c:pt idx="21">
                  <c:v>26</c:v>
                </c:pt>
                <c:pt idx="22">
                  <c:v>27.9</c:v>
                </c:pt>
                <c:pt idx="23">
                  <c:v>39.6875</c:v>
                </c:pt>
                <c:pt idx="24">
                  <c:v>41.5792</c:v>
                </c:pt>
                <c:pt idx="25">
                  <c:v>26</c:v>
                </c:pt>
                <c:pt idx="26">
                  <c:v>31.387499999999999</c:v>
                </c:pt>
                <c:pt idx="27">
                  <c:v>15.9</c:v>
                </c:pt>
                <c:pt idx="28">
                  <c:v>21.074999999999999</c:v>
                </c:pt>
                <c:pt idx="29">
                  <c:v>18.75</c:v>
                </c:pt>
                <c:pt idx="30">
                  <c:v>16.7</c:v>
                </c:pt>
                <c:pt idx="31">
                  <c:v>27.9</c:v>
                </c:pt>
                <c:pt idx="32">
                  <c:v>29.125</c:v>
                </c:pt>
                <c:pt idx="33">
                  <c:v>22.024999999999999</c:v>
                </c:pt>
                <c:pt idx="34">
                  <c:v>81.8583</c:v>
                </c:pt>
                <c:pt idx="35">
                  <c:v>39</c:v>
                </c:pt>
                <c:pt idx="36">
                  <c:v>13.416700000000001</c:v>
                </c:pt>
                <c:pt idx="37">
                  <c:v>23</c:v>
                </c:pt>
                <c:pt idx="38">
                  <c:v>31.274999999999999</c:v>
                </c:pt>
                <c:pt idx="39">
                  <c:v>11.1333</c:v>
                </c:pt>
                <c:pt idx="40">
                  <c:v>27.75</c:v>
                </c:pt>
                <c:pt idx="41">
                  <c:v>31.387499999999999</c:v>
                </c:pt>
                <c:pt idx="42">
                  <c:v>19.258299999999998</c:v>
                </c:pt>
                <c:pt idx="43">
                  <c:v>12.475</c:v>
                </c:pt>
                <c:pt idx="44">
                  <c:v>33</c:v>
                </c:pt>
                <c:pt idx="45">
                  <c:v>12.475</c:v>
                </c:pt>
                <c:pt idx="46">
                  <c:v>31.274999999999999</c:v>
                </c:pt>
                <c:pt idx="47">
                  <c:v>39.6875</c:v>
                </c:pt>
                <c:pt idx="48">
                  <c:v>29.125</c:v>
                </c:pt>
                <c:pt idx="49">
                  <c:v>26.25</c:v>
                </c:pt>
                <c:pt idx="50">
                  <c:v>21.074999999999999</c:v>
                </c:pt>
                <c:pt idx="51">
                  <c:v>26.25</c:v>
                </c:pt>
                <c:pt idx="52">
                  <c:v>36.75</c:v>
                </c:pt>
                <c:pt idx="53">
                  <c:v>29.125</c:v>
                </c:pt>
                <c:pt idx="54">
                  <c:v>34.375</c:v>
                </c:pt>
                <c:pt idx="55">
                  <c:v>20.524999999999999</c:v>
                </c:pt>
                <c:pt idx="56">
                  <c:v>31.387499999999999</c:v>
                </c:pt>
                <c:pt idx="57">
                  <c:v>46.9</c:v>
                </c:pt>
                <c:pt idx="58">
                  <c:v>15.9</c:v>
                </c:pt>
                <c:pt idx="59">
                  <c:v>31.274999999999999</c:v>
                </c:pt>
                <c:pt idx="60">
                  <c:v>27.9</c:v>
                </c:pt>
                <c:pt idx="61">
                  <c:v>15.245799999999999</c:v>
                </c:pt>
                <c:pt idx="62">
                  <c:v>24.15</c:v>
                </c:pt>
                <c:pt idx="63">
                  <c:v>27.9</c:v>
                </c:pt>
                <c:pt idx="64">
                  <c:v>46.9</c:v>
                </c:pt>
                <c:pt idx="65">
                  <c:v>31.274999999999999</c:v>
                </c:pt>
                <c:pt idx="66">
                  <c:v>18.787500000000001</c:v>
                </c:pt>
                <c:pt idx="67">
                  <c:v>120</c:v>
                </c:pt>
                <c:pt idx="68">
                  <c:v>11.2417</c:v>
                </c:pt>
                <c:pt idx="69">
                  <c:v>19.5</c:v>
                </c:pt>
                <c:pt idx="70">
                  <c:v>7.2291999999999996</c:v>
                </c:pt>
                <c:pt idx="71">
                  <c:v>30.070799999999998</c:v>
                </c:pt>
                <c:pt idx="72">
                  <c:v>7.8541999999999996</c:v>
                </c:pt>
                <c:pt idx="73">
                  <c:v>11.2417</c:v>
                </c:pt>
                <c:pt idx="74">
                  <c:v>120</c:v>
                </c:pt>
                <c:pt idx="75">
                  <c:v>46.9</c:v>
                </c:pt>
                <c:pt idx="76">
                  <c:v>39.6875</c:v>
                </c:pt>
                <c:pt idx="77">
                  <c:v>14.4542</c:v>
                </c:pt>
                <c:pt idx="78">
                  <c:v>8.0291999999999994</c:v>
                </c:pt>
                <c:pt idx="79">
                  <c:v>7.2291999999999996</c:v>
                </c:pt>
                <c:pt idx="80">
                  <c:v>211.33750000000001</c:v>
                </c:pt>
                <c:pt idx="81">
                  <c:v>14.4542</c:v>
                </c:pt>
                <c:pt idx="82">
                  <c:v>7.2249999999999996</c:v>
                </c:pt>
                <c:pt idx="83">
                  <c:v>46.9</c:v>
                </c:pt>
                <c:pt idx="84">
                  <c:v>34.375</c:v>
                </c:pt>
                <c:pt idx="85">
                  <c:v>9.2166999999999994</c:v>
                </c:pt>
                <c:pt idx="86">
                  <c:v>7.7332999999999998</c:v>
                </c:pt>
                <c:pt idx="87">
                  <c:v>7.75</c:v>
                </c:pt>
                <c:pt idx="88">
                  <c:v>8.0500000000000007</c:v>
                </c:pt>
                <c:pt idx="89">
                  <c:v>39.6875</c:v>
                </c:pt>
                <c:pt idx="90">
                  <c:v>9.5</c:v>
                </c:pt>
                <c:pt idx="91">
                  <c:v>57.979199999999999</c:v>
                </c:pt>
                <c:pt idx="92">
                  <c:v>18</c:v>
                </c:pt>
                <c:pt idx="93">
                  <c:v>86.5</c:v>
                </c:pt>
                <c:pt idx="94">
                  <c:v>8.0500000000000007</c:v>
                </c:pt>
                <c:pt idx="95">
                  <c:v>20.25</c:v>
                </c:pt>
                <c:pt idx="96">
                  <c:v>7.7750000000000004</c:v>
                </c:pt>
                <c:pt idx="97">
                  <c:v>26</c:v>
                </c:pt>
                <c:pt idx="98">
                  <c:v>10.5</c:v>
                </c:pt>
                <c:pt idx="99">
                  <c:v>39.4</c:v>
                </c:pt>
                <c:pt idx="100">
                  <c:v>7.9249999999999998</c:v>
                </c:pt>
                <c:pt idx="101">
                  <c:v>10.5</c:v>
                </c:pt>
                <c:pt idx="102">
                  <c:v>14.458299999999999</c:v>
                </c:pt>
                <c:pt idx="103">
                  <c:v>8.6624999999999996</c:v>
                </c:pt>
                <c:pt idx="104">
                  <c:v>108.9</c:v>
                </c:pt>
                <c:pt idx="105">
                  <c:v>12</c:v>
                </c:pt>
                <c:pt idx="106">
                  <c:v>7.125</c:v>
                </c:pt>
                <c:pt idx="107">
                  <c:v>8.6624999999999996</c:v>
                </c:pt>
                <c:pt idx="108">
                  <c:v>7.2291999999999996</c:v>
                </c:pt>
                <c:pt idx="109">
                  <c:v>110.88330000000001</c:v>
                </c:pt>
                <c:pt idx="110">
                  <c:v>7.0541999999999998</c:v>
                </c:pt>
                <c:pt idx="111">
                  <c:v>57</c:v>
                </c:pt>
                <c:pt idx="112">
                  <c:v>8.6624999999999996</c:v>
                </c:pt>
                <c:pt idx="113">
                  <c:v>18</c:v>
                </c:pt>
                <c:pt idx="114">
                  <c:v>17.8</c:v>
                </c:pt>
                <c:pt idx="115">
                  <c:v>11.5</c:v>
                </c:pt>
                <c:pt idx="116">
                  <c:v>7.8541999999999996</c:v>
                </c:pt>
                <c:pt idx="117">
                  <c:v>8.0500000000000007</c:v>
                </c:pt>
                <c:pt idx="118">
                  <c:v>13</c:v>
                </c:pt>
                <c:pt idx="119">
                  <c:v>262.375</c:v>
                </c:pt>
                <c:pt idx="120">
                  <c:v>6.4958</c:v>
                </c:pt>
                <c:pt idx="121">
                  <c:v>73.5</c:v>
                </c:pt>
                <c:pt idx="122">
                  <c:v>13</c:v>
                </c:pt>
                <c:pt idx="123">
                  <c:v>20.212499999999999</c:v>
                </c:pt>
                <c:pt idx="124">
                  <c:v>108.9</c:v>
                </c:pt>
                <c:pt idx="125">
                  <c:v>79.650000000000006</c:v>
                </c:pt>
                <c:pt idx="126">
                  <c:v>23</c:v>
                </c:pt>
                <c:pt idx="127">
                  <c:v>6.75</c:v>
                </c:pt>
                <c:pt idx="128">
                  <c:v>7.7750000000000004</c:v>
                </c:pt>
                <c:pt idx="129">
                  <c:v>9.8416999999999994</c:v>
                </c:pt>
                <c:pt idx="130">
                  <c:v>7.7957999999999998</c:v>
                </c:pt>
                <c:pt idx="131">
                  <c:v>227.52500000000001</c:v>
                </c:pt>
                <c:pt idx="132">
                  <c:v>14.4542</c:v>
                </c:pt>
                <c:pt idx="133">
                  <c:v>11.5</c:v>
                </c:pt>
                <c:pt idx="134">
                  <c:v>7.75</c:v>
                </c:pt>
                <c:pt idx="135">
                  <c:v>7.4958</c:v>
                </c:pt>
                <c:pt idx="136">
                  <c:v>7.7750000000000004</c:v>
                </c:pt>
                <c:pt idx="137">
                  <c:v>8.3000000000000007</c:v>
                </c:pt>
                <c:pt idx="138">
                  <c:v>9.35</c:v>
                </c:pt>
                <c:pt idx="139">
                  <c:v>263</c:v>
                </c:pt>
                <c:pt idx="140">
                  <c:v>7.8792</c:v>
                </c:pt>
                <c:pt idx="141">
                  <c:v>8.1583000000000006</c:v>
                </c:pt>
                <c:pt idx="142">
                  <c:v>26.283300000000001</c:v>
                </c:pt>
                <c:pt idx="143">
                  <c:v>6.75</c:v>
                </c:pt>
                <c:pt idx="144">
                  <c:v>36.75</c:v>
                </c:pt>
                <c:pt idx="145">
                  <c:v>13</c:v>
                </c:pt>
                <c:pt idx="146">
                  <c:v>7.8541999999999996</c:v>
                </c:pt>
                <c:pt idx="147">
                  <c:v>10.5</c:v>
                </c:pt>
                <c:pt idx="148">
                  <c:v>10.5</c:v>
                </c:pt>
                <c:pt idx="149">
                  <c:v>8.0500000000000007</c:v>
                </c:pt>
                <c:pt idx="150">
                  <c:v>91.0792</c:v>
                </c:pt>
                <c:pt idx="151">
                  <c:v>0</c:v>
                </c:pt>
                <c:pt idx="152">
                  <c:v>8.0500000000000007</c:v>
                </c:pt>
                <c:pt idx="153">
                  <c:v>7.7750000000000004</c:v>
                </c:pt>
                <c:pt idx="154">
                  <c:v>26</c:v>
                </c:pt>
                <c:pt idx="155">
                  <c:v>26</c:v>
                </c:pt>
                <c:pt idx="156">
                  <c:v>7.8958000000000004</c:v>
                </c:pt>
                <c:pt idx="157">
                  <c:v>14.5</c:v>
                </c:pt>
                <c:pt idx="158">
                  <c:v>7.8958000000000004</c:v>
                </c:pt>
                <c:pt idx="159">
                  <c:v>10.1708</c:v>
                </c:pt>
                <c:pt idx="160">
                  <c:v>7.65</c:v>
                </c:pt>
                <c:pt idx="161">
                  <c:v>53.1</c:v>
                </c:pt>
                <c:pt idx="162">
                  <c:v>7.8958000000000004</c:v>
                </c:pt>
                <c:pt idx="163">
                  <c:v>30</c:v>
                </c:pt>
                <c:pt idx="164">
                  <c:v>8.0500000000000007</c:v>
                </c:pt>
                <c:pt idx="165">
                  <c:v>7.8541999999999996</c:v>
                </c:pt>
                <c:pt idx="166">
                  <c:v>9.8249999999999993</c:v>
                </c:pt>
                <c:pt idx="167">
                  <c:v>7.05</c:v>
                </c:pt>
                <c:pt idx="168">
                  <c:v>4.0125000000000002</c:v>
                </c:pt>
                <c:pt idx="169">
                  <c:v>8.6624999999999996</c:v>
                </c:pt>
                <c:pt idx="170">
                  <c:v>9.5</c:v>
                </c:pt>
                <c:pt idx="171">
                  <c:v>15.7417</c:v>
                </c:pt>
                <c:pt idx="172">
                  <c:v>7.8541999999999996</c:v>
                </c:pt>
                <c:pt idx="173">
                  <c:v>7.9249999999999998</c:v>
                </c:pt>
                <c:pt idx="174">
                  <c:v>9.2249999999999996</c:v>
                </c:pt>
                <c:pt idx="175">
                  <c:v>8.6624999999999996</c:v>
                </c:pt>
                <c:pt idx="176">
                  <c:v>7.2291999999999996</c:v>
                </c:pt>
                <c:pt idx="177">
                  <c:v>7.9249999999999998</c:v>
                </c:pt>
                <c:pt idx="178">
                  <c:v>9.8458000000000006</c:v>
                </c:pt>
                <c:pt idx="179">
                  <c:v>7.25</c:v>
                </c:pt>
                <c:pt idx="180">
                  <c:v>8.0500000000000007</c:v>
                </c:pt>
                <c:pt idx="181">
                  <c:v>7.8</c:v>
                </c:pt>
                <c:pt idx="182">
                  <c:v>10.5</c:v>
                </c:pt>
                <c:pt idx="183">
                  <c:v>73.5</c:v>
                </c:pt>
                <c:pt idx="184">
                  <c:v>77.287499999999994</c:v>
                </c:pt>
                <c:pt idx="185">
                  <c:v>7.65</c:v>
                </c:pt>
                <c:pt idx="186">
                  <c:v>7.9249999999999998</c:v>
                </c:pt>
                <c:pt idx="187">
                  <c:v>73.5</c:v>
                </c:pt>
                <c:pt idx="188">
                  <c:v>7.9249999999999998</c:v>
                </c:pt>
                <c:pt idx="189">
                  <c:v>7.7957999999999998</c:v>
                </c:pt>
                <c:pt idx="190">
                  <c:v>9.8249999999999993</c:v>
                </c:pt>
                <c:pt idx="191">
                  <c:v>7.7750000000000004</c:v>
                </c:pt>
                <c:pt idx="192">
                  <c:v>7.7332999999999998</c:v>
                </c:pt>
                <c:pt idx="193">
                  <c:v>34.375</c:v>
                </c:pt>
                <c:pt idx="194">
                  <c:v>7.25</c:v>
                </c:pt>
                <c:pt idx="195">
                  <c:v>8.0500000000000007</c:v>
                </c:pt>
                <c:pt idx="196">
                  <c:v>7.75</c:v>
                </c:pt>
                <c:pt idx="197">
                  <c:v>7.8541999999999996</c:v>
                </c:pt>
                <c:pt idx="198">
                  <c:v>16.100000000000001</c:v>
                </c:pt>
                <c:pt idx="199">
                  <c:v>77.958299999999994</c:v>
                </c:pt>
                <c:pt idx="200">
                  <c:v>8.4332999999999991</c:v>
                </c:pt>
                <c:pt idx="201">
                  <c:v>262.375</c:v>
                </c:pt>
                <c:pt idx="202">
                  <c:v>8.6624999999999996</c:v>
                </c:pt>
                <c:pt idx="203">
                  <c:v>11.5</c:v>
                </c:pt>
                <c:pt idx="204">
                  <c:v>7.25</c:v>
                </c:pt>
                <c:pt idx="205">
                  <c:v>7.2291999999999996</c:v>
                </c:pt>
                <c:pt idx="206">
                  <c:v>9</c:v>
                </c:pt>
                <c:pt idx="207">
                  <c:v>8.0500000000000007</c:v>
                </c:pt>
                <c:pt idx="208">
                  <c:v>7.75</c:v>
                </c:pt>
                <c:pt idx="209">
                  <c:v>66.599999999999994</c:v>
                </c:pt>
                <c:pt idx="210">
                  <c:v>7.25</c:v>
                </c:pt>
                <c:pt idx="211">
                  <c:v>9.35</c:v>
                </c:pt>
                <c:pt idx="212">
                  <c:v>7.125</c:v>
                </c:pt>
                <c:pt idx="213">
                  <c:v>7.8958000000000004</c:v>
                </c:pt>
                <c:pt idx="214">
                  <c:v>7.75</c:v>
                </c:pt>
                <c:pt idx="215">
                  <c:v>7.25</c:v>
                </c:pt>
                <c:pt idx="216">
                  <c:v>29</c:v>
                </c:pt>
                <c:pt idx="217">
                  <c:v>55</c:v>
                </c:pt>
                <c:pt idx="218">
                  <c:v>135.63329999999999</c:v>
                </c:pt>
                <c:pt idx="219">
                  <c:v>7.25</c:v>
                </c:pt>
                <c:pt idx="220">
                  <c:v>7.7957999999999998</c:v>
                </c:pt>
                <c:pt idx="221">
                  <c:v>9.8375000000000004</c:v>
                </c:pt>
                <c:pt idx="222">
                  <c:v>7.5208000000000004</c:v>
                </c:pt>
                <c:pt idx="223">
                  <c:v>7.8958000000000004</c:v>
                </c:pt>
                <c:pt idx="224">
                  <c:v>49.5</c:v>
                </c:pt>
                <c:pt idx="225">
                  <c:v>7.2249999999999996</c:v>
                </c:pt>
                <c:pt idx="226">
                  <c:v>7.7750000000000004</c:v>
                </c:pt>
                <c:pt idx="227">
                  <c:v>8.0500000000000007</c:v>
                </c:pt>
                <c:pt idx="228">
                  <c:v>41.5792</c:v>
                </c:pt>
                <c:pt idx="229">
                  <c:v>151.55000000000001</c:v>
                </c:pt>
                <c:pt idx="230">
                  <c:v>10.5167</c:v>
                </c:pt>
                <c:pt idx="231">
                  <c:v>263</c:v>
                </c:pt>
                <c:pt idx="232">
                  <c:v>63.3583</c:v>
                </c:pt>
                <c:pt idx="233">
                  <c:v>15.0458</c:v>
                </c:pt>
                <c:pt idx="234">
                  <c:v>9.2249999999999996</c:v>
                </c:pt>
                <c:pt idx="235">
                  <c:v>113.27500000000001</c:v>
                </c:pt>
                <c:pt idx="236">
                  <c:v>10.5</c:v>
                </c:pt>
                <c:pt idx="237">
                  <c:v>13.791700000000001</c:v>
                </c:pt>
                <c:pt idx="238">
                  <c:v>11.5</c:v>
                </c:pt>
                <c:pt idx="239">
                  <c:v>7.55</c:v>
                </c:pt>
                <c:pt idx="240">
                  <c:v>13</c:v>
                </c:pt>
                <c:pt idx="241">
                  <c:v>13</c:v>
                </c:pt>
                <c:pt idx="242">
                  <c:v>13</c:v>
                </c:pt>
                <c:pt idx="243">
                  <c:v>7.8958000000000004</c:v>
                </c:pt>
                <c:pt idx="244">
                  <c:v>7.9249999999999998</c:v>
                </c:pt>
                <c:pt idx="245">
                  <c:v>7.8541999999999996</c:v>
                </c:pt>
                <c:pt idx="246">
                  <c:v>7.2291999999999996</c:v>
                </c:pt>
                <c:pt idx="247">
                  <c:v>8.0500000000000007</c:v>
                </c:pt>
                <c:pt idx="248">
                  <c:v>247.52080000000001</c:v>
                </c:pt>
                <c:pt idx="249">
                  <c:v>7.1417000000000002</c:v>
                </c:pt>
                <c:pt idx="250">
                  <c:v>79.2</c:v>
                </c:pt>
                <c:pt idx="251">
                  <c:v>15.85</c:v>
                </c:pt>
                <c:pt idx="252">
                  <c:v>13</c:v>
                </c:pt>
                <c:pt idx="253">
                  <c:v>7.05</c:v>
                </c:pt>
                <c:pt idx="254">
                  <c:v>10.5</c:v>
                </c:pt>
                <c:pt idx="255">
                  <c:v>14.5</c:v>
                </c:pt>
                <c:pt idx="256">
                  <c:v>8.85</c:v>
                </c:pt>
                <c:pt idx="257">
                  <c:v>7.8958000000000004</c:v>
                </c:pt>
                <c:pt idx="258">
                  <c:v>83.158299999999997</c:v>
                </c:pt>
                <c:pt idx="259">
                  <c:v>26</c:v>
                </c:pt>
                <c:pt idx="260">
                  <c:v>263</c:v>
                </c:pt>
                <c:pt idx="261">
                  <c:v>13</c:v>
                </c:pt>
                <c:pt idx="262">
                  <c:v>69.3</c:v>
                </c:pt>
                <c:pt idx="263">
                  <c:v>16.7</c:v>
                </c:pt>
                <c:pt idx="264">
                  <c:v>18.75</c:v>
                </c:pt>
                <c:pt idx="265">
                  <c:v>7.7957999999999998</c:v>
                </c:pt>
                <c:pt idx="266">
                  <c:v>7.4958</c:v>
                </c:pt>
                <c:pt idx="267">
                  <c:v>24.15</c:v>
                </c:pt>
                <c:pt idx="268">
                  <c:v>27</c:v>
                </c:pt>
                <c:pt idx="269">
                  <c:v>65</c:v>
                </c:pt>
                <c:pt idx="270">
                  <c:v>69.3</c:v>
                </c:pt>
                <c:pt idx="271">
                  <c:v>73.5</c:v>
                </c:pt>
                <c:pt idx="272">
                  <c:v>49.504199999999997</c:v>
                </c:pt>
                <c:pt idx="273">
                  <c:v>16.100000000000001</c:v>
                </c:pt>
                <c:pt idx="274">
                  <c:v>9.5</c:v>
                </c:pt>
                <c:pt idx="275">
                  <c:v>19.258299999999998</c:v>
                </c:pt>
                <c:pt idx="276">
                  <c:v>13</c:v>
                </c:pt>
                <c:pt idx="277">
                  <c:v>8.0500000000000007</c:v>
                </c:pt>
                <c:pt idx="278">
                  <c:v>7.65</c:v>
                </c:pt>
                <c:pt idx="279">
                  <c:v>13</c:v>
                </c:pt>
                <c:pt idx="280">
                  <c:v>7.7750000000000004</c:v>
                </c:pt>
                <c:pt idx="281">
                  <c:v>7.7750000000000004</c:v>
                </c:pt>
                <c:pt idx="282">
                  <c:v>0</c:v>
                </c:pt>
                <c:pt idx="283">
                  <c:v>13</c:v>
                </c:pt>
                <c:pt idx="284">
                  <c:v>17.8</c:v>
                </c:pt>
                <c:pt idx="285">
                  <c:v>55.441699999999997</c:v>
                </c:pt>
                <c:pt idx="286">
                  <c:v>7.7750000000000004</c:v>
                </c:pt>
                <c:pt idx="287">
                  <c:v>91.0792</c:v>
                </c:pt>
                <c:pt idx="288">
                  <c:v>151.55000000000001</c:v>
                </c:pt>
                <c:pt idx="289">
                  <c:v>30</c:v>
                </c:pt>
                <c:pt idx="290">
                  <c:v>13</c:v>
                </c:pt>
                <c:pt idx="291">
                  <c:v>41.5792</c:v>
                </c:pt>
                <c:pt idx="292">
                  <c:v>7.2249999999999996</c:v>
                </c:pt>
                <c:pt idx="293">
                  <c:v>7.7416999999999998</c:v>
                </c:pt>
                <c:pt idx="294">
                  <c:v>26</c:v>
                </c:pt>
                <c:pt idx="295">
                  <c:v>7.9249999999999998</c:v>
                </c:pt>
                <c:pt idx="296">
                  <c:v>7.05</c:v>
                </c:pt>
                <c:pt idx="297">
                  <c:v>7.25</c:v>
                </c:pt>
                <c:pt idx="298">
                  <c:v>7.8958000000000004</c:v>
                </c:pt>
                <c:pt idx="299">
                  <c:v>26</c:v>
                </c:pt>
                <c:pt idx="300">
                  <c:v>7.05</c:v>
                </c:pt>
                <c:pt idx="301">
                  <c:v>7.9249999999999998</c:v>
                </c:pt>
                <c:pt idx="302">
                  <c:v>8.6624999999999996</c:v>
                </c:pt>
                <c:pt idx="303">
                  <c:v>14.4542</c:v>
                </c:pt>
                <c:pt idx="304">
                  <c:v>20.574999999999999</c:v>
                </c:pt>
                <c:pt idx="305">
                  <c:v>7.7750000000000004</c:v>
                </c:pt>
                <c:pt idx="306">
                  <c:v>18.787500000000001</c:v>
                </c:pt>
                <c:pt idx="307">
                  <c:v>78.849999999999994</c:v>
                </c:pt>
                <c:pt idx="308">
                  <c:v>26</c:v>
                </c:pt>
                <c:pt idx="309">
                  <c:v>7.8541999999999996</c:v>
                </c:pt>
                <c:pt idx="310">
                  <c:v>8.0500000000000007</c:v>
                </c:pt>
                <c:pt idx="311">
                  <c:v>56.495800000000003</c:v>
                </c:pt>
                <c:pt idx="312">
                  <c:v>16.100000000000001</c:v>
                </c:pt>
                <c:pt idx="313">
                  <c:v>10.5</c:v>
                </c:pt>
                <c:pt idx="314">
                  <c:v>7.8958000000000004</c:v>
                </c:pt>
                <c:pt idx="315">
                  <c:v>7.8541999999999996</c:v>
                </c:pt>
                <c:pt idx="316">
                  <c:v>7.8875000000000002</c:v>
                </c:pt>
                <c:pt idx="317">
                  <c:v>7.8958000000000004</c:v>
                </c:pt>
                <c:pt idx="318">
                  <c:v>30</c:v>
                </c:pt>
                <c:pt idx="319">
                  <c:v>11.1333</c:v>
                </c:pt>
                <c:pt idx="320">
                  <c:v>21</c:v>
                </c:pt>
                <c:pt idx="321">
                  <c:v>7.7957999999999998</c:v>
                </c:pt>
                <c:pt idx="322">
                  <c:v>7.9249999999999998</c:v>
                </c:pt>
                <c:pt idx="323">
                  <c:v>13</c:v>
                </c:pt>
                <c:pt idx="324">
                  <c:v>7.8958000000000004</c:v>
                </c:pt>
                <c:pt idx="325">
                  <c:v>211.5</c:v>
                </c:pt>
                <c:pt idx="326">
                  <c:v>26</c:v>
                </c:pt>
                <c:pt idx="327">
                  <c:v>30.5</c:v>
                </c:pt>
                <c:pt idx="328">
                  <c:v>14.4542</c:v>
                </c:pt>
                <c:pt idx="329">
                  <c:v>76.729200000000006</c:v>
                </c:pt>
                <c:pt idx="330">
                  <c:v>10.5</c:v>
                </c:pt>
                <c:pt idx="331">
                  <c:v>53.1</c:v>
                </c:pt>
                <c:pt idx="332">
                  <c:v>6.9749999999999996</c:v>
                </c:pt>
                <c:pt idx="333">
                  <c:v>8.6624999999999996</c:v>
                </c:pt>
                <c:pt idx="334">
                  <c:v>12.475</c:v>
                </c:pt>
                <c:pt idx="335">
                  <c:v>13.8583</c:v>
                </c:pt>
                <c:pt idx="336">
                  <c:v>13</c:v>
                </c:pt>
                <c:pt idx="337">
                  <c:v>35.5</c:v>
                </c:pt>
                <c:pt idx="338">
                  <c:v>82.1708</c:v>
                </c:pt>
                <c:pt idx="339">
                  <c:v>47.1</c:v>
                </c:pt>
                <c:pt idx="340">
                  <c:v>7.8958000000000004</c:v>
                </c:pt>
                <c:pt idx="341">
                  <c:v>7.8958000000000004</c:v>
                </c:pt>
                <c:pt idx="342">
                  <c:v>56.495800000000003</c:v>
                </c:pt>
                <c:pt idx="343">
                  <c:v>9.5</c:v>
                </c:pt>
                <c:pt idx="344">
                  <c:v>7.8541999999999996</c:v>
                </c:pt>
                <c:pt idx="345">
                  <c:v>7.8958000000000004</c:v>
                </c:pt>
                <c:pt idx="346">
                  <c:v>13</c:v>
                </c:pt>
                <c:pt idx="347">
                  <c:v>9.5</c:v>
                </c:pt>
                <c:pt idx="348">
                  <c:v>7.9249999999999998</c:v>
                </c:pt>
                <c:pt idx="349">
                  <c:v>12.65</c:v>
                </c:pt>
                <c:pt idx="350">
                  <c:v>15.85</c:v>
                </c:pt>
                <c:pt idx="351">
                  <c:v>14.4</c:v>
                </c:pt>
                <c:pt idx="352">
                  <c:v>26</c:v>
                </c:pt>
                <c:pt idx="353">
                  <c:v>26.55</c:v>
                </c:pt>
                <c:pt idx="354">
                  <c:v>13</c:v>
                </c:pt>
                <c:pt idx="355">
                  <c:v>22.524999999999999</c:v>
                </c:pt>
                <c:pt idx="356">
                  <c:v>13.5</c:v>
                </c:pt>
                <c:pt idx="357">
                  <c:v>13</c:v>
                </c:pt>
                <c:pt idx="358">
                  <c:v>7.7957999999999998</c:v>
                </c:pt>
                <c:pt idx="359">
                  <c:v>33</c:v>
                </c:pt>
                <c:pt idx="360">
                  <c:v>24</c:v>
                </c:pt>
                <c:pt idx="361">
                  <c:v>10.5</c:v>
                </c:pt>
                <c:pt idx="362">
                  <c:v>7.2291999999999996</c:v>
                </c:pt>
                <c:pt idx="363">
                  <c:v>16.100000000000001</c:v>
                </c:pt>
                <c:pt idx="364">
                  <c:v>26</c:v>
                </c:pt>
                <c:pt idx="365">
                  <c:v>10.5</c:v>
                </c:pt>
                <c:pt idx="366">
                  <c:v>9.5</c:v>
                </c:pt>
                <c:pt idx="367">
                  <c:v>8.0500000000000007</c:v>
                </c:pt>
                <c:pt idx="368">
                  <c:v>21</c:v>
                </c:pt>
                <c:pt idx="369">
                  <c:v>26</c:v>
                </c:pt>
                <c:pt idx="370">
                  <c:v>7.7750000000000004</c:v>
                </c:pt>
                <c:pt idx="371">
                  <c:v>10.5</c:v>
                </c:pt>
                <c:pt idx="372">
                  <c:v>10.4625</c:v>
                </c:pt>
                <c:pt idx="373">
                  <c:v>15.245799999999999</c:v>
                </c:pt>
                <c:pt idx="374">
                  <c:v>66.599999999999994</c:v>
                </c:pt>
                <c:pt idx="375">
                  <c:v>27.720800000000001</c:v>
                </c:pt>
                <c:pt idx="376">
                  <c:v>7.875</c:v>
                </c:pt>
                <c:pt idx="377">
                  <c:v>7.8958000000000004</c:v>
                </c:pt>
                <c:pt idx="378">
                  <c:v>7.0457999999999998</c:v>
                </c:pt>
                <c:pt idx="379">
                  <c:v>7.75</c:v>
                </c:pt>
                <c:pt idx="380">
                  <c:v>21.074999999999999</c:v>
                </c:pt>
                <c:pt idx="381">
                  <c:v>9.4832999999999998</c:v>
                </c:pt>
                <c:pt idx="382">
                  <c:v>211.33750000000001</c:v>
                </c:pt>
                <c:pt idx="383">
                  <c:v>30</c:v>
                </c:pt>
                <c:pt idx="384">
                  <c:v>12.475</c:v>
                </c:pt>
                <c:pt idx="385">
                  <c:v>8.0500000000000007</c:v>
                </c:pt>
                <c:pt idx="386">
                  <c:v>13</c:v>
                </c:pt>
                <c:pt idx="387">
                  <c:v>13</c:v>
                </c:pt>
                <c:pt idx="388">
                  <c:v>10.5</c:v>
                </c:pt>
                <c:pt idx="389">
                  <c:v>7.2249999999999996</c:v>
                </c:pt>
                <c:pt idx="390">
                  <c:v>16.100000000000001</c:v>
                </c:pt>
                <c:pt idx="391">
                  <c:v>86.5</c:v>
                </c:pt>
                <c:pt idx="392">
                  <c:v>9.5</c:v>
                </c:pt>
                <c:pt idx="393">
                  <c:v>24</c:v>
                </c:pt>
                <c:pt idx="394">
                  <c:v>56.929200000000002</c:v>
                </c:pt>
                <c:pt idx="395">
                  <c:v>12.35</c:v>
                </c:pt>
                <c:pt idx="396">
                  <c:v>7.25</c:v>
                </c:pt>
                <c:pt idx="397">
                  <c:v>13</c:v>
                </c:pt>
                <c:pt idx="398">
                  <c:v>27.75</c:v>
                </c:pt>
                <c:pt idx="399">
                  <c:v>8.0500000000000007</c:v>
                </c:pt>
                <c:pt idx="400">
                  <c:v>93.5</c:v>
                </c:pt>
                <c:pt idx="401">
                  <c:v>8.6624999999999996</c:v>
                </c:pt>
                <c:pt idx="402">
                  <c:v>106.425</c:v>
                </c:pt>
                <c:pt idx="403">
                  <c:v>7.8958000000000004</c:v>
                </c:pt>
                <c:pt idx="404">
                  <c:v>21</c:v>
                </c:pt>
                <c:pt idx="405">
                  <c:v>13</c:v>
                </c:pt>
                <c:pt idx="406">
                  <c:v>7.2291999999999996</c:v>
                </c:pt>
                <c:pt idx="407">
                  <c:v>24.15</c:v>
                </c:pt>
                <c:pt idx="408">
                  <c:v>31</c:v>
                </c:pt>
                <c:pt idx="409">
                  <c:v>7.75</c:v>
                </c:pt>
                <c:pt idx="410">
                  <c:v>8.0500000000000007</c:v>
                </c:pt>
                <c:pt idx="411">
                  <c:v>18</c:v>
                </c:pt>
                <c:pt idx="412">
                  <c:v>113.27500000000001</c:v>
                </c:pt>
                <c:pt idx="413">
                  <c:v>164.86670000000001</c:v>
                </c:pt>
                <c:pt idx="414">
                  <c:v>20.524999999999999</c:v>
                </c:pt>
                <c:pt idx="415">
                  <c:v>7.8541999999999996</c:v>
                </c:pt>
                <c:pt idx="416">
                  <c:v>10.5</c:v>
                </c:pt>
                <c:pt idx="417">
                  <c:v>26.25</c:v>
                </c:pt>
                <c:pt idx="418">
                  <c:v>52</c:v>
                </c:pt>
                <c:pt idx="419">
                  <c:v>13</c:v>
                </c:pt>
                <c:pt idx="420">
                  <c:v>57</c:v>
                </c:pt>
                <c:pt idx="421">
                  <c:v>7.9249999999999998</c:v>
                </c:pt>
                <c:pt idx="422">
                  <c:v>7.75</c:v>
                </c:pt>
                <c:pt idx="423">
                  <c:v>8.6832999999999991</c:v>
                </c:pt>
                <c:pt idx="424">
                  <c:v>26.25</c:v>
                </c:pt>
                <c:pt idx="425">
                  <c:v>7.7750000000000004</c:v>
                </c:pt>
                <c:pt idx="426">
                  <c:v>37.004199999999997</c:v>
                </c:pt>
                <c:pt idx="427">
                  <c:v>50.495800000000003</c:v>
                </c:pt>
                <c:pt idx="428">
                  <c:v>10.5</c:v>
                </c:pt>
                <c:pt idx="429">
                  <c:v>56.495800000000003</c:v>
                </c:pt>
                <c:pt idx="430">
                  <c:v>13</c:v>
                </c:pt>
                <c:pt idx="431">
                  <c:v>15.85</c:v>
                </c:pt>
                <c:pt idx="432">
                  <c:v>76.291700000000006</c:v>
                </c:pt>
                <c:pt idx="433">
                  <c:v>7.9249999999999998</c:v>
                </c:pt>
                <c:pt idx="434">
                  <c:v>8.0500000000000007</c:v>
                </c:pt>
                <c:pt idx="435">
                  <c:v>7.8958000000000004</c:v>
                </c:pt>
                <c:pt idx="436">
                  <c:v>26</c:v>
                </c:pt>
                <c:pt idx="437">
                  <c:v>7.8541999999999996</c:v>
                </c:pt>
                <c:pt idx="438">
                  <c:v>7.9249999999999998</c:v>
                </c:pt>
                <c:pt idx="439">
                  <c:v>30.5</c:v>
                </c:pt>
                <c:pt idx="440">
                  <c:v>7.9249999999999998</c:v>
                </c:pt>
                <c:pt idx="441">
                  <c:v>15.5</c:v>
                </c:pt>
                <c:pt idx="442">
                  <c:v>73.5</c:v>
                </c:pt>
                <c:pt idx="443">
                  <c:v>8.3625000000000007</c:v>
                </c:pt>
                <c:pt idx="444">
                  <c:v>56.495800000000003</c:v>
                </c:pt>
                <c:pt idx="445">
                  <c:v>7.75</c:v>
                </c:pt>
                <c:pt idx="446">
                  <c:v>30.070799999999998</c:v>
                </c:pt>
                <c:pt idx="447">
                  <c:v>13</c:v>
                </c:pt>
                <c:pt idx="448">
                  <c:v>15.85</c:v>
                </c:pt>
                <c:pt idx="449">
                  <c:v>8.6541999999999994</c:v>
                </c:pt>
                <c:pt idx="450">
                  <c:v>7.8958000000000004</c:v>
                </c:pt>
                <c:pt idx="451">
                  <c:v>12.275</c:v>
                </c:pt>
                <c:pt idx="452">
                  <c:v>8.6624999999999996</c:v>
                </c:pt>
                <c:pt idx="453">
                  <c:v>90</c:v>
                </c:pt>
                <c:pt idx="454">
                  <c:v>27.75</c:v>
                </c:pt>
                <c:pt idx="455">
                  <c:v>26</c:v>
                </c:pt>
                <c:pt idx="456">
                  <c:v>20.524999999999999</c:v>
                </c:pt>
                <c:pt idx="457">
                  <c:v>7.7750000000000004</c:v>
                </c:pt>
                <c:pt idx="458">
                  <c:v>9.5</c:v>
                </c:pt>
                <c:pt idx="459">
                  <c:v>86.5</c:v>
                </c:pt>
                <c:pt idx="460">
                  <c:v>53.1</c:v>
                </c:pt>
                <c:pt idx="461">
                  <c:v>5</c:v>
                </c:pt>
                <c:pt idx="462">
                  <c:v>7.8958000000000004</c:v>
                </c:pt>
                <c:pt idx="463">
                  <c:v>13</c:v>
                </c:pt>
                <c:pt idx="464">
                  <c:v>23</c:v>
                </c:pt>
                <c:pt idx="465">
                  <c:v>26</c:v>
                </c:pt>
                <c:pt idx="466">
                  <c:v>6.4958</c:v>
                </c:pt>
                <c:pt idx="467">
                  <c:v>21</c:v>
                </c:pt>
                <c:pt idx="468">
                  <c:v>32.5</c:v>
                </c:pt>
                <c:pt idx="469">
                  <c:v>26.55</c:v>
                </c:pt>
                <c:pt idx="470">
                  <c:v>8.0500000000000007</c:v>
                </c:pt>
                <c:pt idx="471">
                  <c:v>21</c:v>
                </c:pt>
                <c:pt idx="472">
                  <c:v>10.5</c:v>
                </c:pt>
                <c:pt idx="473">
                  <c:v>13</c:v>
                </c:pt>
                <c:pt idx="474">
                  <c:v>14.4</c:v>
                </c:pt>
                <c:pt idx="475">
                  <c:v>13</c:v>
                </c:pt>
                <c:pt idx="476">
                  <c:v>8.0500000000000007</c:v>
                </c:pt>
                <c:pt idx="477">
                  <c:v>13</c:v>
                </c:pt>
                <c:pt idx="478">
                  <c:v>6.4375</c:v>
                </c:pt>
                <c:pt idx="479">
                  <c:v>53.1</c:v>
                </c:pt>
                <c:pt idx="480">
                  <c:v>8.0500000000000007</c:v>
                </c:pt>
                <c:pt idx="481">
                  <c:v>26</c:v>
                </c:pt>
                <c:pt idx="482">
                  <c:v>21</c:v>
                </c:pt>
                <c:pt idx="483">
                  <c:v>83.474999999999994</c:v>
                </c:pt>
                <c:pt idx="484">
                  <c:v>512.32920000000001</c:v>
                </c:pt>
                <c:pt idx="485">
                  <c:v>135.63329999999999</c:v>
                </c:pt>
                <c:pt idx="486">
                  <c:v>20.25</c:v>
                </c:pt>
                <c:pt idx="487">
                  <c:v>7.05</c:v>
                </c:pt>
                <c:pt idx="488">
                  <c:v>52</c:v>
                </c:pt>
                <c:pt idx="489">
                  <c:v>90</c:v>
                </c:pt>
                <c:pt idx="490">
                  <c:v>7.125</c:v>
                </c:pt>
                <c:pt idx="491">
                  <c:v>26.55</c:v>
                </c:pt>
                <c:pt idx="492">
                  <c:v>8.0500000000000007</c:v>
                </c:pt>
                <c:pt idx="493">
                  <c:v>26.287500000000001</c:v>
                </c:pt>
                <c:pt idx="494">
                  <c:v>512.32920000000001</c:v>
                </c:pt>
                <c:pt idx="495">
                  <c:v>10.5</c:v>
                </c:pt>
                <c:pt idx="496">
                  <c:v>7.8958000000000004</c:v>
                </c:pt>
                <c:pt idx="497">
                  <c:v>0</c:v>
                </c:pt>
                <c:pt idx="498">
                  <c:v>7.8958000000000004</c:v>
                </c:pt>
                <c:pt idx="499">
                  <c:v>10.5</c:v>
                </c:pt>
                <c:pt idx="500">
                  <c:v>12.875</c:v>
                </c:pt>
                <c:pt idx="501">
                  <c:v>135.63329999999999</c:v>
                </c:pt>
                <c:pt idx="502">
                  <c:v>13</c:v>
                </c:pt>
                <c:pt idx="503">
                  <c:v>13</c:v>
                </c:pt>
                <c:pt idx="504">
                  <c:v>13</c:v>
                </c:pt>
                <c:pt idx="505">
                  <c:v>120</c:v>
                </c:pt>
                <c:pt idx="506">
                  <c:v>27.75</c:v>
                </c:pt>
                <c:pt idx="507">
                  <c:v>26.287500000000001</c:v>
                </c:pt>
                <c:pt idx="508">
                  <c:v>26</c:v>
                </c:pt>
                <c:pt idx="509">
                  <c:v>71</c:v>
                </c:pt>
                <c:pt idx="510">
                  <c:v>17.399999999999999</c:v>
                </c:pt>
                <c:pt idx="511">
                  <c:v>26.387499999999999</c:v>
                </c:pt>
                <c:pt idx="512">
                  <c:v>40.125</c:v>
                </c:pt>
                <c:pt idx="513">
                  <c:v>24.15</c:v>
                </c:pt>
                <c:pt idx="514">
                  <c:v>15.55</c:v>
                </c:pt>
                <c:pt idx="515">
                  <c:v>7.4958</c:v>
                </c:pt>
                <c:pt idx="516">
                  <c:v>512.32920000000001</c:v>
                </c:pt>
                <c:pt idx="517">
                  <c:v>78.849999999999994</c:v>
                </c:pt>
                <c:pt idx="518">
                  <c:v>120</c:v>
                </c:pt>
                <c:pt idx="519">
                  <c:v>26</c:v>
                </c:pt>
                <c:pt idx="520">
                  <c:v>7.9249999999999998</c:v>
                </c:pt>
                <c:pt idx="521">
                  <c:v>53.1</c:v>
                </c:pt>
                <c:pt idx="522">
                  <c:v>52.554200000000002</c:v>
                </c:pt>
                <c:pt idx="523">
                  <c:v>29.7</c:v>
                </c:pt>
                <c:pt idx="524">
                  <c:v>9.5875000000000004</c:v>
                </c:pt>
                <c:pt idx="525">
                  <c:v>26</c:v>
                </c:pt>
                <c:pt idx="526">
                  <c:v>71.283299999999997</c:v>
                </c:pt>
                <c:pt idx="527">
                  <c:v>31.387499999999999</c:v>
                </c:pt>
                <c:pt idx="528">
                  <c:v>80</c:v>
                </c:pt>
                <c:pt idx="529">
                  <c:v>7.8958000000000004</c:v>
                </c:pt>
                <c:pt idx="530">
                  <c:v>90</c:v>
                </c:pt>
                <c:pt idx="531">
                  <c:v>153.46250000000001</c:v>
                </c:pt>
                <c:pt idx="532">
                  <c:v>13</c:v>
                </c:pt>
                <c:pt idx="533">
                  <c:v>7.05</c:v>
                </c:pt>
                <c:pt idx="534">
                  <c:v>8.6624999999999996</c:v>
                </c:pt>
                <c:pt idx="535">
                  <c:v>227.52500000000001</c:v>
                </c:pt>
                <c:pt idx="536">
                  <c:v>0</c:v>
                </c:pt>
                <c:pt idx="537">
                  <c:v>31.274999999999999</c:v>
                </c:pt>
                <c:pt idx="538">
                  <c:v>7.9249999999999998</c:v>
                </c:pt>
                <c:pt idx="539">
                  <c:v>7.9249999999999998</c:v>
                </c:pt>
                <c:pt idx="540">
                  <c:v>79.650000000000006</c:v>
                </c:pt>
                <c:pt idx="541">
                  <c:v>55.9</c:v>
                </c:pt>
                <c:pt idx="542">
                  <c:v>110.88330000000001</c:v>
                </c:pt>
                <c:pt idx="543">
                  <c:v>31.274999999999999</c:v>
                </c:pt>
                <c:pt idx="544">
                  <c:v>26</c:v>
                </c:pt>
                <c:pt idx="545">
                  <c:v>13</c:v>
                </c:pt>
                <c:pt idx="546">
                  <c:v>0</c:v>
                </c:pt>
                <c:pt idx="547">
                  <c:v>13</c:v>
                </c:pt>
                <c:pt idx="548">
                  <c:v>24.15</c:v>
                </c:pt>
                <c:pt idx="549">
                  <c:v>83.158299999999997</c:v>
                </c:pt>
                <c:pt idx="550">
                  <c:v>29.125</c:v>
                </c:pt>
                <c:pt idx="551">
                  <c:v>27.720800000000001</c:v>
                </c:pt>
                <c:pt idx="552">
                  <c:v>9.4749999999999996</c:v>
                </c:pt>
                <c:pt idx="553">
                  <c:v>15.75</c:v>
                </c:pt>
                <c:pt idx="554">
                  <c:v>15.5</c:v>
                </c:pt>
                <c:pt idx="555">
                  <c:v>31</c:v>
                </c:pt>
                <c:pt idx="556">
                  <c:v>0</c:v>
                </c:pt>
                <c:pt idx="557">
                  <c:v>134.5</c:v>
                </c:pt>
                <c:pt idx="558">
                  <c:v>13</c:v>
                </c:pt>
                <c:pt idx="559">
                  <c:v>27.9</c:v>
                </c:pt>
                <c:pt idx="560">
                  <c:v>7.8958000000000004</c:v>
                </c:pt>
                <c:pt idx="561">
                  <c:v>153.46250000000001</c:v>
                </c:pt>
                <c:pt idx="562">
                  <c:v>7.2249999999999996</c:v>
                </c:pt>
                <c:pt idx="563">
                  <c:v>39</c:v>
                </c:pt>
                <c:pt idx="564">
                  <c:v>14.5</c:v>
                </c:pt>
                <c:pt idx="565">
                  <c:v>7.75</c:v>
                </c:pt>
                <c:pt idx="566">
                  <c:v>20.212499999999999</c:v>
                </c:pt>
                <c:pt idx="567">
                  <c:v>19.5</c:v>
                </c:pt>
                <c:pt idx="568">
                  <c:v>134.5</c:v>
                </c:pt>
                <c:pt idx="569">
                  <c:v>39.6875</c:v>
                </c:pt>
                <c:pt idx="570">
                  <c:v>7.125</c:v>
                </c:pt>
                <c:pt idx="571">
                  <c:v>14.1083</c:v>
                </c:pt>
                <c:pt idx="572">
                  <c:v>52</c:v>
                </c:pt>
                <c:pt idx="573">
                  <c:v>13</c:v>
                </c:pt>
                <c:pt idx="574">
                  <c:v>8.4041999999999994</c:v>
                </c:pt>
                <c:pt idx="575">
                  <c:v>27</c:v>
                </c:pt>
                <c:pt idx="576">
                  <c:v>13</c:v>
                </c:pt>
                <c:pt idx="577">
                  <c:v>8.6624999999999996</c:v>
                </c:pt>
                <c:pt idx="578">
                  <c:v>227.52500000000001</c:v>
                </c:pt>
                <c:pt idx="579">
                  <c:v>26</c:v>
                </c:pt>
                <c:pt idx="580">
                  <c:v>52.554200000000002</c:v>
                </c:pt>
                <c:pt idx="581">
                  <c:v>7.65</c:v>
                </c:pt>
                <c:pt idx="582">
                  <c:v>26.287500000000001</c:v>
                </c:pt>
                <c:pt idx="583">
                  <c:v>7.55</c:v>
                </c:pt>
                <c:pt idx="584">
                  <c:v>13</c:v>
                </c:pt>
                <c:pt idx="585">
                  <c:v>26.25</c:v>
                </c:pt>
                <c:pt idx="586">
                  <c:v>8.0500000000000007</c:v>
                </c:pt>
                <c:pt idx="587">
                  <c:v>46.9</c:v>
                </c:pt>
                <c:pt idx="588">
                  <c:v>211.33750000000001</c:v>
                </c:pt>
                <c:pt idx="589">
                  <c:v>6.45</c:v>
                </c:pt>
                <c:pt idx="590">
                  <c:v>16.100000000000001</c:v>
                </c:pt>
                <c:pt idx="591">
                  <c:v>27.720800000000001</c:v>
                </c:pt>
                <c:pt idx="592">
                  <c:v>26</c:v>
                </c:pt>
                <c:pt idx="593">
                  <c:v>90</c:v>
                </c:pt>
                <c:pt idx="594">
                  <c:v>7.9249999999999998</c:v>
                </c:pt>
                <c:pt idx="595">
                  <c:v>57.979199999999999</c:v>
                </c:pt>
                <c:pt idx="596">
                  <c:v>8.0500000000000007</c:v>
                </c:pt>
                <c:pt idx="597">
                  <c:v>8.0500000000000007</c:v>
                </c:pt>
                <c:pt idx="598">
                  <c:v>26</c:v>
                </c:pt>
                <c:pt idx="599">
                  <c:v>83.474999999999994</c:v>
                </c:pt>
                <c:pt idx="600">
                  <c:v>6.9749999999999996</c:v>
                </c:pt>
                <c:pt idx="601">
                  <c:v>27.9</c:v>
                </c:pt>
                <c:pt idx="602">
                  <c:v>26.55</c:v>
                </c:pt>
                <c:pt idx="603">
                  <c:v>7.75</c:v>
                </c:pt>
                <c:pt idx="604">
                  <c:v>8.0500000000000007</c:v>
                </c:pt>
                <c:pt idx="605">
                  <c:v>35.5</c:v>
                </c:pt>
                <c:pt idx="606">
                  <c:v>14.4542</c:v>
                </c:pt>
                <c:pt idx="607">
                  <c:v>26.25</c:v>
                </c:pt>
                <c:pt idx="608">
                  <c:v>26.55</c:v>
                </c:pt>
                <c:pt idx="609">
                  <c:v>13.5</c:v>
                </c:pt>
                <c:pt idx="610">
                  <c:v>164.86670000000001</c:v>
                </c:pt>
                <c:pt idx="611">
                  <c:v>7.2249999999999996</c:v>
                </c:pt>
                <c:pt idx="612">
                  <c:v>28.5</c:v>
                </c:pt>
                <c:pt idx="613">
                  <c:v>61.174999999999997</c:v>
                </c:pt>
                <c:pt idx="614">
                  <c:v>26</c:v>
                </c:pt>
                <c:pt idx="615">
                  <c:v>79.2</c:v>
                </c:pt>
                <c:pt idx="616">
                  <c:v>52</c:v>
                </c:pt>
                <c:pt idx="617">
                  <c:v>14.5</c:v>
                </c:pt>
                <c:pt idx="618">
                  <c:v>38.5</c:v>
                </c:pt>
                <c:pt idx="619">
                  <c:v>34.020800000000001</c:v>
                </c:pt>
                <c:pt idx="620">
                  <c:v>15</c:v>
                </c:pt>
                <c:pt idx="621">
                  <c:v>7.25</c:v>
                </c:pt>
                <c:pt idx="622">
                  <c:v>25.587499999999999</c:v>
                </c:pt>
                <c:pt idx="623">
                  <c:v>52.554200000000002</c:v>
                </c:pt>
                <c:pt idx="624">
                  <c:v>9</c:v>
                </c:pt>
                <c:pt idx="625">
                  <c:v>26.55</c:v>
                </c:pt>
                <c:pt idx="626">
                  <c:v>13</c:v>
                </c:pt>
                <c:pt idx="627">
                  <c:v>39.6</c:v>
                </c:pt>
                <c:pt idx="628">
                  <c:v>76.729200000000006</c:v>
                </c:pt>
                <c:pt idx="629">
                  <c:v>52</c:v>
                </c:pt>
                <c:pt idx="630">
                  <c:v>34.375</c:v>
                </c:pt>
                <c:pt idx="631">
                  <c:v>65</c:v>
                </c:pt>
                <c:pt idx="632">
                  <c:v>7.8541999999999996</c:v>
                </c:pt>
                <c:pt idx="633">
                  <c:v>25.929200000000002</c:v>
                </c:pt>
                <c:pt idx="634">
                  <c:v>76.729200000000006</c:v>
                </c:pt>
                <c:pt idx="635">
                  <c:v>89.104200000000006</c:v>
                </c:pt>
                <c:pt idx="636">
                  <c:v>0</c:v>
                </c:pt>
                <c:pt idx="637">
                  <c:v>56.929200000000002</c:v>
                </c:pt>
                <c:pt idx="638">
                  <c:v>110.88330000000001</c:v>
                </c:pt>
                <c:pt idx="639">
                  <c:v>25.929200000000002</c:v>
                </c:pt>
                <c:pt idx="640">
                  <c:v>28.712499999999999</c:v>
                </c:pt>
                <c:pt idx="641">
                  <c:v>26</c:v>
                </c:pt>
                <c:pt idx="642">
                  <c:v>247.52080000000001</c:v>
                </c:pt>
                <c:pt idx="643">
                  <c:v>55.9</c:v>
                </c:pt>
                <c:pt idx="644">
                  <c:v>10.5</c:v>
                </c:pt>
                <c:pt idx="645">
                  <c:v>8.0500000000000007</c:v>
                </c:pt>
                <c:pt idx="646">
                  <c:v>10.5</c:v>
                </c:pt>
                <c:pt idx="647">
                  <c:v>106.425</c:v>
                </c:pt>
                <c:pt idx="648">
                  <c:v>133.65</c:v>
                </c:pt>
                <c:pt idx="649">
                  <c:v>13</c:v>
                </c:pt>
                <c:pt idx="650">
                  <c:v>12.525</c:v>
                </c:pt>
                <c:pt idx="651">
                  <c:v>61.379199999999997</c:v>
                </c:pt>
                <c:pt idx="652">
                  <c:v>8.0500000000000007</c:v>
                </c:pt>
                <c:pt idx="653">
                  <c:v>7.75</c:v>
                </c:pt>
                <c:pt idx="654">
                  <c:v>7.0541999999999998</c:v>
                </c:pt>
                <c:pt idx="655">
                  <c:v>77.958299999999994</c:v>
                </c:pt>
                <c:pt idx="656">
                  <c:v>26.55</c:v>
                </c:pt>
                <c:pt idx="657">
                  <c:v>79.650000000000006</c:v>
                </c:pt>
                <c:pt idx="658">
                  <c:v>30.5</c:v>
                </c:pt>
                <c:pt idx="659">
                  <c:v>78.2667</c:v>
                </c:pt>
                <c:pt idx="660">
                  <c:v>13.5</c:v>
                </c:pt>
                <c:pt idx="661">
                  <c:v>13</c:v>
                </c:pt>
                <c:pt idx="662">
                  <c:v>93.5</c:v>
                </c:pt>
                <c:pt idx="663">
                  <c:v>51.479199999999999</c:v>
                </c:pt>
                <c:pt idx="664">
                  <c:v>51.862499999999997</c:v>
                </c:pt>
                <c:pt idx="665">
                  <c:v>77.287499999999994</c:v>
                </c:pt>
                <c:pt idx="666">
                  <c:v>26</c:v>
                </c:pt>
                <c:pt idx="667">
                  <c:v>14</c:v>
                </c:pt>
                <c:pt idx="668">
                  <c:v>78.2667</c:v>
                </c:pt>
                <c:pt idx="669">
                  <c:v>59.4</c:v>
                </c:pt>
                <c:pt idx="670">
                  <c:v>26</c:v>
                </c:pt>
                <c:pt idx="671">
                  <c:v>23</c:v>
                </c:pt>
                <c:pt idx="672">
                  <c:v>16</c:v>
                </c:pt>
                <c:pt idx="673">
                  <c:v>30.5</c:v>
                </c:pt>
                <c:pt idx="674">
                  <c:v>8.0500000000000007</c:v>
                </c:pt>
                <c:pt idx="675">
                  <c:v>30.695799999999998</c:v>
                </c:pt>
                <c:pt idx="676">
                  <c:v>26.55</c:v>
                </c:pt>
                <c:pt idx="677">
                  <c:v>35.5</c:v>
                </c:pt>
                <c:pt idx="678">
                  <c:v>83.158299999999997</c:v>
                </c:pt>
                <c:pt idx="679">
                  <c:v>12.35</c:v>
                </c:pt>
                <c:pt idx="680">
                  <c:v>10.5</c:v>
                </c:pt>
                <c:pt idx="681">
                  <c:v>26.55</c:v>
                </c:pt>
                <c:pt idx="682">
                  <c:v>146.52080000000001</c:v>
                </c:pt>
                <c:pt idx="683">
                  <c:v>153.46250000000001</c:v>
                </c:pt>
                <c:pt idx="684">
                  <c:v>29.7</c:v>
                </c:pt>
                <c:pt idx="685">
                  <c:v>113.27500000000001</c:v>
                </c:pt>
                <c:pt idx="686">
                  <c:v>7.25</c:v>
                </c:pt>
                <c:pt idx="687">
                  <c:v>13.5</c:v>
                </c:pt>
                <c:pt idx="688">
                  <c:v>75.25</c:v>
                </c:pt>
                <c:pt idx="689">
                  <c:v>79.2</c:v>
                </c:pt>
                <c:pt idx="690">
                  <c:v>39</c:v>
                </c:pt>
                <c:pt idx="691">
                  <c:v>26.55</c:v>
                </c:pt>
                <c:pt idx="692">
                  <c:v>33.5</c:v>
                </c:pt>
                <c:pt idx="693">
                  <c:v>6.2374999999999998</c:v>
                </c:pt>
                <c:pt idx="694">
                  <c:v>32.320799999999998</c:v>
                </c:pt>
                <c:pt idx="695">
                  <c:v>26.55</c:v>
                </c:pt>
                <c:pt idx="696">
                  <c:v>26.55</c:v>
                </c:pt>
                <c:pt idx="697">
                  <c:v>10.5</c:v>
                </c:pt>
                <c:pt idx="698">
                  <c:v>80</c:v>
                </c:pt>
                <c:pt idx="699">
                  <c:v>77.958299999999994</c:v>
                </c:pt>
                <c:pt idx="700">
                  <c:v>9.5875000000000004</c:v>
                </c:pt>
                <c:pt idx="701">
                  <c:v>263</c:v>
                </c:pt>
                <c:pt idx="702">
                  <c:v>26</c:v>
                </c:pt>
                <c:pt idx="703">
                  <c:v>61.979199999999999</c:v>
                </c:pt>
                <c:pt idx="704">
                  <c:v>7.75</c:v>
                </c:pt>
                <c:pt idx="705">
                  <c:v>26.55</c:v>
                </c:pt>
                <c:pt idx="706">
                  <c:v>10.5</c:v>
                </c:pt>
                <c:pt idx="707">
                  <c:v>10.5</c:v>
                </c:pt>
                <c:pt idx="708">
                  <c:v>71</c:v>
                </c:pt>
                <c:pt idx="709">
                  <c:v>7.75</c:v>
                </c:pt>
                <c:pt idx="710">
                  <c:v>34.654200000000003</c:v>
                </c:pt>
                <c:pt idx="711">
                  <c:v>49.504199999999997</c:v>
                </c:pt>
                <c:pt idx="712">
                  <c:v>7.7750000000000004</c:v>
                </c:pt>
                <c:pt idx="713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8D-C74F-9109-DBB6AD2988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4005616"/>
        <c:axId val="294117840"/>
      </c:scatterChart>
      <c:valAx>
        <c:axId val="294005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Age</a:t>
                </a:r>
                <a:r>
                  <a:rPr lang="en-US" sz="14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endParaRPr lang="en-US" sz="14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117840"/>
        <c:crosses val="autoZero"/>
        <c:crossBetween val="midCat"/>
      </c:valAx>
      <c:valAx>
        <c:axId val="2941178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Fare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005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[train_titanic.xlsx]pivot_t2!PivotTable1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44.48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25.52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5C2C-D541-8BFC-677D704CB072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5C2C-D541-8BFC-677D704CB072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44.48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5C2C-D541-8BFC-677D704CB07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25.52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5C2C-D541-8BFC-677D704CB0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pivot_t2!$A$4:$A$7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(blank)</c:v>
                </c:pt>
              </c:strCache>
            </c:strRef>
          </c:cat>
          <c:val>
            <c:numRef>
              <c:f>pivot_t2!$B$4:$B$7</c:f>
              <c:numCache>
                <c:formatCode>General</c:formatCode>
                <c:ptCount val="3"/>
                <c:pt idx="0">
                  <c:v>44.479817834394872</c:v>
                </c:pt>
                <c:pt idx="1">
                  <c:v>25.523893414211418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2C-D541-8BFC-677D704CB07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016496"/>
        <c:axId val="1566628672"/>
      </c:barChart>
      <c:catAx>
        <c:axId val="1567016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628672"/>
        <c:crosses val="autoZero"/>
        <c:auto val="1"/>
        <c:lblAlgn val="ctr"/>
        <c:lblOffset val="100"/>
        <c:noMultiLvlLbl val="0"/>
      </c:catAx>
      <c:valAx>
        <c:axId val="15666286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Fare (L)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016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Pie</a:t>
            </a:r>
            <a:r>
              <a:rPr lang="en-US" baseline="0"/>
              <a:t> Chart of </a:t>
            </a:r>
            <a:r>
              <a:rPr lang="en-US"/>
              <a:t>Proportion of Fare</a:t>
            </a:r>
            <a:r>
              <a:rPr lang="en-US" baseline="0"/>
              <a:t> Between Male and Female for Titanic Passengers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Sheet9!$I$3</c:f>
              <c:strCache>
                <c:ptCount val="1"/>
                <c:pt idx="0">
                  <c:v>Proportion of Fare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09E-9348-AF1F-05BE50320B25}"/>
              </c:ext>
            </c:extLst>
          </c:dPt>
          <c:dPt>
            <c:idx val="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09E-9348-AF1F-05BE50320B25}"/>
              </c:ext>
            </c:extLst>
          </c:dPt>
          <c:dLbls>
            <c:dLbl>
              <c:idx val="0"/>
              <c:layout>
                <c:manualLayout>
                  <c:x val="5.4293807834287E-2"/>
                  <c:y val="-5.835479905160552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1573230553608956E-2"/>
                      <c:h val="0.1230483271375464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B09E-9348-AF1F-05BE50320B25}"/>
                </c:ext>
              </c:extLst>
            </c:dLbl>
            <c:dLbl>
              <c:idx val="1"/>
              <c:layout>
                <c:manualLayout>
                  <c:x val="-6.9597649934613107E-2"/>
                  <c:y val="-0.1095702953487691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045017629628814"/>
                      <c:h val="0.1904275092936802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09E-9348-AF1F-05BE50320B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Sheet9!$H$4:$H$5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Sheet9!$I$4:$I$5</c:f>
              <c:numCache>
                <c:formatCode>0%</c:formatCode>
                <c:ptCount val="2"/>
                <c:pt idx="0">
                  <c:v>0.35241301907968575</c:v>
                </c:pt>
                <c:pt idx="1">
                  <c:v>0.6475869809203143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9E-9348-AF1F-05BE50320B25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Fare vs Age Scatter plots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univariate!$B$1</c:f>
              <c:strCache>
                <c:ptCount val="1"/>
                <c:pt idx="0">
                  <c:v>Fare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univariate!$A$2:$A$892</c:f>
              <c:numCache>
                <c:formatCode>General</c:formatCode>
                <c:ptCount val="891"/>
                <c:pt idx="0">
                  <c:v>22</c:v>
                </c:pt>
                <c:pt idx="1">
                  <c:v>38</c:v>
                </c:pt>
                <c:pt idx="2">
                  <c:v>26</c:v>
                </c:pt>
                <c:pt idx="3">
                  <c:v>35</c:v>
                </c:pt>
                <c:pt idx="4">
                  <c:v>35</c:v>
                </c:pt>
                <c:pt idx="6">
                  <c:v>54</c:v>
                </c:pt>
                <c:pt idx="7">
                  <c:v>2</c:v>
                </c:pt>
                <c:pt idx="8">
                  <c:v>27</c:v>
                </c:pt>
                <c:pt idx="9">
                  <c:v>14</c:v>
                </c:pt>
                <c:pt idx="10">
                  <c:v>4</c:v>
                </c:pt>
                <c:pt idx="11">
                  <c:v>58</c:v>
                </c:pt>
                <c:pt idx="12">
                  <c:v>20</c:v>
                </c:pt>
                <c:pt idx="13">
                  <c:v>39</c:v>
                </c:pt>
                <c:pt idx="14">
                  <c:v>14</c:v>
                </c:pt>
                <c:pt idx="15">
                  <c:v>55</c:v>
                </c:pt>
                <c:pt idx="16">
                  <c:v>2</c:v>
                </c:pt>
                <c:pt idx="18">
                  <c:v>31</c:v>
                </c:pt>
                <c:pt idx="20">
                  <c:v>35</c:v>
                </c:pt>
                <c:pt idx="21">
                  <c:v>34</c:v>
                </c:pt>
                <c:pt idx="22">
                  <c:v>15</c:v>
                </c:pt>
                <c:pt idx="23">
                  <c:v>28</c:v>
                </c:pt>
                <c:pt idx="24">
                  <c:v>8</c:v>
                </c:pt>
                <c:pt idx="25">
                  <c:v>38</c:v>
                </c:pt>
                <c:pt idx="27">
                  <c:v>19</c:v>
                </c:pt>
                <c:pt idx="30">
                  <c:v>40</c:v>
                </c:pt>
                <c:pt idx="33">
                  <c:v>66</c:v>
                </c:pt>
                <c:pt idx="34">
                  <c:v>28</c:v>
                </c:pt>
                <c:pt idx="35">
                  <c:v>42</c:v>
                </c:pt>
                <c:pt idx="37">
                  <c:v>21</c:v>
                </c:pt>
                <c:pt idx="38">
                  <c:v>18</c:v>
                </c:pt>
                <c:pt idx="39">
                  <c:v>14</c:v>
                </c:pt>
                <c:pt idx="40">
                  <c:v>40</c:v>
                </c:pt>
                <c:pt idx="41">
                  <c:v>27</c:v>
                </c:pt>
                <c:pt idx="43">
                  <c:v>3</c:v>
                </c:pt>
                <c:pt idx="44">
                  <c:v>19</c:v>
                </c:pt>
                <c:pt idx="49">
                  <c:v>18</c:v>
                </c:pt>
                <c:pt idx="50">
                  <c:v>7</c:v>
                </c:pt>
                <c:pt idx="51">
                  <c:v>21</c:v>
                </c:pt>
                <c:pt idx="52">
                  <c:v>49</c:v>
                </c:pt>
                <c:pt idx="53">
                  <c:v>29</c:v>
                </c:pt>
                <c:pt idx="54">
                  <c:v>65</c:v>
                </c:pt>
                <c:pt idx="56">
                  <c:v>21</c:v>
                </c:pt>
                <c:pt idx="57">
                  <c:v>28.5</c:v>
                </c:pt>
                <c:pt idx="58">
                  <c:v>5</c:v>
                </c:pt>
                <c:pt idx="59">
                  <c:v>11</c:v>
                </c:pt>
                <c:pt idx="60">
                  <c:v>22</c:v>
                </c:pt>
                <c:pt idx="61">
                  <c:v>38</c:v>
                </c:pt>
                <c:pt idx="62">
                  <c:v>45</c:v>
                </c:pt>
                <c:pt idx="63">
                  <c:v>4</c:v>
                </c:pt>
                <c:pt idx="66">
                  <c:v>29</c:v>
                </c:pt>
                <c:pt idx="67">
                  <c:v>19</c:v>
                </c:pt>
                <c:pt idx="68">
                  <c:v>17</c:v>
                </c:pt>
                <c:pt idx="69">
                  <c:v>26</c:v>
                </c:pt>
                <c:pt idx="70">
                  <c:v>32</c:v>
                </c:pt>
                <c:pt idx="71">
                  <c:v>16</c:v>
                </c:pt>
                <c:pt idx="72">
                  <c:v>21</c:v>
                </c:pt>
                <c:pt idx="73">
                  <c:v>26</c:v>
                </c:pt>
                <c:pt idx="74">
                  <c:v>32</c:v>
                </c:pt>
                <c:pt idx="75">
                  <c:v>25</c:v>
                </c:pt>
                <c:pt idx="78">
                  <c:v>0.83</c:v>
                </c:pt>
                <c:pt idx="79">
                  <c:v>30</c:v>
                </c:pt>
                <c:pt idx="80">
                  <c:v>22</c:v>
                </c:pt>
                <c:pt idx="81">
                  <c:v>29</c:v>
                </c:pt>
                <c:pt idx="83">
                  <c:v>28</c:v>
                </c:pt>
                <c:pt idx="84">
                  <c:v>17</c:v>
                </c:pt>
                <c:pt idx="85">
                  <c:v>33</c:v>
                </c:pt>
                <c:pt idx="86">
                  <c:v>16</c:v>
                </c:pt>
                <c:pt idx="88">
                  <c:v>23</c:v>
                </c:pt>
                <c:pt idx="89">
                  <c:v>24</c:v>
                </c:pt>
                <c:pt idx="90">
                  <c:v>29</c:v>
                </c:pt>
                <c:pt idx="91">
                  <c:v>20</c:v>
                </c:pt>
                <c:pt idx="92">
                  <c:v>46</c:v>
                </c:pt>
                <c:pt idx="93">
                  <c:v>26</c:v>
                </c:pt>
                <c:pt idx="94">
                  <c:v>59</c:v>
                </c:pt>
                <c:pt idx="96">
                  <c:v>71</c:v>
                </c:pt>
                <c:pt idx="97">
                  <c:v>23</c:v>
                </c:pt>
                <c:pt idx="98">
                  <c:v>34</c:v>
                </c:pt>
                <c:pt idx="99">
                  <c:v>34</c:v>
                </c:pt>
                <c:pt idx="100">
                  <c:v>28</c:v>
                </c:pt>
                <c:pt idx="102">
                  <c:v>21</c:v>
                </c:pt>
                <c:pt idx="103">
                  <c:v>33</c:v>
                </c:pt>
                <c:pt idx="104">
                  <c:v>37</c:v>
                </c:pt>
                <c:pt idx="105">
                  <c:v>28</c:v>
                </c:pt>
                <c:pt idx="106">
                  <c:v>21</c:v>
                </c:pt>
                <c:pt idx="108">
                  <c:v>38</c:v>
                </c:pt>
                <c:pt idx="110">
                  <c:v>47</c:v>
                </c:pt>
                <c:pt idx="111">
                  <c:v>14.5</c:v>
                </c:pt>
                <c:pt idx="112">
                  <c:v>22</c:v>
                </c:pt>
                <c:pt idx="113">
                  <c:v>20</c:v>
                </c:pt>
                <c:pt idx="114">
                  <c:v>17</c:v>
                </c:pt>
                <c:pt idx="115">
                  <c:v>21</c:v>
                </c:pt>
                <c:pt idx="116">
                  <c:v>70.5</c:v>
                </c:pt>
                <c:pt idx="117">
                  <c:v>29</c:v>
                </c:pt>
                <c:pt idx="118">
                  <c:v>24</c:v>
                </c:pt>
                <c:pt idx="119">
                  <c:v>2</c:v>
                </c:pt>
                <c:pt idx="120">
                  <c:v>21</c:v>
                </c:pt>
                <c:pt idx="122">
                  <c:v>32.5</c:v>
                </c:pt>
                <c:pt idx="123">
                  <c:v>32.5</c:v>
                </c:pt>
                <c:pt idx="124">
                  <c:v>54</c:v>
                </c:pt>
                <c:pt idx="125">
                  <c:v>12</c:v>
                </c:pt>
                <c:pt idx="127">
                  <c:v>24</c:v>
                </c:pt>
                <c:pt idx="129">
                  <c:v>45</c:v>
                </c:pt>
                <c:pt idx="130">
                  <c:v>33</c:v>
                </c:pt>
                <c:pt idx="131">
                  <c:v>20</c:v>
                </c:pt>
                <c:pt idx="132">
                  <c:v>47</c:v>
                </c:pt>
                <c:pt idx="133">
                  <c:v>29</c:v>
                </c:pt>
                <c:pt idx="134">
                  <c:v>25</c:v>
                </c:pt>
                <c:pt idx="135">
                  <c:v>23</c:v>
                </c:pt>
                <c:pt idx="136">
                  <c:v>19</c:v>
                </c:pt>
                <c:pt idx="137">
                  <c:v>37</c:v>
                </c:pt>
                <c:pt idx="138">
                  <c:v>16</c:v>
                </c:pt>
                <c:pt idx="139">
                  <c:v>24</c:v>
                </c:pt>
                <c:pt idx="141">
                  <c:v>22</c:v>
                </c:pt>
                <c:pt idx="142">
                  <c:v>24</c:v>
                </c:pt>
                <c:pt idx="143">
                  <c:v>19</c:v>
                </c:pt>
                <c:pt idx="144">
                  <c:v>18</c:v>
                </c:pt>
                <c:pt idx="145">
                  <c:v>19</c:v>
                </c:pt>
                <c:pt idx="146">
                  <c:v>27</c:v>
                </c:pt>
                <c:pt idx="147">
                  <c:v>9</c:v>
                </c:pt>
                <c:pt idx="148">
                  <c:v>36.5</c:v>
                </c:pt>
                <c:pt idx="149">
                  <c:v>42</c:v>
                </c:pt>
                <c:pt idx="150">
                  <c:v>51</c:v>
                </c:pt>
                <c:pt idx="151">
                  <c:v>22</c:v>
                </c:pt>
                <c:pt idx="152">
                  <c:v>55.5</c:v>
                </c:pt>
                <c:pt idx="153">
                  <c:v>40.5</c:v>
                </c:pt>
                <c:pt idx="155">
                  <c:v>51</c:v>
                </c:pt>
                <c:pt idx="156">
                  <c:v>16</c:v>
                </c:pt>
                <c:pt idx="157">
                  <c:v>30</c:v>
                </c:pt>
                <c:pt idx="160">
                  <c:v>44</c:v>
                </c:pt>
                <c:pt idx="161">
                  <c:v>40</c:v>
                </c:pt>
                <c:pt idx="162">
                  <c:v>26</c:v>
                </c:pt>
                <c:pt idx="163">
                  <c:v>17</c:v>
                </c:pt>
                <c:pt idx="164">
                  <c:v>1</c:v>
                </c:pt>
                <c:pt idx="165">
                  <c:v>9</c:v>
                </c:pt>
                <c:pt idx="167">
                  <c:v>45</c:v>
                </c:pt>
                <c:pt idx="169">
                  <c:v>28</c:v>
                </c:pt>
                <c:pt idx="170">
                  <c:v>61</c:v>
                </c:pt>
                <c:pt idx="171">
                  <c:v>4</c:v>
                </c:pt>
                <c:pt idx="172">
                  <c:v>1</c:v>
                </c:pt>
                <c:pt idx="173">
                  <c:v>21</c:v>
                </c:pt>
                <c:pt idx="174">
                  <c:v>56</c:v>
                </c:pt>
                <c:pt idx="175">
                  <c:v>18</c:v>
                </c:pt>
                <c:pt idx="177">
                  <c:v>50</c:v>
                </c:pt>
                <c:pt idx="178">
                  <c:v>30</c:v>
                </c:pt>
                <c:pt idx="179">
                  <c:v>36</c:v>
                </c:pt>
                <c:pt idx="182">
                  <c:v>9</c:v>
                </c:pt>
                <c:pt idx="183">
                  <c:v>1</c:v>
                </c:pt>
                <c:pt idx="184">
                  <c:v>4</c:v>
                </c:pt>
                <c:pt idx="187">
                  <c:v>45</c:v>
                </c:pt>
                <c:pt idx="188">
                  <c:v>40</c:v>
                </c:pt>
                <c:pt idx="189">
                  <c:v>36</c:v>
                </c:pt>
                <c:pt idx="190">
                  <c:v>32</c:v>
                </c:pt>
                <c:pt idx="191">
                  <c:v>19</c:v>
                </c:pt>
                <c:pt idx="192">
                  <c:v>19</c:v>
                </c:pt>
                <c:pt idx="193">
                  <c:v>3</c:v>
                </c:pt>
                <c:pt idx="194">
                  <c:v>44</c:v>
                </c:pt>
                <c:pt idx="195">
                  <c:v>58</c:v>
                </c:pt>
                <c:pt idx="197">
                  <c:v>42</c:v>
                </c:pt>
                <c:pt idx="199">
                  <c:v>24</c:v>
                </c:pt>
                <c:pt idx="200">
                  <c:v>28</c:v>
                </c:pt>
                <c:pt idx="202">
                  <c:v>34</c:v>
                </c:pt>
                <c:pt idx="203">
                  <c:v>45.5</c:v>
                </c:pt>
                <c:pt idx="204">
                  <c:v>18</c:v>
                </c:pt>
                <c:pt idx="205">
                  <c:v>2</c:v>
                </c:pt>
                <c:pt idx="206">
                  <c:v>32</c:v>
                </c:pt>
                <c:pt idx="207">
                  <c:v>26</c:v>
                </c:pt>
                <c:pt idx="208">
                  <c:v>16</c:v>
                </c:pt>
                <c:pt idx="209">
                  <c:v>40</c:v>
                </c:pt>
                <c:pt idx="210">
                  <c:v>24</c:v>
                </c:pt>
                <c:pt idx="211">
                  <c:v>35</c:v>
                </c:pt>
                <c:pt idx="212">
                  <c:v>22</c:v>
                </c:pt>
                <c:pt idx="213">
                  <c:v>30</c:v>
                </c:pt>
                <c:pt idx="215">
                  <c:v>31</c:v>
                </c:pt>
                <c:pt idx="216">
                  <c:v>27</c:v>
                </c:pt>
                <c:pt idx="217">
                  <c:v>42</c:v>
                </c:pt>
                <c:pt idx="218">
                  <c:v>32</c:v>
                </c:pt>
                <c:pt idx="219">
                  <c:v>30</c:v>
                </c:pt>
                <c:pt idx="220">
                  <c:v>16</c:v>
                </c:pt>
                <c:pt idx="221">
                  <c:v>27</c:v>
                </c:pt>
                <c:pt idx="222">
                  <c:v>51</c:v>
                </c:pt>
                <c:pt idx="224">
                  <c:v>38</c:v>
                </c:pt>
                <c:pt idx="225">
                  <c:v>22</c:v>
                </c:pt>
                <c:pt idx="226">
                  <c:v>19</c:v>
                </c:pt>
                <c:pt idx="227">
                  <c:v>20.5</c:v>
                </c:pt>
                <c:pt idx="228">
                  <c:v>18</c:v>
                </c:pt>
                <c:pt idx="230">
                  <c:v>35</c:v>
                </c:pt>
                <c:pt idx="231">
                  <c:v>29</c:v>
                </c:pt>
                <c:pt idx="232">
                  <c:v>59</c:v>
                </c:pt>
                <c:pt idx="233">
                  <c:v>5</c:v>
                </c:pt>
                <c:pt idx="234">
                  <c:v>24</c:v>
                </c:pt>
                <c:pt idx="236">
                  <c:v>44</c:v>
                </c:pt>
                <c:pt idx="237">
                  <c:v>8</c:v>
                </c:pt>
                <c:pt idx="238">
                  <c:v>19</c:v>
                </c:pt>
                <c:pt idx="239">
                  <c:v>33</c:v>
                </c:pt>
                <c:pt idx="242">
                  <c:v>29</c:v>
                </c:pt>
                <c:pt idx="243">
                  <c:v>22</c:v>
                </c:pt>
                <c:pt idx="244">
                  <c:v>30</c:v>
                </c:pt>
                <c:pt idx="245">
                  <c:v>44</c:v>
                </c:pt>
                <c:pt idx="246">
                  <c:v>25</c:v>
                </c:pt>
                <c:pt idx="247">
                  <c:v>24</c:v>
                </c:pt>
                <c:pt idx="248">
                  <c:v>37</c:v>
                </c:pt>
                <c:pt idx="249">
                  <c:v>54</c:v>
                </c:pt>
                <c:pt idx="251">
                  <c:v>29</c:v>
                </c:pt>
                <c:pt idx="252">
                  <c:v>62</c:v>
                </c:pt>
                <c:pt idx="253">
                  <c:v>30</c:v>
                </c:pt>
                <c:pt idx="254">
                  <c:v>41</c:v>
                </c:pt>
                <c:pt idx="255">
                  <c:v>29</c:v>
                </c:pt>
                <c:pt idx="257">
                  <c:v>30</c:v>
                </c:pt>
                <c:pt idx="258">
                  <c:v>35</c:v>
                </c:pt>
                <c:pt idx="259">
                  <c:v>50</c:v>
                </c:pt>
                <c:pt idx="261">
                  <c:v>3</c:v>
                </c:pt>
                <c:pt idx="262">
                  <c:v>52</c:v>
                </c:pt>
                <c:pt idx="263">
                  <c:v>40</c:v>
                </c:pt>
                <c:pt idx="265">
                  <c:v>36</c:v>
                </c:pt>
                <c:pt idx="266">
                  <c:v>16</c:v>
                </c:pt>
                <c:pt idx="267">
                  <c:v>25</c:v>
                </c:pt>
                <c:pt idx="268">
                  <c:v>58</c:v>
                </c:pt>
                <c:pt idx="269">
                  <c:v>35</c:v>
                </c:pt>
                <c:pt idx="271">
                  <c:v>25</c:v>
                </c:pt>
                <c:pt idx="272">
                  <c:v>41</c:v>
                </c:pt>
                <c:pt idx="273">
                  <c:v>37</c:v>
                </c:pt>
                <c:pt idx="275">
                  <c:v>63</c:v>
                </c:pt>
                <c:pt idx="276">
                  <c:v>45</c:v>
                </c:pt>
                <c:pt idx="278">
                  <c:v>7</c:v>
                </c:pt>
                <c:pt idx="279">
                  <c:v>35</c:v>
                </c:pt>
                <c:pt idx="280">
                  <c:v>65</c:v>
                </c:pt>
                <c:pt idx="281">
                  <c:v>28</c:v>
                </c:pt>
                <c:pt idx="282">
                  <c:v>16</c:v>
                </c:pt>
                <c:pt idx="283">
                  <c:v>19</c:v>
                </c:pt>
                <c:pt idx="285">
                  <c:v>33</c:v>
                </c:pt>
                <c:pt idx="286">
                  <c:v>30</c:v>
                </c:pt>
                <c:pt idx="287">
                  <c:v>22</c:v>
                </c:pt>
                <c:pt idx="288">
                  <c:v>42</c:v>
                </c:pt>
                <c:pt idx="289">
                  <c:v>22</c:v>
                </c:pt>
                <c:pt idx="290">
                  <c:v>26</c:v>
                </c:pt>
                <c:pt idx="291">
                  <c:v>19</c:v>
                </c:pt>
                <c:pt idx="292">
                  <c:v>36</c:v>
                </c:pt>
                <c:pt idx="293">
                  <c:v>24</c:v>
                </c:pt>
                <c:pt idx="294">
                  <c:v>24</c:v>
                </c:pt>
                <c:pt idx="296">
                  <c:v>23.5</c:v>
                </c:pt>
                <c:pt idx="297">
                  <c:v>2</c:v>
                </c:pt>
                <c:pt idx="299">
                  <c:v>50</c:v>
                </c:pt>
                <c:pt idx="302">
                  <c:v>19</c:v>
                </c:pt>
                <c:pt idx="305">
                  <c:v>0.92</c:v>
                </c:pt>
                <c:pt idx="307">
                  <c:v>17</c:v>
                </c:pt>
                <c:pt idx="308">
                  <c:v>30</c:v>
                </c:pt>
                <c:pt idx="309">
                  <c:v>30</c:v>
                </c:pt>
                <c:pt idx="310">
                  <c:v>24</c:v>
                </c:pt>
                <c:pt idx="311">
                  <c:v>18</c:v>
                </c:pt>
                <c:pt idx="312">
                  <c:v>26</c:v>
                </c:pt>
                <c:pt idx="313">
                  <c:v>28</c:v>
                </c:pt>
                <c:pt idx="314">
                  <c:v>43</c:v>
                </c:pt>
                <c:pt idx="315">
                  <c:v>26</c:v>
                </c:pt>
                <c:pt idx="316">
                  <c:v>24</c:v>
                </c:pt>
                <c:pt idx="317">
                  <c:v>54</c:v>
                </c:pt>
                <c:pt idx="318">
                  <c:v>31</c:v>
                </c:pt>
                <c:pt idx="319">
                  <c:v>40</c:v>
                </c:pt>
                <c:pt idx="320">
                  <c:v>22</c:v>
                </c:pt>
                <c:pt idx="321">
                  <c:v>27</c:v>
                </c:pt>
                <c:pt idx="322">
                  <c:v>30</c:v>
                </c:pt>
                <c:pt idx="323">
                  <c:v>22</c:v>
                </c:pt>
                <c:pt idx="325">
                  <c:v>36</c:v>
                </c:pt>
                <c:pt idx="326">
                  <c:v>61</c:v>
                </c:pt>
                <c:pt idx="327">
                  <c:v>36</c:v>
                </c:pt>
                <c:pt idx="328">
                  <c:v>31</c:v>
                </c:pt>
                <c:pt idx="329">
                  <c:v>16</c:v>
                </c:pt>
                <c:pt idx="331">
                  <c:v>45.5</c:v>
                </c:pt>
                <c:pt idx="332">
                  <c:v>38</c:v>
                </c:pt>
                <c:pt idx="333">
                  <c:v>16</c:v>
                </c:pt>
                <c:pt idx="336">
                  <c:v>29</c:v>
                </c:pt>
                <c:pt idx="337">
                  <c:v>41</c:v>
                </c:pt>
                <c:pt idx="338">
                  <c:v>45</c:v>
                </c:pt>
                <c:pt idx="339">
                  <c:v>45</c:v>
                </c:pt>
                <c:pt idx="340">
                  <c:v>2</c:v>
                </c:pt>
                <c:pt idx="341">
                  <c:v>24</c:v>
                </c:pt>
                <c:pt idx="342">
                  <c:v>28</c:v>
                </c:pt>
                <c:pt idx="343">
                  <c:v>25</c:v>
                </c:pt>
                <c:pt idx="344">
                  <c:v>36</c:v>
                </c:pt>
                <c:pt idx="345">
                  <c:v>24</c:v>
                </c:pt>
                <c:pt idx="346">
                  <c:v>40</c:v>
                </c:pt>
                <c:pt idx="348">
                  <c:v>3</c:v>
                </c:pt>
                <c:pt idx="349">
                  <c:v>42</c:v>
                </c:pt>
                <c:pt idx="350">
                  <c:v>23</c:v>
                </c:pt>
                <c:pt idx="352">
                  <c:v>15</c:v>
                </c:pt>
                <c:pt idx="353">
                  <c:v>25</c:v>
                </c:pt>
                <c:pt idx="355">
                  <c:v>28</c:v>
                </c:pt>
                <c:pt idx="356">
                  <c:v>22</c:v>
                </c:pt>
                <c:pt idx="357">
                  <c:v>38</c:v>
                </c:pt>
                <c:pt idx="360">
                  <c:v>40</c:v>
                </c:pt>
                <c:pt idx="361">
                  <c:v>29</c:v>
                </c:pt>
                <c:pt idx="362">
                  <c:v>45</c:v>
                </c:pt>
                <c:pt idx="363">
                  <c:v>35</c:v>
                </c:pt>
                <c:pt idx="365">
                  <c:v>30</c:v>
                </c:pt>
                <c:pt idx="366">
                  <c:v>60</c:v>
                </c:pt>
                <c:pt idx="369">
                  <c:v>24</c:v>
                </c:pt>
                <c:pt idx="370">
                  <c:v>25</c:v>
                </c:pt>
                <c:pt idx="371">
                  <c:v>18</c:v>
                </c:pt>
                <c:pt idx="372">
                  <c:v>19</c:v>
                </c:pt>
                <c:pt idx="373">
                  <c:v>22</c:v>
                </c:pt>
                <c:pt idx="374">
                  <c:v>3</c:v>
                </c:pt>
                <c:pt idx="376">
                  <c:v>22</c:v>
                </c:pt>
                <c:pt idx="377">
                  <c:v>27</c:v>
                </c:pt>
                <c:pt idx="378">
                  <c:v>20</c:v>
                </c:pt>
                <c:pt idx="379">
                  <c:v>19</c:v>
                </c:pt>
                <c:pt idx="380">
                  <c:v>42</c:v>
                </c:pt>
                <c:pt idx="381">
                  <c:v>1</c:v>
                </c:pt>
                <c:pt idx="382">
                  <c:v>32</c:v>
                </c:pt>
                <c:pt idx="383">
                  <c:v>35</c:v>
                </c:pt>
                <c:pt idx="385">
                  <c:v>18</c:v>
                </c:pt>
                <c:pt idx="386">
                  <c:v>1</c:v>
                </c:pt>
                <c:pt idx="387">
                  <c:v>36</c:v>
                </c:pt>
                <c:pt idx="389">
                  <c:v>17</c:v>
                </c:pt>
                <c:pt idx="390">
                  <c:v>36</c:v>
                </c:pt>
                <c:pt idx="391">
                  <c:v>21</c:v>
                </c:pt>
                <c:pt idx="392">
                  <c:v>28</c:v>
                </c:pt>
                <c:pt idx="393">
                  <c:v>23</c:v>
                </c:pt>
                <c:pt idx="394">
                  <c:v>24</c:v>
                </c:pt>
                <c:pt idx="395">
                  <c:v>22</c:v>
                </c:pt>
                <c:pt idx="396">
                  <c:v>31</c:v>
                </c:pt>
                <c:pt idx="397">
                  <c:v>46</c:v>
                </c:pt>
                <c:pt idx="398">
                  <c:v>23</c:v>
                </c:pt>
                <c:pt idx="399">
                  <c:v>28</c:v>
                </c:pt>
                <c:pt idx="400">
                  <c:v>39</c:v>
                </c:pt>
                <c:pt idx="401">
                  <c:v>26</c:v>
                </c:pt>
                <c:pt idx="402">
                  <c:v>21</c:v>
                </c:pt>
                <c:pt idx="403">
                  <c:v>28</c:v>
                </c:pt>
                <c:pt idx="404">
                  <c:v>20</c:v>
                </c:pt>
                <c:pt idx="405">
                  <c:v>34</c:v>
                </c:pt>
                <c:pt idx="406">
                  <c:v>51</c:v>
                </c:pt>
                <c:pt idx="407">
                  <c:v>3</c:v>
                </c:pt>
                <c:pt idx="408">
                  <c:v>21</c:v>
                </c:pt>
                <c:pt idx="412">
                  <c:v>33</c:v>
                </c:pt>
                <c:pt idx="414">
                  <c:v>44</c:v>
                </c:pt>
                <c:pt idx="416">
                  <c:v>34</c:v>
                </c:pt>
                <c:pt idx="417">
                  <c:v>18</c:v>
                </c:pt>
                <c:pt idx="418">
                  <c:v>30</c:v>
                </c:pt>
                <c:pt idx="419">
                  <c:v>10</c:v>
                </c:pt>
                <c:pt idx="421">
                  <c:v>21</c:v>
                </c:pt>
                <c:pt idx="422">
                  <c:v>29</c:v>
                </c:pt>
                <c:pt idx="423">
                  <c:v>28</c:v>
                </c:pt>
                <c:pt idx="424">
                  <c:v>18</c:v>
                </c:pt>
                <c:pt idx="426">
                  <c:v>28</c:v>
                </c:pt>
                <c:pt idx="427">
                  <c:v>19</c:v>
                </c:pt>
                <c:pt idx="429">
                  <c:v>32</c:v>
                </c:pt>
                <c:pt idx="430">
                  <c:v>28</c:v>
                </c:pt>
                <c:pt idx="432">
                  <c:v>42</c:v>
                </c:pt>
                <c:pt idx="433">
                  <c:v>17</c:v>
                </c:pt>
                <c:pt idx="434">
                  <c:v>50</c:v>
                </c:pt>
                <c:pt idx="435">
                  <c:v>14</c:v>
                </c:pt>
                <c:pt idx="436">
                  <c:v>21</c:v>
                </c:pt>
                <c:pt idx="437">
                  <c:v>24</c:v>
                </c:pt>
                <c:pt idx="438">
                  <c:v>64</c:v>
                </c:pt>
                <c:pt idx="439">
                  <c:v>31</c:v>
                </c:pt>
                <c:pt idx="440">
                  <c:v>45</c:v>
                </c:pt>
                <c:pt idx="441">
                  <c:v>20</c:v>
                </c:pt>
                <c:pt idx="442">
                  <c:v>25</c:v>
                </c:pt>
                <c:pt idx="443">
                  <c:v>28</c:v>
                </c:pt>
                <c:pt idx="445">
                  <c:v>4</c:v>
                </c:pt>
                <c:pt idx="446">
                  <c:v>13</c:v>
                </c:pt>
                <c:pt idx="447">
                  <c:v>34</c:v>
                </c:pt>
                <c:pt idx="448">
                  <c:v>5</c:v>
                </c:pt>
                <c:pt idx="449">
                  <c:v>52</c:v>
                </c:pt>
                <c:pt idx="450">
                  <c:v>36</c:v>
                </c:pt>
                <c:pt idx="452">
                  <c:v>30</c:v>
                </c:pt>
                <c:pt idx="453">
                  <c:v>49</c:v>
                </c:pt>
                <c:pt idx="455">
                  <c:v>29</c:v>
                </c:pt>
                <c:pt idx="456">
                  <c:v>65</c:v>
                </c:pt>
                <c:pt idx="458">
                  <c:v>50</c:v>
                </c:pt>
                <c:pt idx="460">
                  <c:v>48</c:v>
                </c:pt>
                <c:pt idx="461">
                  <c:v>34</c:v>
                </c:pt>
                <c:pt idx="462">
                  <c:v>47</c:v>
                </c:pt>
                <c:pt idx="463">
                  <c:v>48</c:v>
                </c:pt>
                <c:pt idx="465">
                  <c:v>38</c:v>
                </c:pt>
                <c:pt idx="467">
                  <c:v>56</c:v>
                </c:pt>
                <c:pt idx="469">
                  <c:v>0.75</c:v>
                </c:pt>
                <c:pt idx="471">
                  <c:v>38</c:v>
                </c:pt>
                <c:pt idx="472">
                  <c:v>33</c:v>
                </c:pt>
                <c:pt idx="473">
                  <c:v>23</c:v>
                </c:pt>
                <c:pt idx="474">
                  <c:v>22</c:v>
                </c:pt>
                <c:pt idx="476">
                  <c:v>34</c:v>
                </c:pt>
                <c:pt idx="477">
                  <c:v>29</c:v>
                </c:pt>
                <c:pt idx="478">
                  <c:v>22</c:v>
                </c:pt>
                <c:pt idx="479">
                  <c:v>2</c:v>
                </c:pt>
                <c:pt idx="480">
                  <c:v>9</c:v>
                </c:pt>
                <c:pt idx="482">
                  <c:v>50</c:v>
                </c:pt>
                <c:pt idx="483">
                  <c:v>63</c:v>
                </c:pt>
                <c:pt idx="484">
                  <c:v>25</c:v>
                </c:pt>
                <c:pt idx="486">
                  <c:v>35</c:v>
                </c:pt>
                <c:pt idx="487">
                  <c:v>58</c:v>
                </c:pt>
                <c:pt idx="488">
                  <c:v>30</c:v>
                </c:pt>
                <c:pt idx="489">
                  <c:v>9</c:v>
                </c:pt>
                <c:pt idx="491">
                  <c:v>21</c:v>
                </c:pt>
                <c:pt idx="492">
                  <c:v>55</c:v>
                </c:pt>
                <c:pt idx="493">
                  <c:v>71</c:v>
                </c:pt>
                <c:pt idx="494">
                  <c:v>21</c:v>
                </c:pt>
                <c:pt idx="496">
                  <c:v>54</c:v>
                </c:pt>
                <c:pt idx="498">
                  <c:v>25</c:v>
                </c:pt>
                <c:pt idx="499">
                  <c:v>24</c:v>
                </c:pt>
                <c:pt idx="500">
                  <c:v>17</c:v>
                </c:pt>
                <c:pt idx="501">
                  <c:v>21</c:v>
                </c:pt>
                <c:pt idx="503">
                  <c:v>37</c:v>
                </c:pt>
                <c:pt idx="504">
                  <c:v>16</c:v>
                </c:pt>
                <c:pt idx="505">
                  <c:v>18</c:v>
                </c:pt>
                <c:pt idx="506">
                  <c:v>33</c:v>
                </c:pt>
                <c:pt idx="508">
                  <c:v>28</c:v>
                </c:pt>
                <c:pt idx="509">
                  <c:v>26</c:v>
                </c:pt>
                <c:pt idx="510">
                  <c:v>29</c:v>
                </c:pt>
                <c:pt idx="512">
                  <c:v>36</c:v>
                </c:pt>
                <c:pt idx="513">
                  <c:v>54</c:v>
                </c:pt>
                <c:pt idx="514">
                  <c:v>24</c:v>
                </c:pt>
                <c:pt idx="515">
                  <c:v>47</c:v>
                </c:pt>
                <c:pt idx="516">
                  <c:v>34</c:v>
                </c:pt>
                <c:pt idx="518">
                  <c:v>36</c:v>
                </c:pt>
                <c:pt idx="519">
                  <c:v>32</c:v>
                </c:pt>
                <c:pt idx="520">
                  <c:v>30</c:v>
                </c:pt>
                <c:pt idx="521">
                  <c:v>22</c:v>
                </c:pt>
                <c:pt idx="523">
                  <c:v>44</c:v>
                </c:pt>
                <c:pt idx="525">
                  <c:v>40.5</c:v>
                </c:pt>
                <c:pt idx="526">
                  <c:v>50</c:v>
                </c:pt>
                <c:pt idx="528">
                  <c:v>39</c:v>
                </c:pt>
                <c:pt idx="529">
                  <c:v>23</c:v>
                </c:pt>
                <c:pt idx="530">
                  <c:v>2</c:v>
                </c:pt>
                <c:pt idx="532">
                  <c:v>17</c:v>
                </c:pt>
                <c:pt idx="534">
                  <c:v>30</c:v>
                </c:pt>
                <c:pt idx="535">
                  <c:v>7</c:v>
                </c:pt>
                <c:pt idx="536">
                  <c:v>45</c:v>
                </c:pt>
                <c:pt idx="537">
                  <c:v>30</c:v>
                </c:pt>
                <c:pt idx="539">
                  <c:v>22</c:v>
                </c:pt>
                <c:pt idx="540">
                  <c:v>36</c:v>
                </c:pt>
                <c:pt idx="541">
                  <c:v>9</c:v>
                </c:pt>
                <c:pt idx="542">
                  <c:v>11</c:v>
                </c:pt>
                <c:pt idx="543">
                  <c:v>32</c:v>
                </c:pt>
                <c:pt idx="544">
                  <c:v>50</c:v>
                </c:pt>
                <c:pt idx="545">
                  <c:v>64</c:v>
                </c:pt>
                <c:pt idx="546">
                  <c:v>19</c:v>
                </c:pt>
                <c:pt idx="548">
                  <c:v>33</c:v>
                </c:pt>
                <c:pt idx="549">
                  <c:v>8</c:v>
                </c:pt>
                <c:pt idx="550">
                  <c:v>17</c:v>
                </c:pt>
                <c:pt idx="551">
                  <c:v>27</c:v>
                </c:pt>
                <c:pt idx="553">
                  <c:v>22</c:v>
                </c:pt>
                <c:pt idx="554">
                  <c:v>22</c:v>
                </c:pt>
                <c:pt idx="555">
                  <c:v>62</c:v>
                </c:pt>
                <c:pt idx="556">
                  <c:v>48</c:v>
                </c:pt>
                <c:pt idx="558">
                  <c:v>39</c:v>
                </c:pt>
                <c:pt idx="559">
                  <c:v>36</c:v>
                </c:pt>
                <c:pt idx="561">
                  <c:v>40</c:v>
                </c:pt>
                <c:pt idx="562">
                  <c:v>28</c:v>
                </c:pt>
                <c:pt idx="565">
                  <c:v>24</c:v>
                </c:pt>
                <c:pt idx="566">
                  <c:v>19</c:v>
                </c:pt>
                <c:pt idx="567">
                  <c:v>29</c:v>
                </c:pt>
                <c:pt idx="569">
                  <c:v>32</c:v>
                </c:pt>
                <c:pt idx="570">
                  <c:v>62</c:v>
                </c:pt>
                <c:pt idx="571">
                  <c:v>53</c:v>
                </c:pt>
                <c:pt idx="572">
                  <c:v>36</c:v>
                </c:pt>
                <c:pt idx="574">
                  <c:v>16</c:v>
                </c:pt>
                <c:pt idx="575">
                  <c:v>19</c:v>
                </c:pt>
                <c:pt idx="576">
                  <c:v>34</c:v>
                </c:pt>
                <c:pt idx="577">
                  <c:v>39</c:v>
                </c:pt>
                <c:pt idx="579">
                  <c:v>32</c:v>
                </c:pt>
                <c:pt idx="580">
                  <c:v>25</c:v>
                </c:pt>
                <c:pt idx="581">
                  <c:v>39</c:v>
                </c:pt>
                <c:pt idx="582">
                  <c:v>54</c:v>
                </c:pt>
                <c:pt idx="583">
                  <c:v>36</c:v>
                </c:pt>
                <c:pt idx="585">
                  <c:v>18</c:v>
                </c:pt>
                <c:pt idx="586">
                  <c:v>47</c:v>
                </c:pt>
                <c:pt idx="587">
                  <c:v>60</c:v>
                </c:pt>
                <c:pt idx="588">
                  <c:v>22</c:v>
                </c:pt>
                <c:pt idx="590">
                  <c:v>35</c:v>
                </c:pt>
                <c:pt idx="591">
                  <c:v>52</c:v>
                </c:pt>
                <c:pt idx="592">
                  <c:v>47</c:v>
                </c:pt>
                <c:pt idx="594">
                  <c:v>37</c:v>
                </c:pt>
                <c:pt idx="595">
                  <c:v>36</c:v>
                </c:pt>
                <c:pt idx="597">
                  <c:v>49</c:v>
                </c:pt>
                <c:pt idx="599">
                  <c:v>49</c:v>
                </c:pt>
                <c:pt idx="600">
                  <c:v>24</c:v>
                </c:pt>
                <c:pt idx="603">
                  <c:v>44</c:v>
                </c:pt>
                <c:pt idx="604">
                  <c:v>35</c:v>
                </c:pt>
                <c:pt idx="605">
                  <c:v>36</c:v>
                </c:pt>
                <c:pt idx="606">
                  <c:v>30</c:v>
                </c:pt>
                <c:pt idx="607">
                  <c:v>27</c:v>
                </c:pt>
                <c:pt idx="608">
                  <c:v>22</c:v>
                </c:pt>
                <c:pt idx="609">
                  <c:v>40</c:v>
                </c:pt>
                <c:pt idx="610">
                  <c:v>39</c:v>
                </c:pt>
                <c:pt idx="614">
                  <c:v>35</c:v>
                </c:pt>
                <c:pt idx="615">
                  <c:v>24</c:v>
                </c:pt>
                <c:pt idx="616">
                  <c:v>34</c:v>
                </c:pt>
                <c:pt idx="617">
                  <c:v>26</c:v>
                </c:pt>
                <c:pt idx="618">
                  <c:v>4</c:v>
                </c:pt>
                <c:pt idx="619">
                  <c:v>26</c:v>
                </c:pt>
                <c:pt idx="620">
                  <c:v>27</c:v>
                </c:pt>
                <c:pt idx="621">
                  <c:v>42</c:v>
                </c:pt>
                <c:pt idx="622">
                  <c:v>20</c:v>
                </c:pt>
                <c:pt idx="623">
                  <c:v>21</c:v>
                </c:pt>
                <c:pt idx="624">
                  <c:v>21</c:v>
                </c:pt>
                <c:pt idx="625">
                  <c:v>61</c:v>
                </c:pt>
                <c:pt idx="626">
                  <c:v>57</c:v>
                </c:pt>
                <c:pt idx="627">
                  <c:v>21</c:v>
                </c:pt>
                <c:pt idx="628">
                  <c:v>26</c:v>
                </c:pt>
                <c:pt idx="630">
                  <c:v>80</c:v>
                </c:pt>
                <c:pt idx="631">
                  <c:v>51</c:v>
                </c:pt>
                <c:pt idx="632">
                  <c:v>32</c:v>
                </c:pt>
                <c:pt idx="634">
                  <c:v>9</c:v>
                </c:pt>
                <c:pt idx="635">
                  <c:v>28</c:v>
                </c:pt>
                <c:pt idx="636">
                  <c:v>32</c:v>
                </c:pt>
                <c:pt idx="637">
                  <c:v>31</c:v>
                </c:pt>
                <c:pt idx="638">
                  <c:v>41</c:v>
                </c:pt>
                <c:pt idx="640">
                  <c:v>20</c:v>
                </c:pt>
                <c:pt idx="641">
                  <c:v>24</c:v>
                </c:pt>
                <c:pt idx="642">
                  <c:v>2</c:v>
                </c:pt>
                <c:pt idx="644">
                  <c:v>0.75</c:v>
                </c:pt>
                <c:pt idx="645">
                  <c:v>48</c:v>
                </c:pt>
                <c:pt idx="646">
                  <c:v>19</c:v>
                </c:pt>
                <c:pt idx="647">
                  <c:v>56</c:v>
                </c:pt>
                <c:pt idx="649">
                  <c:v>23</c:v>
                </c:pt>
                <c:pt idx="651">
                  <c:v>18</c:v>
                </c:pt>
                <c:pt idx="652">
                  <c:v>21</c:v>
                </c:pt>
                <c:pt idx="654">
                  <c:v>18</c:v>
                </c:pt>
                <c:pt idx="655">
                  <c:v>24</c:v>
                </c:pt>
                <c:pt idx="657">
                  <c:v>32</c:v>
                </c:pt>
                <c:pt idx="658">
                  <c:v>23</c:v>
                </c:pt>
                <c:pt idx="659">
                  <c:v>58</c:v>
                </c:pt>
                <c:pt idx="660">
                  <c:v>50</c:v>
                </c:pt>
                <c:pt idx="661">
                  <c:v>40</c:v>
                </c:pt>
                <c:pt idx="662">
                  <c:v>47</c:v>
                </c:pt>
                <c:pt idx="663">
                  <c:v>36</c:v>
                </c:pt>
                <c:pt idx="664">
                  <c:v>20</c:v>
                </c:pt>
                <c:pt idx="665">
                  <c:v>32</c:v>
                </c:pt>
                <c:pt idx="666">
                  <c:v>25</c:v>
                </c:pt>
                <c:pt idx="668">
                  <c:v>43</c:v>
                </c:pt>
                <c:pt idx="670">
                  <c:v>40</c:v>
                </c:pt>
                <c:pt idx="671">
                  <c:v>31</c:v>
                </c:pt>
                <c:pt idx="672">
                  <c:v>70</c:v>
                </c:pt>
                <c:pt idx="673">
                  <c:v>31</c:v>
                </c:pt>
                <c:pt idx="675">
                  <c:v>18</c:v>
                </c:pt>
                <c:pt idx="676">
                  <c:v>24.5</c:v>
                </c:pt>
                <c:pt idx="677">
                  <c:v>18</c:v>
                </c:pt>
                <c:pt idx="678">
                  <c:v>43</c:v>
                </c:pt>
                <c:pt idx="679">
                  <c:v>36</c:v>
                </c:pt>
                <c:pt idx="681">
                  <c:v>27</c:v>
                </c:pt>
                <c:pt idx="682">
                  <c:v>20</c:v>
                </c:pt>
                <c:pt idx="683">
                  <c:v>14</c:v>
                </c:pt>
                <c:pt idx="684">
                  <c:v>60</c:v>
                </c:pt>
                <c:pt idx="685">
                  <c:v>25</c:v>
                </c:pt>
                <c:pt idx="686">
                  <c:v>14</c:v>
                </c:pt>
                <c:pt idx="687">
                  <c:v>19</c:v>
                </c:pt>
                <c:pt idx="688">
                  <c:v>18</c:v>
                </c:pt>
                <c:pt idx="689">
                  <c:v>15</c:v>
                </c:pt>
                <c:pt idx="690">
                  <c:v>31</c:v>
                </c:pt>
                <c:pt idx="691">
                  <c:v>4</c:v>
                </c:pt>
                <c:pt idx="693">
                  <c:v>25</c:v>
                </c:pt>
                <c:pt idx="694">
                  <c:v>60</c:v>
                </c:pt>
                <c:pt idx="695">
                  <c:v>52</c:v>
                </c:pt>
                <c:pt idx="696">
                  <c:v>44</c:v>
                </c:pt>
                <c:pt idx="698">
                  <c:v>49</c:v>
                </c:pt>
                <c:pt idx="699">
                  <c:v>42</c:v>
                </c:pt>
                <c:pt idx="700">
                  <c:v>18</c:v>
                </c:pt>
                <c:pt idx="701">
                  <c:v>35</c:v>
                </c:pt>
                <c:pt idx="702">
                  <c:v>18</c:v>
                </c:pt>
                <c:pt idx="703">
                  <c:v>25</c:v>
                </c:pt>
                <c:pt idx="704">
                  <c:v>26</c:v>
                </c:pt>
                <c:pt idx="705">
                  <c:v>39</c:v>
                </c:pt>
                <c:pt idx="706">
                  <c:v>45</c:v>
                </c:pt>
                <c:pt idx="707">
                  <c:v>42</c:v>
                </c:pt>
                <c:pt idx="708">
                  <c:v>22</c:v>
                </c:pt>
                <c:pt idx="710">
                  <c:v>24</c:v>
                </c:pt>
                <c:pt idx="712">
                  <c:v>48</c:v>
                </c:pt>
                <c:pt idx="713">
                  <c:v>29</c:v>
                </c:pt>
                <c:pt idx="714">
                  <c:v>52</c:v>
                </c:pt>
                <c:pt idx="715">
                  <c:v>19</c:v>
                </c:pt>
                <c:pt idx="716">
                  <c:v>38</c:v>
                </c:pt>
                <c:pt idx="717">
                  <c:v>27</c:v>
                </c:pt>
                <c:pt idx="719">
                  <c:v>33</c:v>
                </c:pt>
                <c:pt idx="720">
                  <c:v>6</c:v>
                </c:pt>
                <c:pt idx="721">
                  <c:v>17</c:v>
                </c:pt>
                <c:pt idx="722">
                  <c:v>34</c:v>
                </c:pt>
                <c:pt idx="723">
                  <c:v>50</c:v>
                </c:pt>
                <c:pt idx="724">
                  <c:v>27</c:v>
                </c:pt>
                <c:pt idx="725">
                  <c:v>20</c:v>
                </c:pt>
                <c:pt idx="726">
                  <c:v>30</c:v>
                </c:pt>
                <c:pt idx="728">
                  <c:v>25</c:v>
                </c:pt>
                <c:pt idx="729">
                  <c:v>25</c:v>
                </c:pt>
                <c:pt idx="730">
                  <c:v>29</c:v>
                </c:pt>
                <c:pt idx="731">
                  <c:v>11</c:v>
                </c:pt>
                <c:pt idx="733">
                  <c:v>23</c:v>
                </c:pt>
                <c:pt idx="734">
                  <c:v>23</c:v>
                </c:pt>
                <c:pt idx="735">
                  <c:v>28.5</c:v>
                </c:pt>
                <c:pt idx="736">
                  <c:v>48</c:v>
                </c:pt>
                <c:pt idx="737">
                  <c:v>35</c:v>
                </c:pt>
                <c:pt idx="741">
                  <c:v>36</c:v>
                </c:pt>
                <c:pt idx="742">
                  <c:v>21</c:v>
                </c:pt>
                <c:pt idx="743">
                  <c:v>24</c:v>
                </c:pt>
                <c:pt idx="744">
                  <c:v>31</c:v>
                </c:pt>
                <c:pt idx="745">
                  <c:v>70</c:v>
                </c:pt>
                <c:pt idx="746">
                  <c:v>16</c:v>
                </c:pt>
                <c:pt idx="747">
                  <c:v>30</c:v>
                </c:pt>
                <c:pt idx="748">
                  <c:v>19</c:v>
                </c:pt>
                <c:pt idx="749">
                  <c:v>31</c:v>
                </c:pt>
                <c:pt idx="750">
                  <c:v>4</c:v>
                </c:pt>
                <c:pt idx="751">
                  <c:v>6</c:v>
                </c:pt>
                <c:pt idx="752">
                  <c:v>33</c:v>
                </c:pt>
                <c:pt idx="753">
                  <c:v>23</c:v>
                </c:pt>
                <c:pt idx="754">
                  <c:v>48</c:v>
                </c:pt>
                <c:pt idx="755">
                  <c:v>0.67</c:v>
                </c:pt>
                <c:pt idx="756">
                  <c:v>28</c:v>
                </c:pt>
                <c:pt idx="757">
                  <c:v>18</c:v>
                </c:pt>
                <c:pt idx="758">
                  <c:v>34</c:v>
                </c:pt>
                <c:pt idx="759">
                  <c:v>33</c:v>
                </c:pt>
                <c:pt idx="761">
                  <c:v>41</c:v>
                </c:pt>
                <c:pt idx="762">
                  <c:v>20</c:v>
                </c:pt>
                <c:pt idx="763">
                  <c:v>36</c:v>
                </c:pt>
                <c:pt idx="764">
                  <c:v>16</c:v>
                </c:pt>
                <c:pt idx="765">
                  <c:v>51</c:v>
                </c:pt>
                <c:pt idx="767">
                  <c:v>30.5</c:v>
                </c:pt>
                <c:pt idx="769">
                  <c:v>32</c:v>
                </c:pt>
                <c:pt idx="770">
                  <c:v>24</c:v>
                </c:pt>
                <c:pt idx="771">
                  <c:v>48</c:v>
                </c:pt>
                <c:pt idx="772">
                  <c:v>57</c:v>
                </c:pt>
                <c:pt idx="774">
                  <c:v>54</c:v>
                </c:pt>
                <c:pt idx="775">
                  <c:v>18</c:v>
                </c:pt>
                <c:pt idx="777">
                  <c:v>5</c:v>
                </c:pt>
                <c:pt idx="779">
                  <c:v>43</c:v>
                </c:pt>
                <c:pt idx="780">
                  <c:v>13</c:v>
                </c:pt>
                <c:pt idx="781">
                  <c:v>17</c:v>
                </c:pt>
                <c:pt idx="782">
                  <c:v>29</c:v>
                </c:pt>
                <c:pt idx="784">
                  <c:v>25</c:v>
                </c:pt>
                <c:pt idx="785">
                  <c:v>25</c:v>
                </c:pt>
                <c:pt idx="786">
                  <c:v>18</c:v>
                </c:pt>
                <c:pt idx="787">
                  <c:v>8</c:v>
                </c:pt>
                <c:pt idx="788">
                  <c:v>1</c:v>
                </c:pt>
                <c:pt idx="789">
                  <c:v>46</c:v>
                </c:pt>
                <c:pt idx="791">
                  <c:v>16</c:v>
                </c:pt>
                <c:pt idx="794">
                  <c:v>25</c:v>
                </c:pt>
                <c:pt idx="795">
                  <c:v>39</c:v>
                </c:pt>
                <c:pt idx="796">
                  <c:v>49</c:v>
                </c:pt>
                <c:pt idx="797">
                  <c:v>31</c:v>
                </c:pt>
                <c:pt idx="798">
                  <c:v>30</c:v>
                </c:pt>
                <c:pt idx="799">
                  <c:v>30</c:v>
                </c:pt>
                <c:pt idx="800">
                  <c:v>34</c:v>
                </c:pt>
                <c:pt idx="801">
                  <c:v>31</c:v>
                </c:pt>
                <c:pt idx="802">
                  <c:v>11</c:v>
                </c:pt>
                <c:pt idx="803">
                  <c:v>0.42</c:v>
                </c:pt>
                <c:pt idx="804">
                  <c:v>27</c:v>
                </c:pt>
                <c:pt idx="805">
                  <c:v>31</c:v>
                </c:pt>
                <c:pt idx="806">
                  <c:v>39</c:v>
                </c:pt>
                <c:pt idx="807">
                  <c:v>18</c:v>
                </c:pt>
                <c:pt idx="808">
                  <c:v>39</c:v>
                </c:pt>
                <c:pt idx="809">
                  <c:v>33</c:v>
                </c:pt>
                <c:pt idx="810">
                  <c:v>26</c:v>
                </c:pt>
                <c:pt idx="811">
                  <c:v>39</c:v>
                </c:pt>
                <c:pt idx="812">
                  <c:v>35</c:v>
                </c:pt>
                <c:pt idx="813">
                  <c:v>6</c:v>
                </c:pt>
                <c:pt idx="814">
                  <c:v>30.5</c:v>
                </c:pt>
                <c:pt idx="816">
                  <c:v>23</c:v>
                </c:pt>
                <c:pt idx="817">
                  <c:v>31</c:v>
                </c:pt>
                <c:pt idx="818">
                  <c:v>43</c:v>
                </c:pt>
                <c:pt idx="819">
                  <c:v>10</c:v>
                </c:pt>
                <c:pt idx="820">
                  <c:v>52</c:v>
                </c:pt>
                <c:pt idx="821">
                  <c:v>27</c:v>
                </c:pt>
                <c:pt idx="822">
                  <c:v>38</c:v>
                </c:pt>
                <c:pt idx="823">
                  <c:v>27</c:v>
                </c:pt>
                <c:pt idx="824">
                  <c:v>2</c:v>
                </c:pt>
                <c:pt idx="827">
                  <c:v>1</c:v>
                </c:pt>
                <c:pt idx="829">
                  <c:v>62</c:v>
                </c:pt>
                <c:pt idx="830">
                  <c:v>15</c:v>
                </c:pt>
                <c:pt idx="831">
                  <c:v>0.83</c:v>
                </c:pt>
                <c:pt idx="833">
                  <c:v>23</c:v>
                </c:pt>
                <c:pt idx="834">
                  <c:v>18</c:v>
                </c:pt>
                <c:pt idx="835">
                  <c:v>39</c:v>
                </c:pt>
                <c:pt idx="836">
                  <c:v>21</c:v>
                </c:pt>
                <c:pt idx="838">
                  <c:v>32</c:v>
                </c:pt>
                <c:pt idx="840">
                  <c:v>20</c:v>
                </c:pt>
                <c:pt idx="841">
                  <c:v>16</c:v>
                </c:pt>
                <c:pt idx="842">
                  <c:v>30</c:v>
                </c:pt>
                <c:pt idx="843">
                  <c:v>34.5</c:v>
                </c:pt>
                <c:pt idx="844">
                  <c:v>17</c:v>
                </c:pt>
                <c:pt idx="845">
                  <c:v>42</c:v>
                </c:pt>
                <c:pt idx="847">
                  <c:v>35</c:v>
                </c:pt>
                <c:pt idx="848">
                  <c:v>28</c:v>
                </c:pt>
                <c:pt idx="850">
                  <c:v>4</c:v>
                </c:pt>
                <c:pt idx="851">
                  <c:v>74</c:v>
                </c:pt>
                <c:pt idx="852">
                  <c:v>9</c:v>
                </c:pt>
                <c:pt idx="853">
                  <c:v>16</c:v>
                </c:pt>
                <c:pt idx="854">
                  <c:v>44</c:v>
                </c:pt>
                <c:pt idx="855">
                  <c:v>18</c:v>
                </c:pt>
                <c:pt idx="856">
                  <c:v>45</c:v>
                </c:pt>
                <c:pt idx="857">
                  <c:v>51</c:v>
                </c:pt>
                <c:pt idx="858">
                  <c:v>24</c:v>
                </c:pt>
                <c:pt idx="860">
                  <c:v>41</c:v>
                </c:pt>
                <c:pt idx="861">
                  <c:v>21</c:v>
                </c:pt>
                <c:pt idx="862">
                  <c:v>48</c:v>
                </c:pt>
                <c:pt idx="864">
                  <c:v>24</c:v>
                </c:pt>
                <c:pt idx="865">
                  <c:v>42</c:v>
                </c:pt>
                <c:pt idx="866">
                  <c:v>27</c:v>
                </c:pt>
                <c:pt idx="867">
                  <c:v>31</c:v>
                </c:pt>
                <c:pt idx="869">
                  <c:v>4</c:v>
                </c:pt>
                <c:pt idx="870">
                  <c:v>26</c:v>
                </c:pt>
                <c:pt idx="871">
                  <c:v>47</c:v>
                </c:pt>
                <c:pt idx="872">
                  <c:v>33</c:v>
                </c:pt>
                <c:pt idx="873">
                  <c:v>47</c:v>
                </c:pt>
                <c:pt idx="874">
                  <c:v>28</c:v>
                </c:pt>
                <c:pt idx="875">
                  <c:v>15</c:v>
                </c:pt>
                <c:pt idx="876">
                  <c:v>20</c:v>
                </c:pt>
                <c:pt idx="877">
                  <c:v>19</c:v>
                </c:pt>
                <c:pt idx="879">
                  <c:v>56</c:v>
                </c:pt>
                <c:pt idx="880">
                  <c:v>25</c:v>
                </c:pt>
                <c:pt idx="881">
                  <c:v>33</c:v>
                </c:pt>
                <c:pt idx="882">
                  <c:v>22</c:v>
                </c:pt>
                <c:pt idx="883">
                  <c:v>28</c:v>
                </c:pt>
                <c:pt idx="884">
                  <c:v>25</c:v>
                </c:pt>
                <c:pt idx="885">
                  <c:v>39</c:v>
                </c:pt>
                <c:pt idx="886">
                  <c:v>27</c:v>
                </c:pt>
                <c:pt idx="887">
                  <c:v>19</c:v>
                </c:pt>
                <c:pt idx="889">
                  <c:v>26</c:v>
                </c:pt>
                <c:pt idx="890">
                  <c:v>32</c:v>
                </c:pt>
              </c:numCache>
            </c:numRef>
          </c:xVal>
          <c:yVal>
            <c:numRef>
              <c:f>univariate!$B$2:$B$892</c:f>
              <c:numCache>
                <c:formatCode>General</c:formatCode>
                <c:ptCount val="891"/>
                <c:pt idx="0">
                  <c:v>7.25</c:v>
                </c:pt>
                <c:pt idx="1">
                  <c:v>71.283299999999997</c:v>
                </c:pt>
                <c:pt idx="2">
                  <c:v>7.9249999999999998</c:v>
                </c:pt>
                <c:pt idx="3">
                  <c:v>53.1</c:v>
                </c:pt>
                <c:pt idx="4">
                  <c:v>8.0500000000000007</c:v>
                </c:pt>
                <c:pt idx="5">
                  <c:v>8.4582999999999995</c:v>
                </c:pt>
                <c:pt idx="6">
                  <c:v>51.862499999999997</c:v>
                </c:pt>
                <c:pt idx="7">
                  <c:v>21.074999999999999</c:v>
                </c:pt>
                <c:pt idx="8">
                  <c:v>11.1333</c:v>
                </c:pt>
                <c:pt idx="9">
                  <c:v>30.070799999999998</c:v>
                </c:pt>
                <c:pt idx="10">
                  <c:v>16.7</c:v>
                </c:pt>
                <c:pt idx="11">
                  <c:v>26.55</c:v>
                </c:pt>
                <c:pt idx="12">
                  <c:v>8.0500000000000007</c:v>
                </c:pt>
                <c:pt idx="13">
                  <c:v>31.274999999999999</c:v>
                </c:pt>
                <c:pt idx="14">
                  <c:v>7.8541999999999996</c:v>
                </c:pt>
                <c:pt idx="15">
                  <c:v>16</c:v>
                </c:pt>
                <c:pt idx="16">
                  <c:v>29.125</c:v>
                </c:pt>
                <c:pt idx="17">
                  <c:v>13</c:v>
                </c:pt>
                <c:pt idx="18">
                  <c:v>18</c:v>
                </c:pt>
                <c:pt idx="19">
                  <c:v>7.2249999999999996</c:v>
                </c:pt>
                <c:pt idx="20">
                  <c:v>26</c:v>
                </c:pt>
                <c:pt idx="21">
                  <c:v>13</c:v>
                </c:pt>
                <c:pt idx="22">
                  <c:v>8.0291999999999994</c:v>
                </c:pt>
                <c:pt idx="23">
                  <c:v>35.5</c:v>
                </c:pt>
                <c:pt idx="24">
                  <c:v>21.074999999999999</c:v>
                </c:pt>
                <c:pt idx="25">
                  <c:v>31.387499999999999</c:v>
                </c:pt>
                <c:pt idx="26">
                  <c:v>7.2249999999999996</c:v>
                </c:pt>
                <c:pt idx="27">
                  <c:v>263</c:v>
                </c:pt>
                <c:pt idx="28">
                  <c:v>7.8792</c:v>
                </c:pt>
                <c:pt idx="29">
                  <c:v>7.8958000000000004</c:v>
                </c:pt>
                <c:pt idx="30">
                  <c:v>27.720800000000001</c:v>
                </c:pt>
                <c:pt idx="31">
                  <c:v>146.52080000000001</c:v>
                </c:pt>
                <c:pt idx="32">
                  <c:v>7.75</c:v>
                </c:pt>
                <c:pt idx="33">
                  <c:v>10.5</c:v>
                </c:pt>
                <c:pt idx="34">
                  <c:v>82.1708</c:v>
                </c:pt>
                <c:pt idx="35">
                  <c:v>52</c:v>
                </c:pt>
                <c:pt idx="36">
                  <c:v>7.2291999999999996</c:v>
                </c:pt>
                <c:pt idx="37">
                  <c:v>8.0500000000000007</c:v>
                </c:pt>
                <c:pt idx="38">
                  <c:v>18</c:v>
                </c:pt>
                <c:pt idx="39">
                  <c:v>11.2417</c:v>
                </c:pt>
                <c:pt idx="40">
                  <c:v>9.4749999999999996</c:v>
                </c:pt>
                <c:pt idx="41">
                  <c:v>21</c:v>
                </c:pt>
                <c:pt idx="42">
                  <c:v>7.8958000000000004</c:v>
                </c:pt>
                <c:pt idx="43">
                  <c:v>41.5792</c:v>
                </c:pt>
                <c:pt idx="44">
                  <c:v>7.8792</c:v>
                </c:pt>
                <c:pt idx="45">
                  <c:v>8.0500000000000007</c:v>
                </c:pt>
                <c:pt idx="46">
                  <c:v>15.5</c:v>
                </c:pt>
                <c:pt idx="47">
                  <c:v>7.75</c:v>
                </c:pt>
                <c:pt idx="48">
                  <c:v>21.679200000000002</c:v>
                </c:pt>
                <c:pt idx="49">
                  <c:v>17.8</c:v>
                </c:pt>
                <c:pt idx="50">
                  <c:v>39.6875</c:v>
                </c:pt>
                <c:pt idx="51">
                  <c:v>7.8</c:v>
                </c:pt>
                <c:pt idx="52">
                  <c:v>76.729200000000006</c:v>
                </c:pt>
                <c:pt idx="53">
                  <c:v>26</c:v>
                </c:pt>
                <c:pt idx="54">
                  <c:v>61.979199999999999</c:v>
                </c:pt>
                <c:pt idx="55">
                  <c:v>35.5</c:v>
                </c:pt>
                <c:pt idx="56">
                  <c:v>10.5</c:v>
                </c:pt>
                <c:pt idx="57">
                  <c:v>7.2291999999999996</c:v>
                </c:pt>
                <c:pt idx="58">
                  <c:v>27.75</c:v>
                </c:pt>
                <c:pt idx="59">
                  <c:v>46.9</c:v>
                </c:pt>
                <c:pt idx="60">
                  <c:v>7.2291999999999996</c:v>
                </c:pt>
                <c:pt idx="61">
                  <c:v>80</c:v>
                </c:pt>
                <c:pt idx="62">
                  <c:v>83.474999999999994</c:v>
                </c:pt>
                <c:pt idx="63">
                  <c:v>27.9</c:v>
                </c:pt>
                <c:pt idx="64">
                  <c:v>27.720800000000001</c:v>
                </c:pt>
                <c:pt idx="65">
                  <c:v>15.245799999999999</c:v>
                </c:pt>
                <c:pt idx="66">
                  <c:v>10.5</c:v>
                </c:pt>
                <c:pt idx="67">
                  <c:v>8.1583000000000006</c:v>
                </c:pt>
                <c:pt idx="68">
                  <c:v>7.9249999999999998</c:v>
                </c:pt>
                <c:pt idx="69">
                  <c:v>8.6624999999999996</c:v>
                </c:pt>
                <c:pt idx="70">
                  <c:v>10.5</c:v>
                </c:pt>
                <c:pt idx="71">
                  <c:v>46.9</c:v>
                </c:pt>
                <c:pt idx="72">
                  <c:v>73.5</c:v>
                </c:pt>
                <c:pt idx="73">
                  <c:v>14.4542</c:v>
                </c:pt>
                <c:pt idx="74">
                  <c:v>56.495800000000003</c:v>
                </c:pt>
                <c:pt idx="75">
                  <c:v>7.65</c:v>
                </c:pt>
                <c:pt idx="76">
                  <c:v>7.8958000000000004</c:v>
                </c:pt>
                <c:pt idx="77">
                  <c:v>8.0500000000000007</c:v>
                </c:pt>
                <c:pt idx="78">
                  <c:v>29</c:v>
                </c:pt>
                <c:pt idx="79">
                  <c:v>12.475</c:v>
                </c:pt>
                <c:pt idx="80">
                  <c:v>9</c:v>
                </c:pt>
                <c:pt idx="81">
                  <c:v>9.5</c:v>
                </c:pt>
                <c:pt idx="82">
                  <c:v>7.7874999999999996</c:v>
                </c:pt>
                <c:pt idx="83">
                  <c:v>47.1</c:v>
                </c:pt>
                <c:pt idx="84">
                  <c:v>10.5</c:v>
                </c:pt>
                <c:pt idx="85">
                  <c:v>15.85</c:v>
                </c:pt>
                <c:pt idx="86">
                  <c:v>34.375</c:v>
                </c:pt>
                <c:pt idx="87">
                  <c:v>8.0500000000000007</c:v>
                </c:pt>
                <c:pt idx="88">
                  <c:v>263</c:v>
                </c:pt>
                <c:pt idx="89">
                  <c:v>8.0500000000000007</c:v>
                </c:pt>
                <c:pt idx="90">
                  <c:v>8.0500000000000007</c:v>
                </c:pt>
                <c:pt idx="91">
                  <c:v>7.8541999999999996</c:v>
                </c:pt>
                <c:pt idx="92">
                  <c:v>61.174999999999997</c:v>
                </c:pt>
                <c:pt idx="93">
                  <c:v>20.574999999999999</c:v>
                </c:pt>
                <c:pt idx="94">
                  <c:v>7.25</c:v>
                </c:pt>
                <c:pt idx="95">
                  <c:v>8.0500000000000007</c:v>
                </c:pt>
                <c:pt idx="96">
                  <c:v>34.654200000000003</c:v>
                </c:pt>
                <c:pt idx="97">
                  <c:v>63.3583</c:v>
                </c:pt>
                <c:pt idx="98">
                  <c:v>23</c:v>
                </c:pt>
                <c:pt idx="99">
                  <c:v>26</c:v>
                </c:pt>
                <c:pt idx="100">
                  <c:v>7.8958000000000004</c:v>
                </c:pt>
                <c:pt idx="101">
                  <c:v>7.8958000000000004</c:v>
                </c:pt>
                <c:pt idx="102">
                  <c:v>77.287499999999994</c:v>
                </c:pt>
                <c:pt idx="103">
                  <c:v>8.6541999999999994</c:v>
                </c:pt>
                <c:pt idx="104">
                  <c:v>7.9249999999999998</c:v>
                </c:pt>
                <c:pt idx="105">
                  <c:v>7.8958000000000004</c:v>
                </c:pt>
                <c:pt idx="106">
                  <c:v>7.65</c:v>
                </c:pt>
                <c:pt idx="107">
                  <c:v>7.7750000000000004</c:v>
                </c:pt>
                <c:pt idx="108">
                  <c:v>7.8958000000000004</c:v>
                </c:pt>
                <c:pt idx="109">
                  <c:v>24.15</c:v>
                </c:pt>
                <c:pt idx="110">
                  <c:v>52</c:v>
                </c:pt>
                <c:pt idx="111">
                  <c:v>14.4542</c:v>
                </c:pt>
                <c:pt idx="112">
                  <c:v>8.0500000000000007</c:v>
                </c:pt>
                <c:pt idx="113">
                  <c:v>9.8249999999999993</c:v>
                </c:pt>
                <c:pt idx="114">
                  <c:v>14.458299999999999</c:v>
                </c:pt>
                <c:pt idx="115">
                  <c:v>7.9249999999999998</c:v>
                </c:pt>
                <c:pt idx="116">
                  <c:v>7.75</c:v>
                </c:pt>
                <c:pt idx="117">
                  <c:v>21</c:v>
                </c:pt>
                <c:pt idx="118">
                  <c:v>247.52080000000001</c:v>
                </c:pt>
                <c:pt idx="119">
                  <c:v>31.274999999999999</c:v>
                </c:pt>
                <c:pt idx="120">
                  <c:v>73.5</c:v>
                </c:pt>
                <c:pt idx="121">
                  <c:v>8.0500000000000007</c:v>
                </c:pt>
                <c:pt idx="122">
                  <c:v>30.070799999999998</c:v>
                </c:pt>
                <c:pt idx="123">
                  <c:v>13</c:v>
                </c:pt>
                <c:pt idx="124">
                  <c:v>77.287499999999994</c:v>
                </c:pt>
                <c:pt idx="125">
                  <c:v>11.2417</c:v>
                </c:pt>
                <c:pt idx="126">
                  <c:v>7.75</c:v>
                </c:pt>
                <c:pt idx="127">
                  <c:v>7.1417000000000002</c:v>
                </c:pt>
                <c:pt idx="128">
                  <c:v>22.3583</c:v>
                </c:pt>
                <c:pt idx="129">
                  <c:v>6.9749999999999996</c:v>
                </c:pt>
                <c:pt idx="130">
                  <c:v>7.8958000000000004</c:v>
                </c:pt>
                <c:pt idx="131">
                  <c:v>7.05</c:v>
                </c:pt>
                <c:pt idx="132">
                  <c:v>14.5</c:v>
                </c:pt>
                <c:pt idx="133">
                  <c:v>26</c:v>
                </c:pt>
                <c:pt idx="134">
                  <c:v>13</c:v>
                </c:pt>
                <c:pt idx="135">
                  <c:v>15.0458</c:v>
                </c:pt>
                <c:pt idx="136">
                  <c:v>26.283300000000001</c:v>
                </c:pt>
                <c:pt idx="137">
                  <c:v>53.1</c:v>
                </c:pt>
                <c:pt idx="138">
                  <c:v>9.2166999999999994</c:v>
                </c:pt>
                <c:pt idx="139">
                  <c:v>79.2</c:v>
                </c:pt>
                <c:pt idx="140">
                  <c:v>15.245799999999999</c:v>
                </c:pt>
                <c:pt idx="141">
                  <c:v>7.75</c:v>
                </c:pt>
                <c:pt idx="142">
                  <c:v>15.85</c:v>
                </c:pt>
                <c:pt idx="143">
                  <c:v>6.75</c:v>
                </c:pt>
                <c:pt idx="144">
                  <c:v>11.5</c:v>
                </c:pt>
                <c:pt idx="145">
                  <c:v>36.75</c:v>
                </c:pt>
                <c:pt idx="146">
                  <c:v>7.7957999999999998</c:v>
                </c:pt>
                <c:pt idx="147">
                  <c:v>34.375</c:v>
                </c:pt>
                <c:pt idx="148">
                  <c:v>26</c:v>
                </c:pt>
                <c:pt idx="149">
                  <c:v>13</c:v>
                </c:pt>
                <c:pt idx="150">
                  <c:v>12.525</c:v>
                </c:pt>
                <c:pt idx="151">
                  <c:v>66.599999999999994</c:v>
                </c:pt>
                <c:pt idx="152">
                  <c:v>8.0500000000000007</c:v>
                </c:pt>
                <c:pt idx="153">
                  <c:v>14.5</c:v>
                </c:pt>
                <c:pt idx="154">
                  <c:v>7.3125</c:v>
                </c:pt>
                <c:pt idx="155">
                  <c:v>61.379199999999997</c:v>
                </c:pt>
                <c:pt idx="156">
                  <c:v>7.7332999999999998</c:v>
                </c:pt>
                <c:pt idx="157">
                  <c:v>8.0500000000000007</c:v>
                </c:pt>
                <c:pt idx="158">
                  <c:v>8.6624999999999996</c:v>
                </c:pt>
                <c:pt idx="159">
                  <c:v>69.55</c:v>
                </c:pt>
                <c:pt idx="160">
                  <c:v>16.100000000000001</c:v>
                </c:pt>
                <c:pt idx="161">
                  <c:v>15.75</c:v>
                </c:pt>
                <c:pt idx="162">
                  <c:v>7.7750000000000004</c:v>
                </c:pt>
                <c:pt idx="163">
                  <c:v>8.6624999999999996</c:v>
                </c:pt>
                <c:pt idx="164">
                  <c:v>39.6875</c:v>
                </c:pt>
                <c:pt idx="165">
                  <c:v>20.524999999999999</c:v>
                </c:pt>
                <c:pt idx="166">
                  <c:v>55</c:v>
                </c:pt>
                <c:pt idx="167">
                  <c:v>27.9</c:v>
                </c:pt>
                <c:pt idx="168">
                  <c:v>25.925000000000001</c:v>
                </c:pt>
                <c:pt idx="169">
                  <c:v>56.495800000000003</c:v>
                </c:pt>
                <c:pt idx="170">
                  <c:v>33.5</c:v>
                </c:pt>
                <c:pt idx="171">
                  <c:v>29.125</c:v>
                </c:pt>
                <c:pt idx="172">
                  <c:v>11.1333</c:v>
                </c:pt>
                <c:pt idx="173">
                  <c:v>7.9249999999999998</c:v>
                </c:pt>
                <c:pt idx="174">
                  <c:v>30.695799999999998</c:v>
                </c:pt>
                <c:pt idx="175">
                  <c:v>7.8541999999999996</c:v>
                </c:pt>
                <c:pt idx="176">
                  <c:v>25.466699999999999</c:v>
                </c:pt>
                <c:pt idx="177">
                  <c:v>28.712499999999999</c:v>
                </c:pt>
                <c:pt idx="178">
                  <c:v>13</c:v>
                </c:pt>
                <c:pt idx="179">
                  <c:v>0</c:v>
                </c:pt>
                <c:pt idx="180">
                  <c:v>69.55</c:v>
                </c:pt>
                <c:pt idx="181">
                  <c:v>15.05</c:v>
                </c:pt>
                <c:pt idx="182">
                  <c:v>31.387499999999999</c:v>
                </c:pt>
                <c:pt idx="183">
                  <c:v>39</c:v>
                </c:pt>
                <c:pt idx="184">
                  <c:v>22.024999999999999</c:v>
                </c:pt>
                <c:pt idx="185">
                  <c:v>50</c:v>
                </c:pt>
                <c:pt idx="186">
                  <c:v>15.5</c:v>
                </c:pt>
                <c:pt idx="187">
                  <c:v>26.55</c:v>
                </c:pt>
                <c:pt idx="188">
                  <c:v>15.5</c:v>
                </c:pt>
                <c:pt idx="189">
                  <c:v>7.8958000000000004</c:v>
                </c:pt>
                <c:pt idx="190">
                  <c:v>13</c:v>
                </c:pt>
                <c:pt idx="191">
                  <c:v>13</c:v>
                </c:pt>
                <c:pt idx="192">
                  <c:v>7.8541999999999996</c:v>
                </c:pt>
                <c:pt idx="193">
                  <c:v>26</c:v>
                </c:pt>
                <c:pt idx="194">
                  <c:v>27.720800000000001</c:v>
                </c:pt>
                <c:pt idx="195">
                  <c:v>146.52080000000001</c:v>
                </c:pt>
                <c:pt idx="196">
                  <c:v>7.75</c:v>
                </c:pt>
                <c:pt idx="197">
                  <c:v>8.4041999999999994</c:v>
                </c:pt>
                <c:pt idx="198">
                  <c:v>7.75</c:v>
                </c:pt>
                <c:pt idx="199">
                  <c:v>13</c:v>
                </c:pt>
                <c:pt idx="200">
                  <c:v>9.5</c:v>
                </c:pt>
                <c:pt idx="201">
                  <c:v>69.55</c:v>
                </c:pt>
                <c:pt idx="202">
                  <c:v>6.4958</c:v>
                </c:pt>
                <c:pt idx="203">
                  <c:v>7.2249999999999996</c:v>
                </c:pt>
                <c:pt idx="204">
                  <c:v>8.0500000000000007</c:v>
                </c:pt>
                <c:pt idx="205">
                  <c:v>10.4625</c:v>
                </c:pt>
                <c:pt idx="206">
                  <c:v>15.85</c:v>
                </c:pt>
                <c:pt idx="207">
                  <c:v>18.787500000000001</c:v>
                </c:pt>
                <c:pt idx="208">
                  <c:v>7.75</c:v>
                </c:pt>
                <c:pt idx="209">
                  <c:v>31</c:v>
                </c:pt>
                <c:pt idx="210">
                  <c:v>7.05</c:v>
                </c:pt>
                <c:pt idx="211">
                  <c:v>21</c:v>
                </c:pt>
                <c:pt idx="212">
                  <c:v>7.25</c:v>
                </c:pt>
                <c:pt idx="213">
                  <c:v>13</c:v>
                </c:pt>
                <c:pt idx="214">
                  <c:v>7.75</c:v>
                </c:pt>
                <c:pt idx="215">
                  <c:v>113.27500000000001</c:v>
                </c:pt>
                <c:pt idx="216">
                  <c:v>7.9249999999999998</c:v>
                </c:pt>
                <c:pt idx="217">
                  <c:v>27</c:v>
                </c:pt>
                <c:pt idx="218">
                  <c:v>76.291700000000006</c:v>
                </c:pt>
                <c:pt idx="219">
                  <c:v>10.5</c:v>
                </c:pt>
                <c:pt idx="220">
                  <c:v>8.0500000000000007</c:v>
                </c:pt>
                <c:pt idx="221">
                  <c:v>13</c:v>
                </c:pt>
                <c:pt idx="222">
                  <c:v>8.0500000000000007</c:v>
                </c:pt>
                <c:pt idx="223">
                  <c:v>7.8958000000000004</c:v>
                </c:pt>
                <c:pt idx="224">
                  <c:v>90</c:v>
                </c:pt>
                <c:pt idx="225">
                  <c:v>9.35</c:v>
                </c:pt>
                <c:pt idx="226">
                  <c:v>10.5</c:v>
                </c:pt>
                <c:pt idx="227">
                  <c:v>7.25</c:v>
                </c:pt>
                <c:pt idx="228">
                  <c:v>13</c:v>
                </c:pt>
                <c:pt idx="229">
                  <c:v>25.466699999999999</c:v>
                </c:pt>
                <c:pt idx="230">
                  <c:v>83.474999999999994</c:v>
                </c:pt>
                <c:pt idx="231">
                  <c:v>7.7750000000000004</c:v>
                </c:pt>
                <c:pt idx="232">
                  <c:v>13.5</c:v>
                </c:pt>
                <c:pt idx="233">
                  <c:v>31.387499999999999</c:v>
                </c:pt>
                <c:pt idx="234">
                  <c:v>10.5</c:v>
                </c:pt>
                <c:pt idx="235">
                  <c:v>7.55</c:v>
                </c:pt>
                <c:pt idx="236">
                  <c:v>26</c:v>
                </c:pt>
                <c:pt idx="237">
                  <c:v>26.25</c:v>
                </c:pt>
                <c:pt idx="238">
                  <c:v>10.5</c:v>
                </c:pt>
                <c:pt idx="239">
                  <c:v>12.275</c:v>
                </c:pt>
                <c:pt idx="240">
                  <c:v>14.4542</c:v>
                </c:pt>
                <c:pt idx="241">
                  <c:v>15.5</c:v>
                </c:pt>
                <c:pt idx="242">
                  <c:v>10.5</c:v>
                </c:pt>
                <c:pt idx="243">
                  <c:v>7.125</c:v>
                </c:pt>
                <c:pt idx="244">
                  <c:v>7.2249999999999996</c:v>
                </c:pt>
                <c:pt idx="245">
                  <c:v>90</c:v>
                </c:pt>
                <c:pt idx="246">
                  <c:v>7.7750000000000004</c:v>
                </c:pt>
                <c:pt idx="247">
                  <c:v>14.5</c:v>
                </c:pt>
                <c:pt idx="248">
                  <c:v>52.554200000000002</c:v>
                </c:pt>
                <c:pt idx="249">
                  <c:v>26</c:v>
                </c:pt>
                <c:pt idx="250">
                  <c:v>7.25</c:v>
                </c:pt>
                <c:pt idx="251">
                  <c:v>10.4625</c:v>
                </c:pt>
                <c:pt idx="252">
                  <c:v>26.55</c:v>
                </c:pt>
                <c:pt idx="253">
                  <c:v>16.100000000000001</c:v>
                </c:pt>
                <c:pt idx="254">
                  <c:v>20.212499999999999</c:v>
                </c:pt>
                <c:pt idx="255">
                  <c:v>15.245799999999999</c:v>
                </c:pt>
                <c:pt idx="256">
                  <c:v>79.2</c:v>
                </c:pt>
                <c:pt idx="257">
                  <c:v>86.5</c:v>
                </c:pt>
                <c:pt idx="258">
                  <c:v>512.32920000000001</c:v>
                </c:pt>
                <c:pt idx="259">
                  <c:v>26</c:v>
                </c:pt>
                <c:pt idx="260">
                  <c:v>7.75</c:v>
                </c:pt>
                <c:pt idx="261">
                  <c:v>31.387499999999999</c:v>
                </c:pt>
                <c:pt idx="262">
                  <c:v>79.650000000000006</c:v>
                </c:pt>
                <c:pt idx="263">
                  <c:v>0</c:v>
                </c:pt>
                <c:pt idx="264">
                  <c:v>7.75</c:v>
                </c:pt>
                <c:pt idx="265">
                  <c:v>10.5</c:v>
                </c:pt>
                <c:pt idx="266">
                  <c:v>39.6875</c:v>
                </c:pt>
                <c:pt idx="267">
                  <c:v>7.7750000000000004</c:v>
                </c:pt>
                <c:pt idx="268">
                  <c:v>153.46250000000001</c:v>
                </c:pt>
                <c:pt idx="269">
                  <c:v>135.63329999999999</c:v>
                </c:pt>
                <c:pt idx="270">
                  <c:v>31</c:v>
                </c:pt>
                <c:pt idx="271">
                  <c:v>0</c:v>
                </c:pt>
                <c:pt idx="272">
                  <c:v>19.5</c:v>
                </c:pt>
                <c:pt idx="273">
                  <c:v>29.7</c:v>
                </c:pt>
                <c:pt idx="274">
                  <c:v>7.75</c:v>
                </c:pt>
                <c:pt idx="275">
                  <c:v>77.958299999999994</c:v>
                </c:pt>
                <c:pt idx="276">
                  <c:v>7.75</c:v>
                </c:pt>
                <c:pt idx="277">
                  <c:v>0</c:v>
                </c:pt>
                <c:pt idx="278">
                  <c:v>29.125</c:v>
                </c:pt>
                <c:pt idx="279">
                  <c:v>20.25</c:v>
                </c:pt>
                <c:pt idx="280">
                  <c:v>7.75</c:v>
                </c:pt>
                <c:pt idx="281">
                  <c:v>7.8541999999999996</c:v>
                </c:pt>
                <c:pt idx="282">
                  <c:v>9.5</c:v>
                </c:pt>
                <c:pt idx="283">
                  <c:v>8.0500000000000007</c:v>
                </c:pt>
                <c:pt idx="284">
                  <c:v>26</c:v>
                </c:pt>
                <c:pt idx="285">
                  <c:v>8.6624999999999996</c:v>
                </c:pt>
                <c:pt idx="286">
                  <c:v>9.5</c:v>
                </c:pt>
                <c:pt idx="287">
                  <c:v>7.8958000000000004</c:v>
                </c:pt>
                <c:pt idx="288">
                  <c:v>13</c:v>
                </c:pt>
                <c:pt idx="289">
                  <c:v>7.75</c:v>
                </c:pt>
                <c:pt idx="290">
                  <c:v>78.849999999999994</c:v>
                </c:pt>
                <c:pt idx="291">
                  <c:v>91.0792</c:v>
                </c:pt>
                <c:pt idx="292">
                  <c:v>12.875</c:v>
                </c:pt>
                <c:pt idx="293">
                  <c:v>8.85</c:v>
                </c:pt>
                <c:pt idx="294">
                  <c:v>7.8958000000000004</c:v>
                </c:pt>
                <c:pt idx="295">
                  <c:v>27.720800000000001</c:v>
                </c:pt>
                <c:pt idx="296">
                  <c:v>7.2291999999999996</c:v>
                </c:pt>
                <c:pt idx="297">
                  <c:v>151.55000000000001</c:v>
                </c:pt>
                <c:pt idx="298">
                  <c:v>30.5</c:v>
                </c:pt>
                <c:pt idx="299">
                  <c:v>247.52080000000001</c:v>
                </c:pt>
                <c:pt idx="300">
                  <c:v>7.75</c:v>
                </c:pt>
                <c:pt idx="301">
                  <c:v>23.25</c:v>
                </c:pt>
                <c:pt idx="302">
                  <c:v>0</c:v>
                </c:pt>
                <c:pt idx="303">
                  <c:v>12.35</c:v>
                </c:pt>
                <c:pt idx="304">
                  <c:v>8.0500000000000007</c:v>
                </c:pt>
                <c:pt idx="305">
                  <c:v>151.55000000000001</c:v>
                </c:pt>
                <c:pt idx="306">
                  <c:v>110.88330000000001</c:v>
                </c:pt>
                <c:pt idx="307">
                  <c:v>108.9</c:v>
                </c:pt>
                <c:pt idx="308">
                  <c:v>24</c:v>
                </c:pt>
                <c:pt idx="309">
                  <c:v>56.929200000000002</c:v>
                </c:pt>
                <c:pt idx="310">
                  <c:v>83.158299999999997</c:v>
                </c:pt>
                <c:pt idx="311">
                  <c:v>262.375</c:v>
                </c:pt>
                <c:pt idx="312">
                  <c:v>26</c:v>
                </c:pt>
                <c:pt idx="313">
                  <c:v>7.8958000000000004</c:v>
                </c:pt>
                <c:pt idx="314">
                  <c:v>26.25</c:v>
                </c:pt>
                <c:pt idx="315">
                  <c:v>7.8541999999999996</c:v>
                </c:pt>
                <c:pt idx="316">
                  <c:v>26</c:v>
                </c:pt>
                <c:pt idx="317">
                  <c:v>14</c:v>
                </c:pt>
                <c:pt idx="318">
                  <c:v>164.86670000000001</c:v>
                </c:pt>
                <c:pt idx="319">
                  <c:v>134.5</c:v>
                </c:pt>
                <c:pt idx="320">
                  <c:v>7.25</c:v>
                </c:pt>
                <c:pt idx="321">
                  <c:v>7.8958000000000004</c:v>
                </c:pt>
                <c:pt idx="322">
                  <c:v>12.35</c:v>
                </c:pt>
                <c:pt idx="323">
                  <c:v>29</c:v>
                </c:pt>
                <c:pt idx="324">
                  <c:v>69.55</c:v>
                </c:pt>
                <c:pt idx="325">
                  <c:v>135.63329999999999</c:v>
                </c:pt>
                <c:pt idx="326">
                  <c:v>6.2374999999999998</c:v>
                </c:pt>
                <c:pt idx="327">
                  <c:v>13</c:v>
                </c:pt>
                <c:pt idx="328">
                  <c:v>20.524999999999999</c:v>
                </c:pt>
                <c:pt idx="329">
                  <c:v>57.979199999999999</c:v>
                </c:pt>
                <c:pt idx="330">
                  <c:v>23.25</c:v>
                </c:pt>
                <c:pt idx="331">
                  <c:v>28.5</c:v>
                </c:pt>
                <c:pt idx="332">
                  <c:v>153.46250000000001</c:v>
                </c:pt>
                <c:pt idx="333">
                  <c:v>18</c:v>
                </c:pt>
                <c:pt idx="334">
                  <c:v>133.65</c:v>
                </c:pt>
                <c:pt idx="335">
                  <c:v>7.8958000000000004</c:v>
                </c:pt>
                <c:pt idx="336">
                  <c:v>66.599999999999994</c:v>
                </c:pt>
                <c:pt idx="337">
                  <c:v>134.5</c:v>
                </c:pt>
                <c:pt idx="338">
                  <c:v>8.0500000000000007</c:v>
                </c:pt>
                <c:pt idx="339">
                  <c:v>35.5</c:v>
                </c:pt>
                <c:pt idx="340">
                  <c:v>26</c:v>
                </c:pt>
                <c:pt idx="341">
                  <c:v>263</c:v>
                </c:pt>
                <c:pt idx="342">
                  <c:v>13</c:v>
                </c:pt>
                <c:pt idx="343">
                  <c:v>13</c:v>
                </c:pt>
                <c:pt idx="344">
                  <c:v>13</c:v>
                </c:pt>
                <c:pt idx="345">
                  <c:v>13</c:v>
                </c:pt>
                <c:pt idx="346">
                  <c:v>13</c:v>
                </c:pt>
                <c:pt idx="347">
                  <c:v>16.100000000000001</c:v>
                </c:pt>
                <c:pt idx="348">
                  <c:v>15.9</c:v>
                </c:pt>
                <c:pt idx="349">
                  <c:v>8.6624999999999996</c:v>
                </c:pt>
                <c:pt idx="350">
                  <c:v>9.2249999999999996</c:v>
                </c:pt>
                <c:pt idx="351">
                  <c:v>35</c:v>
                </c:pt>
                <c:pt idx="352">
                  <c:v>7.2291999999999996</c:v>
                </c:pt>
                <c:pt idx="353">
                  <c:v>17.8</c:v>
                </c:pt>
                <c:pt idx="354">
                  <c:v>7.2249999999999996</c:v>
                </c:pt>
                <c:pt idx="355">
                  <c:v>9.5</c:v>
                </c:pt>
                <c:pt idx="356">
                  <c:v>55</c:v>
                </c:pt>
                <c:pt idx="357">
                  <c:v>13</c:v>
                </c:pt>
                <c:pt idx="358">
                  <c:v>7.8792</c:v>
                </c:pt>
                <c:pt idx="359">
                  <c:v>7.8792</c:v>
                </c:pt>
                <c:pt idx="360">
                  <c:v>27.9</c:v>
                </c:pt>
                <c:pt idx="361">
                  <c:v>27.720800000000001</c:v>
                </c:pt>
                <c:pt idx="362">
                  <c:v>14.4542</c:v>
                </c:pt>
                <c:pt idx="363">
                  <c:v>7.05</c:v>
                </c:pt>
                <c:pt idx="364">
                  <c:v>15.5</c:v>
                </c:pt>
                <c:pt idx="365">
                  <c:v>7.25</c:v>
                </c:pt>
                <c:pt idx="366">
                  <c:v>75.25</c:v>
                </c:pt>
                <c:pt idx="367">
                  <c:v>7.2291999999999996</c:v>
                </c:pt>
                <c:pt idx="368">
                  <c:v>7.75</c:v>
                </c:pt>
                <c:pt idx="369">
                  <c:v>69.3</c:v>
                </c:pt>
                <c:pt idx="370">
                  <c:v>55.441699999999997</c:v>
                </c:pt>
                <c:pt idx="371">
                  <c:v>6.4958</c:v>
                </c:pt>
                <c:pt idx="372">
                  <c:v>8.0500000000000007</c:v>
                </c:pt>
                <c:pt idx="373">
                  <c:v>135.63329999999999</c:v>
                </c:pt>
                <c:pt idx="374">
                  <c:v>21.074999999999999</c:v>
                </c:pt>
                <c:pt idx="375">
                  <c:v>82.1708</c:v>
                </c:pt>
                <c:pt idx="376">
                  <c:v>7.25</c:v>
                </c:pt>
                <c:pt idx="377">
                  <c:v>211.5</c:v>
                </c:pt>
                <c:pt idx="378">
                  <c:v>4.0125000000000002</c:v>
                </c:pt>
                <c:pt idx="379">
                  <c:v>7.7750000000000004</c:v>
                </c:pt>
                <c:pt idx="380">
                  <c:v>227.52500000000001</c:v>
                </c:pt>
                <c:pt idx="381">
                  <c:v>15.7417</c:v>
                </c:pt>
                <c:pt idx="382">
                  <c:v>7.9249999999999998</c:v>
                </c:pt>
                <c:pt idx="383">
                  <c:v>52</c:v>
                </c:pt>
                <c:pt idx="384">
                  <c:v>7.8958000000000004</c:v>
                </c:pt>
                <c:pt idx="385">
                  <c:v>73.5</c:v>
                </c:pt>
                <c:pt idx="386">
                  <c:v>46.9</c:v>
                </c:pt>
                <c:pt idx="387">
                  <c:v>13</c:v>
                </c:pt>
                <c:pt idx="388">
                  <c:v>7.7291999999999996</c:v>
                </c:pt>
                <c:pt idx="389">
                  <c:v>12</c:v>
                </c:pt>
                <c:pt idx="390">
                  <c:v>120</c:v>
                </c:pt>
                <c:pt idx="391">
                  <c:v>7.7957999999999998</c:v>
                </c:pt>
                <c:pt idx="392">
                  <c:v>7.9249999999999998</c:v>
                </c:pt>
                <c:pt idx="393">
                  <c:v>113.27500000000001</c:v>
                </c:pt>
                <c:pt idx="394">
                  <c:v>16.7</c:v>
                </c:pt>
                <c:pt idx="395">
                  <c:v>7.7957999999999998</c:v>
                </c:pt>
                <c:pt idx="396">
                  <c:v>7.8541999999999996</c:v>
                </c:pt>
                <c:pt idx="397">
                  <c:v>26</c:v>
                </c:pt>
                <c:pt idx="398">
                  <c:v>10.5</c:v>
                </c:pt>
                <c:pt idx="399">
                  <c:v>12.65</c:v>
                </c:pt>
                <c:pt idx="400">
                  <c:v>7.9249999999999998</c:v>
                </c:pt>
                <c:pt idx="401">
                  <c:v>8.0500000000000007</c:v>
                </c:pt>
                <c:pt idx="402">
                  <c:v>9.8249999999999993</c:v>
                </c:pt>
                <c:pt idx="403">
                  <c:v>15.85</c:v>
                </c:pt>
                <c:pt idx="404">
                  <c:v>8.6624999999999996</c:v>
                </c:pt>
                <c:pt idx="405">
                  <c:v>21</c:v>
                </c:pt>
                <c:pt idx="406">
                  <c:v>7.75</c:v>
                </c:pt>
                <c:pt idx="407">
                  <c:v>18.75</c:v>
                </c:pt>
                <c:pt idx="408">
                  <c:v>7.7750000000000004</c:v>
                </c:pt>
                <c:pt idx="409">
                  <c:v>25.466699999999999</c:v>
                </c:pt>
                <c:pt idx="410">
                  <c:v>7.8958000000000004</c:v>
                </c:pt>
                <c:pt idx="411">
                  <c:v>6.8582999999999998</c:v>
                </c:pt>
                <c:pt idx="412">
                  <c:v>90</c:v>
                </c:pt>
                <c:pt idx="413">
                  <c:v>0</c:v>
                </c:pt>
                <c:pt idx="414">
                  <c:v>7.9249999999999998</c:v>
                </c:pt>
                <c:pt idx="415">
                  <c:v>8.0500000000000007</c:v>
                </c:pt>
                <c:pt idx="416">
                  <c:v>32.5</c:v>
                </c:pt>
                <c:pt idx="417">
                  <c:v>13</c:v>
                </c:pt>
                <c:pt idx="418">
                  <c:v>13</c:v>
                </c:pt>
                <c:pt idx="419">
                  <c:v>24.15</c:v>
                </c:pt>
                <c:pt idx="420">
                  <c:v>7.8958000000000004</c:v>
                </c:pt>
                <c:pt idx="421">
                  <c:v>7.7332999999999998</c:v>
                </c:pt>
                <c:pt idx="422">
                  <c:v>7.875</c:v>
                </c:pt>
                <c:pt idx="423">
                  <c:v>14.4</c:v>
                </c:pt>
                <c:pt idx="424">
                  <c:v>20.212499999999999</c:v>
                </c:pt>
                <c:pt idx="425">
                  <c:v>7.25</c:v>
                </c:pt>
                <c:pt idx="426">
                  <c:v>26</c:v>
                </c:pt>
                <c:pt idx="427">
                  <c:v>26</c:v>
                </c:pt>
                <c:pt idx="428">
                  <c:v>7.75</c:v>
                </c:pt>
                <c:pt idx="429">
                  <c:v>8.0500000000000007</c:v>
                </c:pt>
                <c:pt idx="430">
                  <c:v>26.55</c:v>
                </c:pt>
                <c:pt idx="431">
                  <c:v>16.100000000000001</c:v>
                </c:pt>
                <c:pt idx="432">
                  <c:v>26</c:v>
                </c:pt>
                <c:pt idx="433">
                  <c:v>7.125</c:v>
                </c:pt>
                <c:pt idx="434">
                  <c:v>55.9</c:v>
                </c:pt>
                <c:pt idx="435">
                  <c:v>120</c:v>
                </c:pt>
                <c:pt idx="436">
                  <c:v>34.375</c:v>
                </c:pt>
                <c:pt idx="437">
                  <c:v>18.75</c:v>
                </c:pt>
                <c:pt idx="438">
                  <c:v>263</c:v>
                </c:pt>
                <c:pt idx="439">
                  <c:v>10.5</c:v>
                </c:pt>
                <c:pt idx="440">
                  <c:v>26.25</c:v>
                </c:pt>
                <c:pt idx="441">
                  <c:v>9.5</c:v>
                </c:pt>
                <c:pt idx="442">
                  <c:v>7.7750000000000004</c:v>
                </c:pt>
                <c:pt idx="443">
                  <c:v>13</c:v>
                </c:pt>
                <c:pt idx="444">
                  <c:v>8.1125000000000007</c:v>
                </c:pt>
                <c:pt idx="445">
                  <c:v>81.8583</c:v>
                </c:pt>
                <c:pt idx="446">
                  <c:v>19.5</c:v>
                </c:pt>
                <c:pt idx="447">
                  <c:v>26.55</c:v>
                </c:pt>
                <c:pt idx="448">
                  <c:v>19.258299999999998</c:v>
                </c:pt>
                <c:pt idx="449">
                  <c:v>30.5</c:v>
                </c:pt>
                <c:pt idx="450">
                  <c:v>27.75</c:v>
                </c:pt>
                <c:pt idx="451">
                  <c:v>19.966699999999999</c:v>
                </c:pt>
                <c:pt idx="452">
                  <c:v>27.75</c:v>
                </c:pt>
                <c:pt idx="453">
                  <c:v>89.104200000000006</c:v>
                </c:pt>
                <c:pt idx="454">
                  <c:v>8.0500000000000007</c:v>
                </c:pt>
                <c:pt idx="455">
                  <c:v>7.8958000000000004</c:v>
                </c:pt>
                <c:pt idx="456">
                  <c:v>26.55</c:v>
                </c:pt>
                <c:pt idx="457">
                  <c:v>51.862499999999997</c:v>
                </c:pt>
                <c:pt idx="458">
                  <c:v>10.5</c:v>
                </c:pt>
                <c:pt idx="459">
                  <c:v>7.75</c:v>
                </c:pt>
                <c:pt idx="460">
                  <c:v>26.55</c:v>
                </c:pt>
                <c:pt idx="461">
                  <c:v>8.0500000000000007</c:v>
                </c:pt>
                <c:pt idx="462">
                  <c:v>38.5</c:v>
                </c:pt>
                <c:pt idx="463">
                  <c:v>13</c:v>
                </c:pt>
                <c:pt idx="464">
                  <c:v>8.0500000000000007</c:v>
                </c:pt>
                <c:pt idx="465">
                  <c:v>7.05</c:v>
                </c:pt>
                <c:pt idx="466">
                  <c:v>0</c:v>
                </c:pt>
                <c:pt idx="467">
                  <c:v>26.55</c:v>
                </c:pt>
                <c:pt idx="468">
                  <c:v>7.7249999999999996</c:v>
                </c:pt>
                <c:pt idx="469">
                  <c:v>19.258299999999998</c:v>
                </c:pt>
                <c:pt idx="470">
                  <c:v>7.25</c:v>
                </c:pt>
                <c:pt idx="471">
                  <c:v>8.6624999999999996</c:v>
                </c:pt>
                <c:pt idx="472">
                  <c:v>27.75</c:v>
                </c:pt>
                <c:pt idx="473">
                  <c:v>13.791700000000001</c:v>
                </c:pt>
                <c:pt idx="474">
                  <c:v>9.8375000000000004</c:v>
                </c:pt>
                <c:pt idx="475">
                  <c:v>52</c:v>
                </c:pt>
                <c:pt idx="476">
                  <c:v>21</c:v>
                </c:pt>
                <c:pt idx="477">
                  <c:v>7.0457999999999998</c:v>
                </c:pt>
                <c:pt idx="478">
                  <c:v>7.5208000000000004</c:v>
                </c:pt>
                <c:pt idx="479">
                  <c:v>12.2875</c:v>
                </c:pt>
                <c:pt idx="480">
                  <c:v>46.9</c:v>
                </c:pt>
                <c:pt idx="481">
                  <c:v>0</c:v>
                </c:pt>
                <c:pt idx="482">
                  <c:v>8.0500000000000007</c:v>
                </c:pt>
                <c:pt idx="483">
                  <c:v>9.5875000000000004</c:v>
                </c:pt>
                <c:pt idx="484">
                  <c:v>91.0792</c:v>
                </c:pt>
                <c:pt idx="485">
                  <c:v>25.466699999999999</c:v>
                </c:pt>
                <c:pt idx="486">
                  <c:v>90</c:v>
                </c:pt>
                <c:pt idx="487">
                  <c:v>29.7</c:v>
                </c:pt>
                <c:pt idx="488">
                  <c:v>8.0500000000000007</c:v>
                </c:pt>
                <c:pt idx="489">
                  <c:v>15.9</c:v>
                </c:pt>
                <c:pt idx="490">
                  <c:v>19.966699999999999</c:v>
                </c:pt>
                <c:pt idx="491">
                  <c:v>7.25</c:v>
                </c:pt>
                <c:pt idx="492">
                  <c:v>30.5</c:v>
                </c:pt>
                <c:pt idx="493">
                  <c:v>49.504199999999997</c:v>
                </c:pt>
                <c:pt idx="494">
                  <c:v>8.0500000000000007</c:v>
                </c:pt>
                <c:pt idx="495">
                  <c:v>14.458299999999999</c:v>
                </c:pt>
                <c:pt idx="496">
                  <c:v>78.2667</c:v>
                </c:pt>
                <c:pt idx="497">
                  <c:v>15.1</c:v>
                </c:pt>
                <c:pt idx="498">
                  <c:v>151.55000000000001</c:v>
                </c:pt>
                <c:pt idx="499">
                  <c:v>7.7957999999999998</c:v>
                </c:pt>
                <c:pt idx="500">
                  <c:v>8.6624999999999996</c:v>
                </c:pt>
                <c:pt idx="501">
                  <c:v>7.75</c:v>
                </c:pt>
                <c:pt idx="502">
                  <c:v>7.6292</c:v>
                </c:pt>
                <c:pt idx="503">
                  <c:v>9.5875000000000004</c:v>
                </c:pt>
                <c:pt idx="504">
                  <c:v>86.5</c:v>
                </c:pt>
                <c:pt idx="505">
                  <c:v>108.9</c:v>
                </c:pt>
                <c:pt idx="506">
                  <c:v>26</c:v>
                </c:pt>
                <c:pt idx="507">
                  <c:v>26.55</c:v>
                </c:pt>
                <c:pt idx="508">
                  <c:v>22.524999999999999</c:v>
                </c:pt>
                <c:pt idx="509">
                  <c:v>56.495800000000003</c:v>
                </c:pt>
                <c:pt idx="510">
                  <c:v>7.75</c:v>
                </c:pt>
                <c:pt idx="511">
                  <c:v>8.0500000000000007</c:v>
                </c:pt>
                <c:pt idx="512">
                  <c:v>26.287500000000001</c:v>
                </c:pt>
                <c:pt idx="513">
                  <c:v>59.4</c:v>
                </c:pt>
                <c:pt idx="514">
                  <c:v>7.4958</c:v>
                </c:pt>
                <c:pt idx="515">
                  <c:v>34.020800000000001</c:v>
                </c:pt>
                <c:pt idx="516">
                  <c:v>10.5</c:v>
                </c:pt>
                <c:pt idx="517">
                  <c:v>24.15</c:v>
                </c:pt>
                <c:pt idx="518">
                  <c:v>26</c:v>
                </c:pt>
                <c:pt idx="519">
                  <c:v>7.8958000000000004</c:v>
                </c:pt>
                <c:pt idx="520">
                  <c:v>93.5</c:v>
                </c:pt>
                <c:pt idx="521">
                  <c:v>7.8958000000000004</c:v>
                </c:pt>
                <c:pt idx="522">
                  <c:v>7.2249999999999996</c:v>
                </c:pt>
                <c:pt idx="523">
                  <c:v>57.979199999999999</c:v>
                </c:pt>
                <c:pt idx="524">
                  <c:v>7.2291999999999996</c:v>
                </c:pt>
                <c:pt idx="525">
                  <c:v>7.75</c:v>
                </c:pt>
                <c:pt idx="526">
                  <c:v>10.5</c:v>
                </c:pt>
                <c:pt idx="527">
                  <c:v>221.7792</c:v>
                </c:pt>
                <c:pt idx="528">
                  <c:v>7.9249999999999998</c:v>
                </c:pt>
                <c:pt idx="529">
                  <c:v>11.5</c:v>
                </c:pt>
                <c:pt idx="530">
                  <c:v>26</c:v>
                </c:pt>
                <c:pt idx="531">
                  <c:v>7.2291999999999996</c:v>
                </c:pt>
                <c:pt idx="532">
                  <c:v>7.2291999999999996</c:v>
                </c:pt>
                <c:pt idx="533">
                  <c:v>22.3583</c:v>
                </c:pt>
                <c:pt idx="534">
                  <c:v>8.6624999999999996</c:v>
                </c:pt>
                <c:pt idx="535">
                  <c:v>26.25</c:v>
                </c:pt>
                <c:pt idx="536">
                  <c:v>26.55</c:v>
                </c:pt>
                <c:pt idx="537">
                  <c:v>106.425</c:v>
                </c:pt>
                <c:pt idx="538">
                  <c:v>14.5</c:v>
                </c:pt>
                <c:pt idx="539">
                  <c:v>49.5</c:v>
                </c:pt>
                <c:pt idx="540">
                  <c:v>71</c:v>
                </c:pt>
                <c:pt idx="541">
                  <c:v>31.274999999999999</c:v>
                </c:pt>
                <c:pt idx="542">
                  <c:v>31.274999999999999</c:v>
                </c:pt>
                <c:pt idx="543">
                  <c:v>26</c:v>
                </c:pt>
                <c:pt idx="544">
                  <c:v>106.425</c:v>
                </c:pt>
                <c:pt idx="545">
                  <c:v>26</c:v>
                </c:pt>
                <c:pt idx="546">
                  <c:v>26</c:v>
                </c:pt>
                <c:pt idx="547">
                  <c:v>13.862500000000001</c:v>
                </c:pt>
                <c:pt idx="548">
                  <c:v>20.524999999999999</c:v>
                </c:pt>
                <c:pt idx="549">
                  <c:v>36.75</c:v>
                </c:pt>
                <c:pt idx="550">
                  <c:v>110.88330000000001</c:v>
                </c:pt>
                <c:pt idx="551">
                  <c:v>26</c:v>
                </c:pt>
                <c:pt idx="552">
                  <c:v>7.8292000000000002</c:v>
                </c:pt>
                <c:pt idx="553">
                  <c:v>7.2249999999999996</c:v>
                </c:pt>
                <c:pt idx="554">
                  <c:v>7.7750000000000004</c:v>
                </c:pt>
                <c:pt idx="555">
                  <c:v>26.55</c:v>
                </c:pt>
                <c:pt idx="556">
                  <c:v>39.6</c:v>
                </c:pt>
                <c:pt idx="557">
                  <c:v>227.52500000000001</c:v>
                </c:pt>
                <c:pt idx="558">
                  <c:v>79.650000000000006</c:v>
                </c:pt>
                <c:pt idx="559">
                  <c:v>17.399999999999999</c:v>
                </c:pt>
                <c:pt idx="560">
                  <c:v>7.75</c:v>
                </c:pt>
                <c:pt idx="561">
                  <c:v>7.8958000000000004</c:v>
                </c:pt>
                <c:pt idx="562">
                  <c:v>13.5</c:v>
                </c:pt>
                <c:pt idx="563">
                  <c:v>8.0500000000000007</c:v>
                </c:pt>
                <c:pt idx="564">
                  <c:v>8.0500000000000007</c:v>
                </c:pt>
                <c:pt idx="565">
                  <c:v>24.15</c:v>
                </c:pt>
                <c:pt idx="566">
                  <c:v>7.8958000000000004</c:v>
                </c:pt>
                <c:pt idx="567">
                  <c:v>21.074999999999999</c:v>
                </c:pt>
                <c:pt idx="568">
                  <c:v>7.2291999999999996</c:v>
                </c:pt>
                <c:pt idx="569">
                  <c:v>7.8541999999999996</c:v>
                </c:pt>
                <c:pt idx="570">
                  <c:v>10.5</c:v>
                </c:pt>
                <c:pt idx="571">
                  <c:v>51.479199999999999</c:v>
                </c:pt>
                <c:pt idx="572">
                  <c:v>26.387499999999999</c:v>
                </c:pt>
                <c:pt idx="573">
                  <c:v>7.75</c:v>
                </c:pt>
                <c:pt idx="574">
                  <c:v>8.0500000000000007</c:v>
                </c:pt>
                <c:pt idx="575">
                  <c:v>14.5</c:v>
                </c:pt>
                <c:pt idx="576">
                  <c:v>13</c:v>
                </c:pt>
                <c:pt idx="577">
                  <c:v>55.9</c:v>
                </c:pt>
                <c:pt idx="578">
                  <c:v>14.458299999999999</c:v>
                </c:pt>
                <c:pt idx="579">
                  <c:v>7.9249999999999998</c:v>
                </c:pt>
                <c:pt idx="580">
                  <c:v>30</c:v>
                </c:pt>
                <c:pt idx="581">
                  <c:v>110.88330000000001</c:v>
                </c:pt>
                <c:pt idx="582">
                  <c:v>26</c:v>
                </c:pt>
                <c:pt idx="583">
                  <c:v>40.125</c:v>
                </c:pt>
                <c:pt idx="584">
                  <c:v>8.7125000000000004</c:v>
                </c:pt>
                <c:pt idx="585">
                  <c:v>79.650000000000006</c:v>
                </c:pt>
                <c:pt idx="586">
                  <c:v>15</c:v>
                </c:pt>
                <c:pt idx="587">
                  <c:v>79.2</c:v>
                </c:pt>
                <c:pt idx="588">
                  <c:v>8.0500000000000007</c:v>
                </c:pt>
                <c:pt idx="589">
                  <c:v>8.0500000000000007</c:v>
                </c:pt>
                <c:pt idx="590">
                  <c:v>7.125</c:v>
                </c:pt>
                <c:pt idx="591">
                  <c:v>78.2667</c:v>
                </c:pt>
                <c:pt idx="592">
                  <c:v>7.25</c:v>
                </c:pt>
                <c:pt idx="593">
                  <c:v>7.75</c:v>
                </c:pt>
                <c:pt idx="594">
                  <c:v>26</c:v>
                </c:pt>
                <c:pt idx="595">
                  <c:v>24.15</c:v>
                </c:pt>
                <c:pt idx="596">
                  <c:v>33</c:v>
                </c:pt>
                <c:pt idx="597">
                  <c:v>0</c:v>
                </c:pt>
                <c:pt idx="598">
                  <c:v>7.2249999999999996</c:v>
                </c:pt>
                <c:pt idx="599">
                  <c:v>56.929200000000002</c:v>
                </c:pt>
                <c:pt idx="600">
                  <c:v>27</c:v>
                </c:pt>
                <c:pt idx="601">
                  <c:v>7.8958000000000004</c:v>
                </c:pt>
                <c:pt idx="602">
                  <c:v>42.4</c:v>
                </c:pt>
                <c:pt idx="603">
                  <c:v>8.0500000000000007</c:v>
                </c:pt>
                <c:pt idx="604">
                  <c:v>26.55</c:v>
                </c:pt>
                <c:pt idx="605">
                  <c:v>15.55</c:v>
                </c:pt>
                <c:pt idx="606">
                  <c:v>7.8958000000000004</c:v>
                </c:pt>
                <c:pt idx="607">
                  <c:v>30.5</c:v>
                </c:pt>
                <c:pt idx="608">
                  <c:v>41.5792</c:v>
                </c:pt>
                <c:pt idx="609">
                  <c:v>153.46250000000001</c:v>
                </c:pt>
                <c:pt idx="610">
                  <c:v>31.274999999999999</c:v>
                </c:pt>
                <c:pt idx="611">
                  <c:v>7.05</c:v>
                </c:pt>
                <c:pt idx="612">
                  <c:v>15.5</c:v>
                </c:pt>
                <c:pt idx="613">
                  <c:v>7.75</c:v>
                </c:pt>
                <c:pt idx="614">
                  <c:v>8.0500000000000007</c:v>
                </c:pt>
                <c:pt idx="615">
                  <c:v>65</c:v>
                </c:pt>
                <c:pt idx="616">
                  <c:v>14.4</c:v>
                </c:pt>
                <c:pt idx="617">
                  <c:v>16.100000000000001</c:v>
                </c:pt>
                <c:pt idx="618">
                  <c:v>39</c:v>
                </c:pt>
                <c:pt idx="619">
                  <c:v>10.5</c:v>
                </c:pt>
                <c:pt idx="620">
                  <c:v>14.4542</c:v>
                </c:pt>
                <c:pt idx="621">
                  <c:v>52.554200000000002</c:v>
                </c:pt>
                <c:pt idx="622">
                  <c:v>15.7417</c:v>
                </c:pt>
                <c:pt idx="623">
                  <c:v>7.8541999999999996</c:v>
                </c:pt>
                <c:pt idx="624">
                  <c:v>16.100000000000001</c:v>
                </c:pt>
                <c:pt idx="625">
                  <c:v>32.320799999999998</c:v>
                </c:pt>
                <c:pt idx="626">
                  <c:v>12.35</c:v>
                </c:pt>
                <c:pt idx="627">
                  <c:v>77.958299999999994</c:v>
                </c:pt>
                <c:pt idx="628">
                  <c:v>7.8958000000000004</c:v>
                </c:pt>
                <c:pt idx="629">
                  <c:v>7.7332999999999998</c:v>
                </c:pt>
                <c:pt idx="630">
                  <c:v>30</c:v>
                </c:pt>
                <c:pt idx="631">
                  <c:v>7.0541999999999998</c:v>
                </c:pt>
                <c:pt idx="632">
                  <c:v>30.5</c:v>
                </c:pt>
                <c:pt idx="633">
                  <c:v>0</c:v>
                </c:pt>
                <c:pt idx="634">
                  <c:v>27.9</c:v>
                </c:pt>
                <c:pt idx="635">
                  <c:v>13</c:v>
                </c:pt>
                <c:pt idx="636">
                  <c:v>7.9249999999999998</c:v>
                </c:pt>
                <c:pt idx="637">
                  <c:v>26.25</c:v>
                </c:pt>
                <c:pt idx="638">
                  <c:v>39.6875</c:v>
                </c:pt>
                <c:pt idx="639">
                  <c:v>16.100000000000001</c:v>
                </c:pt>
                <c:pt idx="640">
                  <c:v>7.8541999999999996</c:v>
                </c:pt>
                <c:pt idx="641">
                  <c:v>69.3</c:v>
                </c:pt>
                <c:pt idx="642">
                  <c:v>27.9</c:v>
                </c:pt>
                <c:pt idx="643">
                  <c:v>56.495800000000003</c:v>
                </c:pt>
                <c:pt idx="644">
                  <c:v>19.258299999999998</c:v>
                </c:pt>
                <c:pt idx="645">
                  <c:v>76.729200000000006</c:v>
                </c:pt>
                <c:pt idx="646">
                  <c:v>7.8958000000000004</c:v>
                </c:pt>
                <c:pt idx="647">
                  <c:v>35.5</c:v>
                </c:pt>
                <c:pt idx="648">
                  <c:v>7.55</c:v>
                </c:pt>
                <c:pt idx="649">
                  <c:v>7.55</c:v>
                </c:pt>
                <c:pt idx="650">
                  <c:v>7.8958000000000004</c:v>
                </c:pt>
                <c:pt idx="651">
                  <c:v>23</c:v>
                </c:pt>
                <c:pt idx="652">
                  <c:v>8.4332999999999991</c:v>
                </c:pt>
                <c:pt idx="653">
                  <c:v>7.8292000000000002</c:v>
                </c:pt>
                <c:pt idx="654">
                  <c:v>6.75</c:v>
                </c:pt>
                <c:pt idx="655">
                  <c:v>73.5</c:v>
                </c:pt>
                <c:pt idx="656">
                  <c:v>7.8958000000000004</c:v>
                </c:pt>
                <c:pt idx="657">
                  <c:v>15.5</c:v>
                </c:pt>
                <c:pt idx="658">
                  <c:v>13</c:v>
                </c:pt>
                <c:pt idx="659">
                  <c:v>113.27500000000001</c:v>
                </c:pt>
                <c:pt idx="660">
                  <c:v>133.65</c:v>
                </c:pt>
                <c:pt idx="661">
                  <c:v>7.2249999999999996</c:v>
                </c:pt>
                <c:pt idx="662">
                  <c:v>25.587499999999999</c:v>
                </c:pt>
                <c:pt idx="663">
                  <c:v>7.4958</c:v>
                </c:pt>
                <c:pt idx="664">
                  <c:v>7.9249999999999998</c:v>
                </c:pt>
                <c:pt idx="665">
                  <c:v>73.5</c:v>
                </c:pt>
                <c:pt idx="666">
                  <c:v>13</c:v>
                </c:pt>
                <c:pt idx="667">
                  <c:v>7.7750000000000004</c:v>
                </c:pt>
                <c:pt idx="668">
                  <c:v>8.0500000000000007</c:v>
                </c:pt>
                <c:pt idx="669">
                  <c:v>52</c:v>
                </c:pt>
                <c:pt idx="670">
                  <c:v>39</c:v>
                </c:pt>
                <c:pt idx="671">
                  <c:v>52</c:v>
                </c:pt>
                <c:pt idx="672">
                  <c:v>10.5</c:v>
                </c:pt>
                <c:pt idx="673">
                  <c:v>13</c:v>
                </c:pt>
                <c:pt idx="674">
                  <c:v>0</c:v>
                </c:pt>
                <c:pt idx="675">
                  <c:v>7.7750000000000004</c:v>
                </c:pt>
                <c:pt idx="676">
                  <c:v>8.0500000000000007</c:v>
                </c:pt>
                <c:pt idx="677">
                  <c:v>9.8416999999999994</c:v>
                </c:pt>
                <c:pt idx="678">
                  <c:v>46.9</c:v>
                </c:pt>
                <c:pt idx="679">
                  <c:v>512.32920000000001</c:v>
                </c:pt>
                <c:pt idx="680">
                  <c:v>8.1374999999999993</c:v>
                </c:pt>
                <c:pt idx="681">
                  <c:v>76.729200000000006</c:v>
                </c:pt>
                <c:pt idx="682">
                  <c:v>9.2249999999999996</c:v>
                </c:pt>
                <c:pt idx="683">
                  <c:v>46.9</c:v>
                </c:pt>
                <c:pt idx="684">
                  <c:v>39</c:v>
                </c:pt>
                <c:pt idx="685">
                  <c:v>41.5792</c:v>
                </c:pt>
                <c:pt idx="686">
                  <c:v>39.6875</c:v>
                </c:pt>
                <c:pt idx="687">
                  <c:v>10.1708</c:v>
                </c:pt>
                <c:pt idx="688">
                  <c:v>7.7957999999999998</c:v>
                </c:pt>
                <c:pt idx="689">
                  <c:v>211.33750000000001</c:v>
                </c:pt>
                <c:pt idx="690">
                  <c:v>57</c:v>
                </c:pt>
                <c:pt idx="691">
                  <c:v>13.416700000000001</c:v>
                </c:pt>
                <c:pt idx="692">
                  <c:v>56.495800000000003</c:v>
                </c:pt>
                <c:pt idx="693">
                  <c:v>7.2249999999999996</c:v>
                </c:pt>
                <c:pt idx="694">
                  <c:v>26.55</c:v>
                </c:pt>
                <c:pt idx="695">
                  <c:v>13.5</c:v>
                </c:pt>
                <c:pt idx="696">
                  <c:v>8.0500000000000007</c:v>
                </c:pt>
                <c:pt idx="697">
                  <c:v>7.7332999999999998</c:v>
                </c:pt>
                <c:pt idx="698">
                  <c:v>110.88330000000001</c:v>
                </c:pt>
                <c:pt idx="699">
                  <c:v>7.65</c:v>
                </c:pt>
                <c:pt idx="700">
                  <c:v>227.52500000000001</c:v>
                </c:pt>
                <c:pt idx="701">
                  <c:v>26.287500000000001</c:v>
                </c:pt>
                <c:pt idx="702">
                  <c:v>14.4542</c:v>
                </c:pt>
                <c:pt idx="703">
                  <c:v>7.7416999999999998</c:v>
                </c:pt>
                <c:pt idx="704">
                  <c:v>7.8541999999999996</c:v>
                </c:pt>
                <c:pt idx="705">
                  <c:v>26</c:v>
                </c:pt>
                <c:pt idx="706">
                  <c:v>13.5</c:v>
                </c:pt>
                <c:pt idx="707">
                  <c:v>26.287500000000001</c:v>
                </c:pt>
                <c:pt idx="708">
                  <c:v>151.55000000000001</c:v>
                </c:pt>
                <c:pt idx="709">
                  <c:v>15.245799999999999</c:v>
                </c:pt>
                <c:pt idx="710">
                  <c:v>49.504199999999997</c:v>
                </c:pt>
                <c:pt idx="711">
                  <c:v>26.55</c:v>
                </c:pt>
                <c:pt idx="712">
                  <c:v>52</c:v>
                </c:pt>
                <c:pt idx="713">
                  <c:v>9.4832999999999998</c:v>
                </c:pt>
                <c:pt idx="714">
                  <c:v>13</c:v>
                </c:pt>
                <c:pt idx="715">
                  <c:v>7.65</c:v>
                </c:pt>
                <c:pt idx="716">
                  <c:v>227.52500000000001</c:v>
                </c:pt>
                <c:pt idx="717">
                  <c:v>10.5</c:v>
                </c:pt>
                <c:pt idx="718">
                  <c:v>15.5</c:v>
                </c:pt>
                <c:pt idx="719">
                  <c:v>7.7750000000000004</c:v>
                </c:pt>
                <c:pt idx="720">
                  <c:v>33</c:v>
                </c:pt>
                <c:pt idx="721">
                  <c:v>7.0541999999999998</c:v>
                </c:pt>
                <c:pt idx="722">
                  <c:v>13</c:v>
                </c:pt>
                <c:pt idx="723">
                  <c:v>13</c:v>
                </c:pt>
                <c:pt idx="724">
                  <c:v>53.1</c:v>
                </c:pt>
                <c:pt idx="725">
                  <c:v>8.6624999999999996</c:v>
                </c:pt>
                <c:pt idx="726">
                  <c:v>21</c:v>
                </c:pt>
                <c:pt idx="727">
                  <c:v>7.7374999999999998</c:v>
                </c:pt>
                <c:pt idx="728">
                  <c:v>26</c:v>
                </c:pt>
                <c:pt idx="729">
                  <c:v>7.9249999999999998</c:v>
                </c:pt>
                <c:pt idx="730">
                  <c:v>211.33750000000001</c:v>
                </c:pt>
                <c:pt idx="731">
                  <c:v>18.787500000000001</c:v>
                </c:pt>
                <c:pt idx="732">
                  <c:v>0</c:v>
                </c:pt>
                <c:pt idx="733">
                  <c:v>13</c:v>
                </c:pt>
                <c:pt idx="734">
                  <c:v>13</c:v>
                </c:pt>
                <c:pt idx="735">
                  <c:v>16.100000000000001</c:v>
                </c:pt>
                <c:pt idx="736">
                  <c:v>34.375</c:v>
                </c:pt>
                <c:pt idx="737">
                  <c:v>512.32920000000001</c:v>
                </c:pt>
                <c:pt idx="738">
                  <c:v>7.8958000000000004</c:v>
                </c:pt>
                <c:pt idx="739">
                  <c:v>7.8958000000000004</c:v>
                </c:pt>
                <c:pt idx="740">
                  <c:v>30</c:v>
                </c:pt>
                <c:pt idx="741">
                  <c:v>78.849999999999994</c:v>
                </c:pt>
                <c:pt idx="742">
                  <c:v>262.375</c:v>
                </c:pt>
                <c:pt idx="743">
                  <c:v>16.100000000000001</c:v>
                </c:pt>
                <c:pt idx="744">
                  <c:v>7.9249999999999998</c:v>
                </c:pt>
                <c:pt idx="745">
                  <c:v>71</c:v>
                </c:pt>
                <c:pt idx="746">
                  <c:v>20.25</c:v>
                </c:pt>
                <c:pt idx="747">
                  <c:v>13</c:v>
                </c:pt>
                <c:pt idx="748">
                  <c:v>53.1</c:v>
                </c:pt>
                <c:pt idx="749">
                  <c:v>7.75</c:v>
                </c:pt>
                <c:pt idx="750">
                  <c:v>23</c:v>
                </c:pt>
                <c:pt idx="751">
                  <c:v>12.475</c:v>
                </c:pt>
                <c:pt idx="752">
                  <c:v>9.5</c:v>
                </c:pt>
                <c:pt idx="753">
                  <c:v>7.8958000000000004</c:v>
                </c:pt>
                <c:pt idx="754">
                  <c:v>65</c:v>
                </c:pt>
                <c:pt idx="755">
                  <c:v>14.5</c:v>
                </c:pt>
                <c:pt idx="756">
                  <c:v>7.7957999999999998</c:v>
                </c:pt>
                <c:pt idx="757">
                  <c:v>11.5</c:v>
                </c:pt>
                <c:pt idx="758">
                  <c:v>8.0500000000000007</c:v>
                </c:pt>
                <c:pt idx="759">
                  <c:v>86.5</c:v>
                </c:pt>
                <c:pt idx="760">
                  <c:v>14.5</c:v>
                </c:pt>
                <c:pt idx="761">
                  <c:v>7.125</c:v>
                </c:pt>
                <c:pt idx="762">
                  <c:v>7.2291999999999996</c:v>
                </c:pt>
                <c:pt idx="763">
                  <c:v>120</c:v>
                </c:pt>
                <c:pt idx="764">
                  <c:v>7.7750000000000004</c:v>
                </c:pt>
                <c:pt idx="765">
                  <c:v>77.958299999999994</c:v>
                </c:pt>
                <c:pt idx="766">
                  <c:v>39.6</c:v>
                </c:pt>
                <c:pt idx="767">
                  <c:v>7.75</c:v>
                </c:pt>
                <c:pt idx="768">
                  <c:v>24.15</c:v>
                </c:pt>
                <c:pt idx="769">
                  <c:v>8.3625000000000007</c:v>
                </c:pt>
                <c:pt idx="770">
                  <c:v>9.5</c:v>
                </c:pt>
                <c:pt idx="771">
                  <c:v>7.8541999999999996</c:v>
                </c:pt>
                <c:pt idx="772">
                  <c:v>10.5</c:v>
                </c:pt>
                <c:pt idx="773">
                  <c:v>7.2249999999999996</c:v>
                </c:pt>
                <c:pt idx="774">
                  <c:v>23</c:v>
                </c:pt>
                <c:pt idx="775">
                  <c:v>7.75</c:v>
                </c:pt>
                <c:pt idx="776">
                  <c:v>7.75</c:v>
                </c:pt>
                <c:pt idx="777">
                  <c:v>12.475</c:v>
                </c:pt>
                <c:pt idx="778">
                  <c:v>7.7374999999999998</c:v>
                </c:pt>
                <c:pt idx="779">
                  <c:v>211.33750000000001</c:v>
                </c:pt>
                <c:pt idx="780">
                  <c:v>7.2291999999999996</c:v>
                </c:pt>
                <c:pt idx="781">
                  <c:v>57</c:v>
                </c:pt>
                <c:pt idx="782">
                  <c:v>30</c:v>
                </c:pt>
                <c:pt idx="783">
                  <c:v>23.45</c:v>
                </c:pt>
                <c:pt idx="784">
                  <c:v>7.05</c:v>
                </c:pt>
                <c:pt idx="785">
                  <c:v>7.25</c:v>
                </c:pt>
                <c:pt idx="786">
                  <c:v>7.4958</c:v>
                </c:pt>
                <c:pt idx="787">
                  <c:v>29.125</c:v>
                </c:pt>
                <c:pt idx="788">
                  <c:v>20.574999999999999</c:v>
                </c:pt>
                <c:pt idx="789">
                  <c:v>79.2</c:v>
                </c:pt>
                <c:pt idx="790">
                  <c:v>7.75</c:v>
                </c:pt>
                <c:pt idx="791">
                  <c:v>26</c:v>
                </c:pt>
                <c:pt idx="792">
                  <c:v>69.55</c:v>
                </c:pt>
                <c:pt idx="793">
                  <c:v>30.695799999999998</c:v>
                </c:pt>
                <c:pt idx="794">
                  <c:v>7.8958000000000004</c:v>
                </c:pt>
                <c:pt idx="795">
                  <c:v>13</c:v>
                </c:pt>
                <c:pt idx="796">
                  <c:v>25.929200000000002</c:v>
                </c:pt>
                <c:pt idx="797">
                  <c:v>8.6832999999999991</c:v>
                </c:pt>
                <c:pt idx="798">
                  <c:v>7.2291999999999996</c:v>
                </c:pt>
                <c:pt idx="799">
                  <c:v>24.15</c:v>
                </c:pt>
                <c:pt idx="800">
                  <c:v>13</c:v>
                </c:pt>
                <c:pt idx="801">
                  <c:v>26.25</c:v>
                </c:pt>
                <c:pt idx="802">
                  <c:v>120</c:v>
                </c:pt>
                <c:pt idx="803">
                  <c:v>8.5167000000000002</c:v>
                </c:pt>
                <c:pt idx="804">
                  <c:v>6.9749999999999996</c:v>
                </c:pt>
                <c:pt idx="805">
                  <c:v>7.7750000000000004</c:v>
                </c:pt>
                <c:pt idx="806">
                  <c:v>0</c:v>
                </c:pt>
                <c:pt idx="807">
                  <c:v>7.7750000000000004</c:v>
                </c:pt>
                <c:pt idx="808">
                  <c:v>13</c:v>
                </c:pt>
                <c:pt idx="809">
                  <c:v>53.1</c:v>
                </c:pt>
                <c:pt idx="810">
                  <c:v>7.8875000000000002</c:v>
                </c:pt>
                <c:pt idx="811">
                  <c:v>24.15</c:v>
                </c:pt>
                <c:pt idx="812">
                  <c:v>10.5</c:v>
                </c:pt>
                <c:pt idx="813">
                  <c:v>31.274999999999999</c:v>
                </c:pt>
                <c:pt idx="814">
                  <c:v>8.0500000000000007</c:v>
                </c:pt>
                <c:pt idx="815">
                  <c:v>0</c:v>
                </c:pt>
                <c:pt idx="816">
                  <c:v>7.9249999999999998</c:v>
                </c:pt>
                <c:pt idx="817">
                  <c:v>37.004199999999997</c:v>
                </c:pt>
                <c:pt idx="818">
                  <c:v>6.45</c:v>
                </c:pt>
                <c:pt idx="819">
                  <c:v>27.9</c:v>
                </c:pt>
                <c:pt idx="820">
                  <c:v>93.5</c:v>
                </c:pt>
                <c:pt idx="821">
                  <c:v>8.6624999999999996</c:v>
                </c:pt>
                <c:pt idx="822">
                  <c:v>0</c:v>
                </c:pt>
                <c:pt idx="823">
                  <c:v>12.475</c:v>
                </c:pt>
                <c:pt idx="824">
                  <c:v>39.6875</c:v>
                </c:pt>
                <c:pt idx="825">
                  <c:v>6.95</c:v>
                </c:pt>
                <c:pt idx="826">
                  <c:v>56.495800000000003</c:v>
                </c:pt>
                <c:pt idx="827">
                  <c:v>37.004199999999997</c:v>
                </c:pt>
                <c:pt idx="828">
                  <c:v>7.75</c:v>
                </c:pt>
                <c:pt idx="829">
                  <c:v>80</c:v>
                </c:pt>
                <c:pt idx="830">
                  <c:v>14.4542</c:v>
                </c:pt>
                <c:pt idx="831">
                  <c:v>18.75</c:v>
                </c:pt>
                <c:pt idx="832">
                  <c:v>7.2291999999999996</c:v>
                </c:pt>
                <c:pt idx="833">
                  <c:v>7.8541999999999996</c:v>
                </c:pt>
                <c:pt idx="834">
                  <c:v>8.3000000000000007</c:v>
                </c:pt>
                <c:pt idx="835">
                  <c:v>83.158299999999997</c:v>
                </c:pt>
                <c:pt idx="836">
                  <c:v>8.6624999999999996</c:v>
                </c:pt>
                <c:pt idx="837">
                  <c:v>8.0500000000000007</c:v>
                </c:pt>
                <c:pt idx="838">
                  <c:v>56.495800000000003</c:v>
                </c:pt>
                <c:pt idx="839">
                  <c:v>29.7</c:v>
                </c:pt>
                <c:pt idx="840">
                  <c:v>7.9249999999999998</c:v>
                </c:pt>
                <c:pt idx="841">
                  <c:v>10.5</c:v>
                </c:pt>
                <c:pt idx="842">
                  <c:v>31</c:v>
                </c:pt>
                <c:pt idx="843">
                  <c:v>6.4375</c:v>
                </c:pt>
                <c:pt idx="844">
                  <c:v>8.6624999999999996</c:v>
                </c:pt>
                <c:pt idx="845">
                  <c:v>7.55</c:v>
                </c:pt>
                <c:pt idx="846">
                  <c:v>69.55</c:v>
                </c:pt>
                <c:pt idx="847">
                  <c:v>7.8958000000000004</c:v>
                </c:pt>
                <c:pt idx="848">
                  <c:v>33</c:v>
                </c:pt>
                <c:pt idx="849">
                  <c:v>89.104200000000006</c:v>
                </c:pt>
                <c:pt idx="850">
                  <c:v>31.274999999999999</c:v>
                </c:pt>
                <c:pt idx="851">
                  <c:v>7.7750000000000004</c:v>
                </c:pt>
                <c:pt idx="852">
                  <c:v>15.245799999999999</c:v>
                </c:pt>
                <c:pt idx="853">
                  <c:v>39.4</c:v>
                </c:pt>
                <c:pt idx="854">
                  <c:v>26</c:v>
                </c:pt>
                <c:pt idx="855">
                  <c:v>9.35</c:v>
                </c:pt>
                <c:pt idx="856">
                  <c:v>164.86670000000001</c:v>
                </c:pt>
                <c:pt idx="857">
                  <c:v>26.55</c:v>
                </c:pt>
                <c:pt idx="858">
                  <c:v>19.258299999999998</c:v>
                </c:pt>
                <c:pt idx="859">
                  <c:v>7.2291999999999996</c:v>
                </c:pt>
                <c:pt idx="860">
                  <c:v>14.1083</c:v>
                </c:pt>
                <c:pt idx="861">
                  <c:v>11.5</c:v>
                </c:pt>
                <c:pt idx="862">
                  <c:v>25.929200000000002</c:v>
                </c:pt>
                <c:pt idx="863">
                  <c:v>69.55</c:v>
                </c:pt>
                <c:pt idx="864">
                  <c:v>13</c:v>
                </c:pt>
                <c:pt idx="865">
                  <c:v>13</c:v>
                </c:pt>
                <c:pt idx="866">
                  <c:v>13.8583</c:v>
                </c:pt>
                <c:pt idx="867">
                  <c:v>50.495800000000003</c:v>
                </c:pt>
                <c:pt idx="868">
                  <c:v>9.5</c:v>
                </c:pt>
                <c:pt idx="869">
                  <c:v>11.1333</c:v>
                </c:pt>
                <c:pt idx="870">
                  <c:v>7.8958000000000004</c:v>
                </c:pt>
                <c:pt idx="871">
                  <c:v>52.554200000000002</c:v>
                </c:pt>
                <c:pt idx="872">
                  <c:v>5</c:v>
                </c:pt>
                <c:pt idx="873">
                  <c:v>9</c:v>
                </c:pt>
                <c:pt idx="874">
                  <c:v>24</c:v>
                </c:pt>
                <c:pt idx="875">
                  <c:v>7.2249999999999996</c:v>
                </c:pt>
                <c:pt idx="876">
                  <c:v>9.8458000000000006</c:v>
                </c:pt>
                <c:pt idx="877">
                  <c:v>7.8958000000000004</c:v>
                </c:pt>
                <c:pt idx="878">
                  <c:v>7.8958000000000004</c:v>
                </c:pt>
                <c:pt idx="879">
                  <c:v>83.158299999999997</c:v>
                </c:pt>
                <c:pt idx="880">
                  <c:v>26</c:v>
                </c:pt>
                <c:pt idx="881">
                  <c:v>7.8958000000000004</c:v>
                </c:pt>
                <c:pt idx="882">
                  <c:v>10.5167</c:v>
                </c:pt>
                <c:pt idx="883">
                  <c:v>10.5</c:v>
                </c:pt>
                <c:pt idx="884">
                  <c:v>7.05</c:v>
                </c:pt>
                <c:pt idx="885">
                  <c:v>29.125</c:v>
                </c:pt>
                <c:pt idx="886">
                  <c:v>13</c:v>
                </c:pt>
                <c:pt idx="887">
                  <c:v>30</c:v>
                </c:pt>
                <c:pt idx="888">
                  <c:v>23.45</c:v>
                </c:pt>
                <c:pt idx="889">
                  <c:v>30</c:v>
                </c:pt>
                <c:pt idx="890">
                  <c:v>7.75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92-DC47-82EC-E2D13233FA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608400"/>
        <c:axId val="374610048"/>
      </c:scatterChart>
      <c:valAx>
        <c:axId val="37460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610048"/>
        <c:crosses val="autoZero"/>
        <c:crossBetween val="midCat"/>
      </c:valAx>
      <c:valAx>
        <c:axId val="374610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608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7.25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train!$J$3:$J$500</c:f>
              <c:numCache>
                <c:formatCode>0.00</c:formatCode>
                <c:ptCount val="498"/>
                <c:pt idx="0">
                  <c:v>71.283299999999997</c:v>
                </c:pt>
                <c:pt idx="1">
                  <c:v>7.9249999999999998</c:v>
                </c:pt>
                <c:pt idx="2">
                  <c:v>53.1</c:v>
                </c:pt>
                <c:pt idx="3">
                  <c:v>8.0500000000000007</c:v>
                </c:pt>
                <c:pt idx="4">
                  <c:v>8.4582999999999995</c:v>
                </c:pt>
                <c:pt idx="5">
                  <c:v>51.862499999999997</c:v>
                </c:pt>
                <c:pt idx="6">
                  <c:v>21.074999999999999</c:v>
                </c:pt>
                <c:pt idx="7">
                  <c:v>11.1333</c:v>
                </c:pt>
                <c:pt idx="8">
                  <c:v>30.070799999999998</c:v>
                </c:pt>
                <c:pt idx="9">
                  <c:v>16.7</c:v>
                </c:pt>
                <c:pt idx="10">
                  <c:v>26.55</c:v>
                </c:pt>
                <c:pt idx="11">
                  <c:v>8.0500000000000007</c:v>
                </c:pt>
                <c:pt idx="12">
                  <c:v>31.274999999999999</c:v>
                </c:pt>
                <c:pt idx="13">
                  <c:v>7.8541999999999996</c:v>
                </c:pt>
                <c:pt idx="14">
                  <c:v>16</c:v>
                </c:pt>
                <c:pt idx="15">
                  <c:v>29.125</c:v>
                </c:pt>
                <c:pt idx="16">
                  <c:v>13</c:v>
                </c:pt>
                <c:pt idx="17">
                  <c:v>18</c:v>
                </c:pt>
                <c:pt idx="18">
                  <c:v>7.2249999999999996</c:v>
                </c:pt>
                <c:pt idx="19">
                  <c:v>26</c:v>
                </c:pt>
                <c:pt idx="20">
                  <c:v>13</c:v>
                </c:pt>
                <c:pt idx="21">
                  <c:v>8.0291999999999994</c:v>
                </c:pt>
                <c:pt idx="22">
                  <c:v>35.5</c:v>
                </c:pt>
                <c:pt idx="23">
                  <c:v>21.074999999999999</c:v>
                </c:pt>
                <c:pt idx="24">
                  <c:v>31.387499999999999</c:v>
                </c:pt>
                <c:pt idx="25">
                  <c:v>7.2249999999999996</c:v>
                </c:pt>
                <c:pt idx="26">
                  <c:v>263</c:v>
                </c:pt>
                <c:pt idx="27">
                  <c:v>7.8792</c:v>
                </c:pt>
                <c:pt idx="28">
                  <c:v>7.8958000000000004</c:v>
                </c:pt>
                <c:pt idx="29">
                  <c:v>27.720800000000001</c:v>
                </c:pt>
                <c:pt idx="30">
                  <c:v>146.52080000000001</c:v>
                </c:pt>
                <c:pt idx="31">
                  <c:v>7.75</c:v>
                </c:pt>
                <c:pt idx="32">
                  <c:v>10.5</c:v>
                </c:pt>
                <c:pt idx="33">
                  <c:v>82.1708</c:v>
                </c:pt>
                <c:pt idx="34">
                  <c:v>52</c:v>
                </c:pt>
                <c:pt idx="35">
                  <c:v>7.2291999999999996</c:v>
                </c:pt>
                <c:pt idx="36">
                  <c:v>8.0500000000000007</c:v>
                </c:pt>
                <c:pt idx="37">
                  <c:v>18</c:v>
                </c:pt>
                <c:pt idx="38">
                  <c:v>11.2417</c:v>
                </c:pt>
                <c:pt idx="39">
                  <c:v>9.4749999999999996</c:v>
                </c:pt>
                <c:pt idx="40">
                  <c:v>21</c:v>
                </c:pt>
                <c:pt idx="41">
                  <c:v>7.8958000000000004</c:v>
                </c:pt>
                <c:pt idx="42">
                  <c:v>41.5792</c:v>
                </c:pt>
                <c:pt idx="43">
                  <c:v>7.8792</c:v>
                </c:pt>
                <c:pt idx="44">
                  <c:v>8.0500000000000007</c:v>
                </c:pt>
                <c:pt idx="45">
                  <c:v>15.5</c:v>
                </c:pt>
                <c:pt idx="46">
                  <c:v>7.75</c:v>
                </c:pt>
                <c:pt idx="47">
                  <c:v>21.679200000000002</c:v>
                </c:pt>
                <c:pt idx="48">
                  <c:v>17.8</c:v>
                </c:pt>
                <c:pt idx="49">
                  <c:v>39.6875</c:v>
                </c:pt>
                <c:pt idx="50">
                  <c:v>7.8</c:v>
                </c:pt>
                <c:pt idx="51">
                  <c:v>76.729200000000006</c:v>
                </c:pt>
                <c:pt idx="52">
                  <c:v>26</c:v>
                </c:pt>
                <c:pt idx="53">
                  <c:v>61.979199999999999</c:v>
                </c:pt>
                <c:pt idx="54">
                  <c:v>35.5</c:v>
                </c:pt>
                <c:pt idx="55">
                  <c:v>10.5</c:v>
                </c:pt>
                <c:pt idx="56">
                  <c:v>7.2291999999999996</c:v>
                </c:pt>
                <c:pt idx="57">
                  <c:v>27.75</c:v>
                </c:pt>
                <c:pt idx="58">
                  <c:v>46.9</c:v>
                </c:pt>
                <c:pt idx="59">
                  <c:v>7.2291999999999996</c:v>
                </c:pt>
                <c:pt idx="60">
                  <c:v>80</c:v>
                </c:pt>
                <c:pt idx="61">
                  <c:v>83.474999999999994</c:v>
                </c:pt>
                <c:pt idx="62">
                  <c:v>27.9</c:v>
                </c:pt>
                <c:pt idx="63">
                  <c:v>27.720800000000001</c:v>
                </c:pt>
                <c:pt idx="64">
                  <c:v>15.245799999999999</c:v>
                </c:pt>
                <c:pt idx="65">
                  <c:v>10.5</c:v>
                </c:pt>
                <c:pt idx="66">
                  <c:v>8.1583000000000006</c:v>
                </c:pt>
                <c:pt idx="67">
                  <c:v>7.9249999999999998</c:v>
                </c:pt>
                <c:pt idx="68">
                  <c:v>8.6624999999999996</c:v>
                </c:pt>
                <c:pt idx="69">
                  <c:v>10.5</c:v>
                </c:pt>
                <c:pt idx="70">
                  <c:v>46.9</c:v>
                </c:pt>
                <c:pt idx="71">
                  <c:v>73.5</c:v>
                </c:pt>
                <c:pt idx="72">
                  <c:v>14.4542</c:v>
                </c:pt>
                <c:pt idx="73">
                  <c:v>56.495800000000003</c:v>
                </c:pt>
                <c:pt idx="74">
                  <c:v>7.65</c:v>
                </c:pt>
                <c:pt idx="75">
                  <c:v>7.8958000000000004</c:v>
                </c:pt>
                <c:pt idx="76">
                  <c:v>8.0500000000000007</c:v>
                </c:pt>
                <c:pt idx="77">
                  <c:v>29</c:v>
                </c:pt>
                <c:pt idx="78">
                  <c:v>12.475</c:v>
                </c:pt>
                <c:pt idx="79">
                  <c:v>9</c:v>
                </c:pt>
                <c:pt idx="80">
                  <c:v>9.5</c:v>
                </c:pt>
                <c:pt idx="81">
                  <c:v>7.7874999999999996</c:v>
                </c:pt>
                <c:pt idx="82">
                  <c:v>47.1</c:v>
                </c:pt>
                <c:pt idx="83">
                  <c:v>10.5</c:v>
                </c:pt>
                <c:pt idx="84">
                  <c:v>15.85</c:v>
                </c:pt>
                <c:pt idx="85">
                  <c:v>34.375</c:v>
                </c:pt>
                <c:pt idx="86">
                  <c:v>8.0500000000000007</c:v>
                </c:pt>
                <c:pt idx="87">
                  <c:v>263</c:v>
                </c:pt>
                <c:pt idx="88">
                  <c:v>8.0500000000000007</c:v>
                </c:pt>
                <c:pt idx="89">
                  <c:v>8.0500000000000007</c:v>
                </c:pt>
                <c:pt idx="90">
                  <c:v>7.8541999999999996</c:v>
                </c:pt>
                <c:pt idx="91">
                  <c:v>61.174999999999997</c:v>
                </c:pt>
                <c:pt idx="92">
                  <c:v>20.574999999999999</c:v>
                </c:pt>
                <c:pt idx="93">
                  <c:v>7.25</c:v>
                </c:pt>
                <c:pt idx="94">
                  <c:v>8.0500000000000007</c:v>
                </c:pt>
                <c:pt idx="95">
                  <c:v>34.654200000000003</c:v>
                </c:pt>
                <c:pt idx="96">
                  <c:v>63.3583</c:v>
                </c:pt>
                <c:pt idx="97">
                  <c:v>23</c:v>
                </c:pt>
                <c:pt idx="98">
                  <c:v>26</c:v>
                </c:pt>
                <c:pt idx="99">
                  <c:v>7.8958000000000004</c:v>
                </c:pt>
                <c:pt idx="100">
                  <c:v>7.8958000000000004</c:v>
                </c:pt>
                <c:pt idx="101">
                  <c:v>77.287499999999994</c:v>
                </c:pt>
                <c:pt idx="102">
                  <c:v>8.6541999999999994</c:v>
                </c:pt>
                <c:pt idx="103">
                  <c:v>7.9249999999999998</c:v>
                </c:pt>
                <c:pt idx="104">
                  <c:v>7.8958000000000004</c:v>
                </c:pt>
                <c:pt idx="105">
                  <c:v>7.65</c:v>
                </c:pt>
                <c:pt idx="106">
                  <c:v>7.7750000000000004</c:v>
                </c:pt>
                <c:pt idx="107">
                  <c:v>7.8958000000000004</c:v>
                </c:pt>
                <c:pt idx="108">
                  <c:v>24.15</c:v>
                </c:pt>
                <c:pt idx="109">
                  <c:v>52</c:v>
                </c:pt>
                <c:pt idx="110">
                  <c:v>14.4542</c:v>
                </c:pt>
                <c:pt idx="111">
                  <c:v>8.0500000000000007</c:v>
                </c:pt>
                <c:pt idx="112">
                  <c:v>9.8249999999999993</c:v>
                </c:pt>
                <c:pt idx="113">
                  <c:v>14.458299999999999</c:v>
                </c:pt>
                <c:pt idx="114">
                  <c:v>7.9249999999999998</c:v>
                </c:pt>
                <c:pt idx="115">
                  <c:v>7.75</c:v>
                </c:pt>
                <c:pt idx="116">
                  <c:v>21</c:v>
                </c:pt>
                <c:pt idx="117">
                  <c:v>247.52080000000001</c:v>
                </c:pt>
                <c:pt idx="118">
                  <c:v>31.274999999999999</c:v>
                </c:pt>
                <c:pt idx="119">
                  <c:v>73.5</c:v>
                </c:pt>
                <c:pt idx="120">
                  <c:v>8.0500000000000007</c:v>
                </c:pt>
                <c:pt idx="121">
                  <c:v>30.070799999999998</c:v>
                </c:pt>
                <c:pt idx="122">
                  <c:v>13</c:v>
                </c:pt>
                <c:pt idx="123">
                  <c:v>77.287499999999994</c:v>
                </c:pt>
                <c:pt idx="124">
                  <c:v>11.2417</c:v>
                </c:pt>
                <c:pt idx="125">
                  <c:v>7.75</c:v>
                </c:pt>
                <c:pt idx="126">
                  <c:v>7.1417000000000002</c:v>
                </c:pt>
                <c:pt idx="127">
                  <c:v>22.3583</c:v>
                </c:pt>
                <c:pt idx="128">
                  <c:v>6.9749999999999996</c:v>
                </c:pt>
                <c:pt idx="129">
                  <c:v>7.8958000000000004</c:v>
                </c:pt>
                <c:pt idx="130">
                  <c:v>7.05</c:v>
                </c:pt>
                <c:pt idx="131">
                  <c:v>14.5</c:v>
                </c:pt>
                <c:pt idx="132">
                  <c:v>26</c:v>
                </c:pt>
                <c:pt idx="133">
                  <c:v>13</c:v>
                </c:pt>
                <c:pt idx="134">
                  <c:v>15.0458</c:v>
                </c:pt>
                <c:pt idx="135">
                  <c:v>26.283300000000001</c:v>
                </c:pt>
                <c:pt idx="136">
                  <c:v>53.1</c:v>
                </c:pt>
                <c:pt idx="137">
                  <c:v>9.2166999999999994</c:v>
                </c:pt>
                <c:pt idx="138">
                  <c:v>79.2</c:v>
                </c:pt>
                <c:pt idx="139">
                  <c:v>15.245799999999999</c:v>
                </c:pt>
                <c:pt idx="140">
                  <c:v>7.75</c:v>
                </c:pt>
                <c:pt idx="141">
                  <c:v>15.85</c:v>
                </c:pt>
                <c:pt idx="142">
                  <c:v>6.75</c:v>
                </c:pt>
                <c:pt idx="143">
                  <c:v>11.5</c:v>
                </c:pt>
                <c:pt idx="144">
                  <c:v>36.75</c:v>
                </c:pt>
                <c:pt idx="145">
                  <c:v>7.7957999999999998</c:v>
                </c:pt>
                <c:pt idx="146">
                  <c:v>34.375</c:v>
                </c:pt>
                <c:pt idx="147">
                  <c:v>26</c:v>
                </c:pt>
                <c:pt idx="148">
                  <c:v>13</c:v>
                </c:pt>
                <c:pt idx="149">
                  <c:v>12.525</c:v>
                </c:pt>
                <c:pt idx="150">
                  <c:v>66.599999999999994</c:v>
                </c:pt>
                <c:pt idx="151">
                  <c:v>8.0500000000000007</c:v>
                </c:pt>
                <c:pt idx="152">
                  <c:v>14.5</c:v>
                </c:pt>
                <c:pt idx="153">
                  <c:v>7.3125</c:v>
                </c:pt>
                <c:pt idx="154">
                  <c:v>61.379199999999997</c:v>
                </c:pt>
                <c:pt idx="155">
                  <c:v>7.7332999999999998</c:v>
                </c:pt>
                <c:pt idx="156">
                  <c:v>8.0500000000000007</c:v>
                </c:pt>
                <c:pt idx="157">
                  <c:v>8.6624999999999996</c:v>
                </c:pt>
                <c:pt idx="158">
                  <c:v>69.55</c:v>
                </c:pt>
                <c:pt idx="159">
                  <c:v>16.100000000000001</c:v>
                </c:pt>
                <c:pt idx="160">
                  <c:v>15.75</c:v>
                </c:pt>
                <c:pt idx="161">
                  <c:v>7.7750000000000004</c:v>
                </c:pt>
                <c:pt idx="162">
                  <c:v>8.6624999999999996</c:v>
                </c:pt>
                <c:pt idx="163">
                  <c:v>39.6875</c:v>
                </c:pt>
                <c:pt idx="164">
                  <c:v>20.524999999999999</c:v>
                </c:pt>
                <c:pt idx="165">
                  <c:v>55</c:v>
                </c:pt>
                <c:pt idx="166">
                  <c:v>27.9</c:v>
                </c:pt>
                <c:pt idx="167">
                  <c:v>25.925000000000001</c:v>
                </c:pt>
                <c:pt idx="168">
                  <c:v>56.495800000000003</c:v>
                </c:pt>
                <c:pt idx="169">
                  <c:v>33.5</c:v>
                </c:pt>
                <c:pt idx="170">
                  <c:v>29.125</c:v>
                </c:pt>
                <c:pt idx="171">
                  <c:v>11.1333</c:v>
                </c:pt>
                <c:pt idx="172">
                  <c:v>7.9249999999999998</c:v>
                </c:pt>
                <c:pt idx="173">
                  <c:v>30.695799999999998</c:v>
                </c:pt>
                <c:pt idx="174">
                  <c:v>7.8541999999999996</c:v>
                </c:pt>
                <c:pt idx="175">
                  <c:v>25.466699999999999</c:v>
                </c:pt>
                <c:pt idx="176">
                  <c:v>28.712499999999999</c:v>
                </c:pt>
                <c:pt idx="177">
                  <c:v>13</c:v>
                </c:pt>
                <c:pt idx="178">
                  <c:v>0</c:v>
                </c:pt>
                <c:pt idx="179">
                  <c:v>69.55</c:v>
                </c:pt>
                <c:pt idx="180">
                  <c:v>15.05</c:v>
                </c:pt>
                <c:pt idx="181">
                  <c:v>31.387499999999999</c:v>
                </c:pt>
                <c:pt idx="182">
                  <c:v>39</c:v>
                </c:pt>
                <c:pt idx="183">
                  <c:v>22.024999999999999</c:v>
                </c:pt>
                <c:pt idx="184">
                  <c:v>50</c:v>
                </c:pt>
                <c:pt idx="185">
                  <c:v>15.5</c:v>
                </c:pt>
                <c:pt idx="186">
                  <c:v>26.55</c:v>
                </c:pt>
                <c:pt idx="187">
                  <c:v>15.5</c:v>
                </c:pt>
                <c:pt idx="188">
                  <c:v>7.8958000000000004</c:v>
                </c:pt>
                <c:pt idx="189">
                  <c:v>13</c:v>
                </c:pt>
                <c:pt idx="190">
                  <c:v>13</c:v>
                </c:pt>
                <c:pt idx="191">
                  <c:v>7.8541999999999996</c:v>
                </c:pt>
                <c:pt idx="192">
                  <c:v>26</c:v>
                </c:pt>
                <c:pt idx="193">
                  <c:v>27.720800000000001</c:v>
                </c:pt>
                <c:pt idx="194">
                  <c:v>146.52080000000001</c:v>
                </c:pt>
                <c:pt idx="195">
                  <c:v>7.75</c:v>
                </c:pt>
                <c:pt idx="196">
                  <c:v>8.4041999999999994</c:v>
                </c:pt>
                <c:pt idx="197">
                  <c:v>7.75</c:v>
                </c:pt>
                <c:pt idx="198">
                  <c:v>13</c:v>
                </c:pt>
                <c:pt idx="199">
                  <c:v>9.5</c:v>
                </c:pt>
                <c:pt idx="200">
                  <c:v>69.55</c:v>
                </c:pt>
                <c:pt idx="201">
                  <c:v>6.4958</c:v>
                </c:pt>
                <c:pt idx="202">
                  <c:v>7.2249999999999996</c:v>
                </c:pt>
                <c:pt idx="203">
                  <c:v>8.0500000000000007</c:v>
                </c:pt>
                <c:pt idx="204">
                  <c:v>10.4625</c:v>
                </c:pt>
                <c:pt idx="205">
                  <c:v>15.85</c:v>
                </c:pt>
                <c:pt idx="206">
                  <c:v>18.787500000000001</c:v>
                </c:pt>
                <c:pt idx="207">
                  <c:v>7.75</c:v>
                </c:pt>
                <c:pt idx="208">
                  <c:v>31</c:v>
                </c:pt>
                <c:pt idx="209">
                  <c:v>7.05</c:v>
                </c:pt>
                <c:pt idx="210">
                  <c:v>21</c:v>
                </c:pt>
                <c:pt idx="211">
                  <c:v>7.25</c:v>
                </c:pt>
                <c:pt idx="212">
                  <c:v>13</c:v>
                </c:pt>
                <c:pt idx="213">
                  <c:v>7.75</c:v>
                </c:pt>
                <c:pt idx="214">
                  <c:v>113.27500000000001</c:v>
                </c:pt>
                <c:pt idx="215">
                  <c:v>7.9249999999999998</c:v>
                </c:pt>
                <c:pt idx="216">
                  <c:v>27</c:v>
                </c:pt>
                <c:pt idx="217">
                  <c:v>76.291700000000006</c:v>
                </c:pt>
                <c:pt idx="218">
                  <c:v>10.5</c:v>
                </c:pt>
                <c:pt idx="219">
                  <c:v>8.0500000000000007</c:v>
                </c:pt>
                <c:pt idx="220">
                  <c:v>13</c:v>
                </c:pt>
                <c:pt idx="221">
                  <c:v>8.0500000000000007</c:v>
                </c:pt>
                <c:pt idx="222">
                  <c:v>7.8958000000000004</c:v>
                </c:pt>
                <c:pt idx="223">
                  <c:v>90</c:v>
                </c:pt>
                <c:pt idx="224">
                  <c:v>9.35</c:v>
                </c:pt>
                <c:pt idx="225">
                  <c:v>10.5</c:v>
                </c:pt>
                <c:pt idx="226">
                  <c:v>7.25</c:v>
                </c:pt>
                <c:pt idx="227">
                  <c:v>13</c:v>
                </c:pt>
                <c:pt idx="228">
                  <c:v>25.466699999999999</c:v>
                </c:pt>
                <c:pt idx="229">
                  <c:v>83.474999999999994</c:v>
                </c:pt>
                <c:pt idx="230">
                  <c:v>7.7750000000000004</c:v>
                </c:pt>
                <c:pt idx="231">
                  <c:v>13.5</c:v>
                </c:pt>
                <c:pt idx="232">
                  <c:v>31.387499999999999</c:v>
                </c:pt>
                <c:pt idx="233">
                  <c:v>10.5</c:v>
                </c:pt>
                <c:pt idx="234">
                  <c:v>7.55</c:v>
                </c:pt>
                <c:pt idx="235">
                  <c:v>26</c:v>
                </c:pt>
                <c:pt idx="236">
                  <c:v>26.25</c:v>
                </c:pt>
                <c:pt idx="237">
                  <c:v>10.5</c:v>
                </c:pt>
                <c:pt idx="238">
                  <c:v>12.275</c:v>
                </c:pt>
                <c:pt idx="239">
                  <c:v>14.4542</c:v>
                </c:pt>
                <c:pt idx="240">
                  <c:v>15.5</c:v>
                </c:pt>
                <c:pt idx="241">
                  <c:v>10.5</c:v>
                </c:pt>
                <c:pt idx="242">
                  <c:v>7.125</c:v>
                </c:pt>
                <c:pt idx="243">
                  <c:v>7.2249999999999996</c:v>
                </c:pt>
                <c:pt idx="244">
                  <c:v>90</c:v>
                </c:pt>
                <c:pt idx="245">
                  <c:v>7.7750000000000004</c:v>
                </c:pt>
                <c:pt idx="246">
                  <c:v>14.5</c:v>
                </c:pt>
                <c:pt idx="247">
                  <c:v>52.554200000000002</c:v>
                </c:pt>
                <c:pt idx="248">
                  <c:v>26</c:v>
                </c:pt>
                <c:pt idx="249">
                  <c:v>7.25</c:v>
                </c:pt>
                <c:pt idx="250">
                  <c:v>10.4625</c:v>
                </c:pt>
                <c:pt idx="251">
                  <c:v>26.55</c:v>
                </c:pt>
                <c:pt idx="252">
                  <c:v>16.100000000000001</c:v>
                </c:pt>
                <c:pt idx="253">
                  <c:v>20.212499999999999</c:v>
                </c:pt>
                <c:pt idx="254">
                  <c:v>15.245799999999999</c:v>
                </c:pt>
                <c:pt idx="255">
                  <c:v>79.2</c:v>
                </c:pt>
                <c:pt idx="256">
                  <c:v>86.5</c:v>
                </c:pt>
                <c:pt idx="257">
                  <c:v>512.32920000000001</c:v>
                </c:pt>
                <c:pt idx="258">
                  <c:v>26</c:v>
                </c:pt>
                <c:pt idx="259">
                  <c:v>7.75</c:v>
                </c:pt>
                <c:pt idx="260">
                  <c:v>31.387499999999999</c:v>
                </c:pt>
                <c:pt idx="261">
                  <c:v>79.650000000000006</c:v>
                </c:pt>
                <c:pt idx="262">
                  <c:v>0</c:v>
                </c:pt>
                <c:pt idx="263">
                  <c:v>7.75</c:v>
                </c:pt>
                <c:pt idx="264">
                  <c:v>10.5</c:v>
                </c:pt>
                <c:pt idx="265">
                  <c:v>39.6875</c:v>
                </c:pt>
                <c:pt idx="266">
                  <c:v>7.7750000000000004</c:v>
                </c:pt>
                <c:pt idx="267">
                  <c:v>153.46250000000001</c:v>
                </c:pt>
                <c:pt idx="268">
                  <c:v>135.63329999999999</c:v>
                </c:pt>
                <c:pt idx="269">
                  <c:v>31</c:v>
                </c:pt>
                <c:pt idx="270">
                  <c:v>0</c:v>
                </c:pt>
                <c:pt idx="271">
                  <c:v>19.5</c:v>
                </c:pt>
                <c:pt idx="272">
                  <c:v>29.7</c:v>
                </c:pt>
                <c:pt idx="273">
                  <c:v>7.75</c:v>
                </c:pt>
                <c:pt idx="274">
                  <c:v>77.958299999999994</c:v>
                </c:pt>
                <c:pt idx="275">
                  <c:v>7.75</c:v>
                </c:pt>
                <c:pt idx="276">
                  <c:v>0</c:v>
                </c:pt>
                <c:pt idx="277">
                  <c:v>29.125</c:v>
                </c:pt>
                <c:pt idx="278">
                  <c:v>20.25</c:v>
                </c:pt>
                <c:pt idx="279">
                  <c:v>7.75</c:v>
                </c:pt>
                <c:pt idx="280">
                  <c:v>7.8541999999999996</c:v>
                </c:pt>
                <c:pt idx="281">
                  <c:v>9.5</c:v>
                </c:pt>
                <c:pt idx="282">
                  <c:v>8.0500000000000007</c:v>
                </c:pt>
                <c:pt idx="283">
                  <c:v>26</c:v>
                </c:pt>
                <c:pt idx="284">
                  <c:v>8.6624999999999996</c:v>
                </c:pt>
                <c:pt idx="285">
                  <c:v>9.5</c:v>
                </c:pt>
                <c:pt idx="286">
                  <c:v>7.8958000000000004</c:v>
                </c:pt>
                <c:pt idx="287">
                  <c:v>13</c:v>
                </c:pt>
                <c:pt idx="288">
                  <c:v>7.75</c:v>
                </c:pt>
                <c:pt idx="289">
                  <c:v>78.849999999999994</c:v>
                </c:pt>
                <c:pt idx="290">
                  <c:v>91.0792</c:v>
                </c:pt>
                <c:pt idx="291">
                  <c:v>12.875</c:v>
                </c:pt>
                <c:pt idx="292">
                  <c:v>8.85</c:v>
                </c:pt>
                <c:pt idx="293">
                  <c:v>7.8958000000000004</c:v>
                </c:pt>
                <c:pt idx="294">
                  <c:v>27.720800000000001</c:v>
                </c:pt>
                <c:pt idx="295">
                  <c:v>7.2291999999999996</c:v>
                </c:pt>
                <c:pt idx="296">
                  <c:v>151.55000000000001</c:v>
                </c:pt>
                <c:pt idx="297">
                  <c:v>30.5</c:v>
                </c:pt>
                <c:pt idx="298">
                  <c:v>247.52080000000001</c:v>
                </c:pt>
                <c:pt idx="299">
                  <c:v>7.75</c:v>
                </c:pt>
                <c:pt idx="300">
                  <c:v>23.25</c:v>
                </c:pt>
                <c:pt idx="301">
                  <c:v>0</c:v>
                </c:pt>
                <c:pt idx="302">
                  <c:v>12.35</c:v>
                </c:pt>
                <c:pt idx="303">
                  <c:v>8.0500000000000007</c:v>
                </c:pt>
                <c:pt idx="304">
                  <c:v>151.55000000000001</c:v>
                </c:pt>
                <c:pt idx="305">
                  <c:v>110.88330000000001</c:v>
                </c:pt>
                <c:pt idx="306">
                  <c:v>108.9</c:v>
                </c:pt>
                <c:pt idx="307">
                  <c:v>24</c:v>
                </c:pt>
                <c:pt idx="308">
                  <c:v>56.929200000000002</c:v>
                </c:pt>
                <c:pt idx="309">
                  <c:v>83.158299999999997</c:v>
                </c:pt>
                <c:pt idx="310">
                  <c:v>262.375</c:v>
                </c:pt>
                <c:pt idx="311">
                  <c:v>26</c:v>
                </c:pt>
                <c:pt idx="312">
                  <c:v>7.8958000000000004</c:v>
                </c:pt>
                <c:pt idx="313">
                  <c:v>26.25</c:v>
                </c:pt>
                <c:pt idx="314">
                  <c:v>7.8541999999999996</c:v>
                </c:pt>
                <c:pt idx="315">
                  <c:v>26</c:v>
                </c:pt>
                <c:pt idx="316">
                  <c:v>14</c:v>
                </c:pt>
                <c:pt idx="317">
                  <c:v>164.86670000000001</c:v>
                </c:pt>
                <c:pt idx="318">
                  <c:v>134.5</c:v>
                </c:pt>
                <c:pt idx="319">
                  <c:v>7.25</c:v>
                </c:pt>
                <c:pt idx="320">
                  <c:v>7.8958000000000004</c:v>
                </c:pt>
                <c:pt idx="321">
                  <c:v>12.35</c:v>
                </c:pt>
                <c:pt idx="322">
                  <c:v>29</c:v>
                </c:pt>
                <c:pt idx="323">
                  <c:v>69.55</c:v>
                </c:pt>
                <c:pt idx="324">
                  <c:v>135.63329999999999</c:v>
                </c:pt>
                <c:pt idx="325">
                  <c:v>6.2374999999999998</c:v>
                </c:pt>
                <c:pt idx="326">
                  <c:v>13</c:v>
                </c:pt>
                <c:pt idx="327">
                  <c:v>20.524999999999999</c:v>
                </c:pt>
                <c:pt idx="328">
                  <c:v>57.979199999999999</c:v>
                </c:pt>
                <c:pt idx="329">
                  <c:v>23.25</c:v>
                </c:pt>
                <c:pt idx="330">
                  <c:v>28.5</c:v>
                </c:pt>
                <c:pt idx="331">
                  <c:v>153.46250000000001</c:v>
                </c:pt>
                <c:pt idx="332">
                  <c:v>18</c:v>
                </c:pt>
                <c:pt idx="333">
                  <c:v>133.65</c:v>
                </c:pt>
                <c:pt idx="334">
                  <c:v>7.8958000000000004</c:v>
                </c:pt>
                <c:pt idx="335">
                  <c:v>66.599999999999994</c:v>
                </c:pt>
                <c:pt idx="336">
                  <c:v>134.5</c:v>
                </c:pt>
                <c:pt idx="337">
                  <c:v>8.0500000000000007</c:v>
                </c:pt>
                <c:pt idx="338">
                  <c:v>35.5</c:v>
                </c:pt>
                <c:pt idx="339">
                  <c:v>26</c:v>
                </c:pt>
                <c:pt idx="340">
                  <c:v>263</c:v>
                </c:pt>
                <c:pt idx="341">
                  <c:v>13</c:v>
                </c:pt>
                <c:pt idx="342">
                  <c:v>13</c:v>
                </c:pt>
                <c:pt idx="343">
                  <c:v>13</c:v>
                </c:pt>
                <c:pt idx="344">
                  <c:v>13</c:v>
                </c:pt>
                <c:pt idx="345">
                  <c:v>13</c:v>
                </c:pt>
                <c:pt idx="346">
                  <c:v>16.100000000000001</c:v>
                </c:pt>
                <c:pt idx="347">
                  <c:v>15.9</c:v>
                </c:pt>
                <c:pt idx="348">
                  <c:v>8.6624999999999996</c:v>
                </c:pt>
                <c:pt idx="349">
                  <c:v>9.2249999999999996</c:v>
                </c:pt>
                <c:pt idx="350">
                  <c:v>35</c:v>
                </c:pt>
                <c:pt idx="351">
                  <c:v>7.2291999999999996</c:v>
                </c:pt>
                <c:pt idx="352">
                  <c:v>17.8</c:v>
                </c:pt>
                <c:pt idx="353">
                  <c:v>7.2249999999999996</c:v>
                </c:pt>
                <c:pt idx="354">
                  <c:v>9.5</c:v>
                </c:pt>
                <c:pt idx="355">
                  <c:v>55</c:v>
                </c:pt>
                <c:pt idx="356">
                  <c:v>13</c:v>
                </c:pt>
                <c:pt idx="357">
                  <c:v>7.8792</c:v>
                </c:pt>
                <c:pt idx="358">
                  <c:v>7.8792</c:v>
                </c:pt>
                <c:pt idx="359">
                  <c:v>27.9</c:v>
                </c:pt>
                <c:pt idx="360">
                  <c:v>27.720800000000001</c:v>
                </c:pt>
                <c:pt idx="361">
                  <c:v>14.4542</c:v>
                </c:pt>
                <c:pt idx="362">
                  <c:v>7.05</c:v>
                </c:pt>
                <c:pt idx="363">
                  <c:v>15.5</c:v>
                </c:pt>
                <c:pt idx="364">
                  <c:v>7.25</c:v>
                </c:pt>
                <c:pt idx="365">
                  <c:v>75.25</c:v>
                </c:pt>
                <c:pt idx="366">
                  <c:v>7.2291999999999996</c:v>
                </c:pt>
                <c:pt idx="367">
                  <c:v>7.75</c:v>
                </c:pt>
                <c:pt idx="368">
                  <c:v>69.3</c:v>
                </c:pt>
                <c:pt idx="369">
                  <c:v>55.441699999999997</c:v>
                </c:pt>
                <c:pt idx="370">
                  <c:v>6.4958</c:v>
                </c:pt>
                <c:pt idx="371">
                  <c:v>8.0500000000000007</c:v>
                </c:pt>
                <c:pt idx="372">
                  <c:v>135.63329999999999</c:v>
                </c:pt>
                <c:pt idx="373">
                  <c:v>21.074999999999999</c:v>
                </c:pt>
                <c:pt idx="374">
                  <c:v>82.1708</c:v>
                </c:pt>
                <c:pt idx="375">
                  <c:v>7.25</c:v>
                </c:pt>
                <c:pt idx="376">
                  <c:v>211.5</c:v>
                </c:pt>
                <c:pt idx="377">
                  <c:v>4.0125000000000002</c:v>
                </c:pt>
                <c:pt idx="378">
                  <c:v>7.7750000000000004</c:v>
                </c:pt>
                <c:pt idx="379">
                  <c:v>227.52500000000001</c:v>
                </c:pt>
                <c:pt idx="380">
                  <c:v>15.7417</c:v>
                </c:pt>
                <c:pt idx="381">
                  <c:v>7.9249999999999998</c:v>
                </c:pt>
                <c:pt idx="382">
                  <c:v>52</c:v>
                </c:pt>
                <c:pt idx="383">
                  <c:v>7.8958000000000004</c:v>
                </c:pt>
                <c:pt idx="384">
                  <c:v>73.5</c:v>
                </c:pt>
                <c:pt idx="385">
                  <c:v>46.9</c:v>
                </c:pt>
                <c:pt idx="386">
                  <c:v>13</c:v>
                </c:pt>
                <c:pt idx="387">
                  <c:v>7.7291999999999996</c:v>
                </c:pt>
                <c:pt idx="388">
                  <c:v>12</c:v>
                </c:pt>
                <c:pt idx="389">
                  <c:v>120</c:v>
                </c:pt>
                <c:pt idx="390">
                  <c:v>7.7957999999999998</c:v>
                </c:pt>
                <c:pt idx="391">
                  <c:v>7.9249999999999998</c:v>
                </c:pt>
                <c:pt idx="392">
                  <c:v>113.27500000000001</c:v>
                </c:pt>
                <c:pt idx="393">
                  <c:v>16.7</c:v>
                </c:pt>
                <c:pt idx="394">
                  <c:v>7.7957999999999998</c:v>
                </c:pt>
                <c:pt idx="395">
                  <c:v>7.8541999999999996</c:v>
                </c:pt>
                <c:pt idx="396">
                  <c:v>26</c:v>
                </c:pt>
                <c:pt idx="397">
                  <c:v>10.5</c:v>
                </c:pt>
                <c:pt idx="398">
                  <c:v>12.65</c:v>
                </c:pt>
                <c:pt idx="399">
                  <c:v>7.9249999999999998</c:v>
                </c:pt>
                <c:pt idx="400">
                  <c:v>8.0500000000000007</c:v>
                </c:pt>
                <c:pt idx="401">
                  <c:v>9.8249999999999993</c:v>
                </c:pt>
                <c:pt idx="402">
                  <c:v>15.85</c:v>
                </c:pt>
                <c:pt idx="403">
                  <c:v>8.6624999999999996</c:v>
                </c:pt>
                <c:pt idx="404">
                  <c:v>21</c:v>
                </c:pt>
                <c:pt idx="405">
                  <c:v>7.75</c:v>
                </c:pt>
                <c:pt idx="406">
                  <c:v>18.75</c:v>
                </c:pt>
                <c:pt idx="407">
                  <c:v>7.7750000000000004</c:v>
                </c:pt>
                <c:pt idx="408">
                  <c:v>25.466699999999999</c:v>
                </c:pt>
                <c:pt idx="409">
                  <c:v>7.8958000000000004</c:v>
                </c:pt>
                <c:pt idx="410">
                  <c:v>6.8582999999999998</c:v>
                </c:pt>
                <c:pt idx="411">
                  <c:v>90</c:v>
                </c:pt>
                <c:pt idx="412">
                  <c:v>0</c:v>
                </c:pt>
                <c:pt idx="413">
                  <c:v>7.9249999999999998</c:v>
                </c:pt>
                <c:pt idx="414">
                  <c:v>8.0500000000000007</c:v>
                </c:pt>
                <c:pt idx="415">
                  <c:v>32.5</c:v>
                </c:pt>
                <c:pt idx="416">
                  <c:v>13</c:v>
                </c:pt>
                <c:pt idx="417">
                  <c:v>13</c:v>
                </c:pt>
                <c:pt idx="418">
                  <c:v>24.15</c:v>
                </c:pt>
                <c:pt idx="419">
                  <c:v>7.8958000000000004</c:v>
                </c:pt>
                <c:pt idx="420">
                  <c:v>7.7332999999999998</c:v>
                </c:pt>
                <c:pt idx="421">
                  <c:v>7.875</c:v>
                </c:pt>
                <c:pt idx="422">
                  <c:v>14.4</c:v>
                </c:pt>
                <c:pt idx="423">
                  <c:v>20.212499999999999</c:v>
                </c:pt>
                <c:pt idx="424">
                  <c:v>7.25</c:v>
                </c:pt>
                <c:pt idx="425">
                  <c:v>26</c:v>
                </c:pt>
                <c:pt idx="426">
                  <c:v>26</c:v>
                </c:pt>
                <c:pt idx="427">
                  <c:v>7.75</c:v>
                </c:pt>
                <c:pt idx="428">
                  <c:v>8.0500000000000007</c:v>
                </c:pt>
                <c:pt idx="429">
                  <c:v>26.55</c:v>
                </c:pt>
                <c:pt idx="430">
                  <c:v>16.100000000000001</c:v>
                </c:pt>
                <c:pt idx="431">
                  <c:v>26</c:v>
                </c:pt>
                <c:pt idx="432">
                  <c:v>7.125</c:v>
                </c:pt>
                <c:pt idx="433">
                  <c:v>55.9</c:v>
                </c:pt>
                <c:pt idx="434">
                  <c:v>120</c:v>
                </c:pt>
                <c:pt idx="435">
                  <c:v>34.375</c:v>
                </c:pt>
                <c:pt idx="436">
                  <c:v>18.75</c:v>
                </c:pt>
                <c:pt idx="437">
                  <c:v>263</c:v>
                </c:pt>
                <c:pt idx="438">
                  <c:v>10.5</c:v>
                </c:pt>
                <c:pt idx="439">
                  <c:v>26.25</c:v>
                </c:pt>
                <c:pt idx="440">
                  <c:v>9.5</c:v>
                </c:pt>
                <c:pt idx="441">
                  <c:v>7.7750000000000004</c:v>
                </c:pt>
                <c:pt idx="442">
                  <c:v>13</c:v>
                </c:pt>
                <c:pt idx="443">
                  <c:v>8.1125000000000007</c:v>
                </c:pt>
                <c:pt idx="444">
                  <c:v>81.8583</c:v>
                </c:pt>
                <c:pt idx="445">
                  <c:v>19.5</c:v>
                </c:pt>
                <c:pt idx="446">
                  <c:v>26.55</c:v>
                </c:pt>
                <c:pt idx="447">
                  <c:v>19.258299999999998</c:v>
                </c:pt>
                <c:pt idx="448">
                  <c:v>30.5</c:v>
                </c:pt>
                <c:pt idx="449">
                  <c:v>27.75</c:v>
                </c:pt>
                <c:pt idx="450">
                  <c:v>19.966699999999999</c:v>
                </c:pt>
                <c:pt idx="451">
                  <c:v>27.75</c:v>
                </c:pt>
                <c:pt idx="452">
                  <c:v>89.104200000000006</c:v>
                </c:pt>
                <c:pt idx="453">
                  <c:v>8.0500000000000007</c:v>
                </c:pt>
                <c:pt idx="454">
                  <c:v>7.8958000000000004</c:v>
                </c:pt>
                <c:pt idx="455">
                  <c:v>26.55</c:v>
                </c:pt>
                <c:pt idx="456">
                  <c:v>51.862499999999997</c:v>
                </c:pt>
                <c:pt idx="457">
                  <c:v>10.5</c:v>
                </c:pt>
                <c:pt idx="458">
                  <c:v>7.75</c:v>
                </c:pt>
                <c:pt idx="459">
                  <c:v>26.55</c:v>
                </c:pt>
                <c:pt idx="460">
                  <c:v>8.0500000000000007</c:v>
                </c:pt>
                <c:pt idx="461">
                  <c:v>38.5</c:v>
                </c:pt>
                <c:pt idx="462">
                  <c:v>13</c:v>
                </c:pt>
                <c:pt idx="463">
                  <c:v>8.0500000000000007</c:v>
                </c:pt>
                <c:pt idx="464">
                  <c:v>7.05</c:v>
                </c:pt>
                <c:pt idx="465">
                  <c:v>0</c:v>
                </c:pt>
                <c:pt idx="466">
                  <c:v>26.55</c:v>
                </c:pt>
                <c:pt idx="467">
                  <c:v>7.7249999999999996</c:v>
                </c:pt>
                <c:pt idx="468">
                  <c:v>19.258299999999998</c:v>
                </c:pt>
                <c:pt idx="469">
                  <c:v>7.25</c:v>
                </c:pt>
                <c:pt idx="470">
                  <c:v>8.6624999999999996</c:v>
                </c:pt>
                <c:pt idx="471">
                  <c:v>27.75</c:v>
                </c:pt>
                <c:pt idx="472">
                  <c:v>13.791700000000001</c:v>
                </c:pt>
                <c:pt idx="473">
                  <c:v>9.8375000000000004</c:v>
                </c:pt>
                <c:pt idx="474">
                  <c:v>52</c:v>
                </c:pt>
                <c:pt idx="475">
                  <c:v>21</c:v>
                </c:pt>
                <c:pt idx="476">
                  <c:v>7.0457999999999998</c:v>
                </c:pt>
                <c:pt idx="477">
                  <c:v>7.5208000000000004</c:v>
                </c:pt>
                <c:pt idx="478">
                  <c:v>12.2875</c:v>
                </c:pt>
                <c:pt idx="479">
                  <c:v>46.9</c:v>
                </c:pt>
                <c:pt idx="480">
                  <c:v>0</c:v>
                </c:pt>
                <c:pt idx="481">
                  <c:v>8.0500000000000007</c:v>
                </c:pt>
                <c:pt idx="482">
                  <c:v>9.5875000000000004</c:v>
                </c:pt>
                <c:pt idx="483">
                  <c:v>91.0792</c:v>
                </c:pt>
                <c:pt idx="484">
                  <c:v>25.466699999999999</c:v>
                </c:pt>
                <c:pt idx="485">
                  <c:v>90</c:v>
                </c:pt>
                <c:pt idx="486">
                  <c:v>29.7</c:v>
                </c:pt>
                <c:pt idx="487">
                  <c:v>8.0500000000000007</c:v>
                </c:pt>
                <c:pt idx="488">
                  <c:v>15.9</c:v>
                </c:pt>
                <c:pt idx="489">
                  <c:v>19.966699999999999</c:v>
                </c:pt>
                <c:pt idx="490">
                  <c:v>7.25</c:v>
                </c:pt>
                <c:pt idx="491">
                  <c:v>30.5</c:v>
                </c:pt>
                <c:pt idx="492">
                  <c:v>49.504199999999997</c:v>
                </c:pt>
                <c:pt idx="493">
                  <c:v>8.0500000000000007</c:v>
                </c:pt>
                <c:pt idx="494">
                  <c:v>14.458299999999999</c:v>
                </c:pt>
                <c:pt idx="495">
                  <c:v>78.2667</c:v>
                </c:pt>
                <c:pt idx="496">
                  <c:v>15.1</c:v>
                </c:pt>
                <c:pt idx="497">
                  <c:v>151.55000000000001</c:v>
                </c:pt>
              </c:numCache>
            </c:numRef>
          </c:xVal>
          <c:yVal>
            <c:numRef>
              <c:f>regression!$C$25:$C$522</c:f>
              <c:numCache>
                <c:formatCode>General</c:formatCode>
                <c:ptCount val="498"/>
                <c:pt idx="0">
                  <c:v>0.52853724978234251</c:v>
                </c:pt>
                <c:pt idx="1">
                  <c:v>0.66346310816690313</c:v>
                </c:pt>
                <c:pt idx="2">
                  <c:v>0.56725983799515722</c:v>
                </c:pt>
                <c:pt idx="3">
                  <c:v>-0.33680308793207797</c:v>
                </c:pt>
                <c:pt idx="4">
                  <c:v>-0.33767259086978962</c:v>
                </c:pt>
                <c:pt idx="5">
                  <c:v>-0.4301048206249305</c:v>
                </c:pt>
                <c:pt idx="6">
                  <c:v>-0.36454072144590177</c:v>
                </c:pt>
                <c:pt idx="7">
                  <c:v>0.65663081261201628</c:v>
                </c:pt>
                <c:pt idx="8">
                  <c:v>0.6163021036163896</c:v>
                </c:pt>
                <c:pt idx="9">
                  <c:v>0.64477614201843447</c:v>
                </c:pt>
                <c:pt idx="10">
                  <c:v>0.62379988941872888</c:v>
                </c:pt>
                <c:pt idx="11">
                  <c:v>-0.33680308793207797</c:v>
                </c:pt>
                <c:pt idx="12">
                  <c:v>-0.38626232312275416</c:v>
                </c:pt>
                <c:pt idx="13">
                  <c:v>-0.33638611836263405</c:v>
                </c:pt>
                <c:pt idx="14">
                  <c:v>0.64626684017272829</c:v>
                </c:pt>
                <c:pt idx="15">
                  <c:v>-0.38168375022028034</c:v>
                </c:pt>
                <c:pt idx="16">
                  <c:v>0.65265554654827307</c:v>
                </c:pt>
                <c:pt idx="17">
                  <c:v>-0.35799229741096827</c:v>
                </c:pt>
                <c:pt idx="18">
                  <c:v>0.66495380632119683</c:v>
                </c:pt>
                <c:pt idx="19">
                  <c:v>-0.37502884774575451</c:v>
                </c:pt>
                <c:pt idx="20">
                  <c:v>0.65265554654827307</c:v>
                </c:pt>
                <c:pt idx="21">
                  <c:v>0.66324120709879253</c:v>
                </c:pt>
                <c:pt idx="22">
                  <c:v>0.60474024873168686</c:v>
                </c:pt>
                <c:pt idx="23">
                  <c:v>-0.36454072144590177</c:v>
                </c:pt>
                <c:pt idx="24">
                  <c:v>0.61349810038816299</c:v>
                </c:pt>
                <c:pt idx="25">
                  <c:v>-0.33504619367880312</c:v>
                </c:pt>
                <c:pt idx="26">
                  <c:v>-0.87973665141379565</c:v>
                </c:pt>
                <c:pt idx="27">
                  <c:v>0.66356064241756973</c:v>
                </c:pt>
                <c:pt idx="28">
                  <c:v>-0.33647470842437494</c:v>
                </c:pt>
                <c:pt idx="29">
                  <c:v>-0.37869340972276699</c:v>
                </c:pt>
                <c:pt idx="30">
                  <c:v>0.36831381780565797</c:v>
                </c:pt>
                <c:pt idx="31">
                  <c:v>0.6638357827054765</c:v>
                </c:pt>
                <c:pt idx="32">
                  <c:v>-0.34202053147210626</c:v>
                </c:pt>
                <c:pt idx="33">
                  <c:v>-0.49464843043890561</c:v>
                </c:pt>
                <c:pt idx="34">
                  <c:v>-0.43039763633380967</c:v>
                </c:pt>
                <c:pt idx="35">
                  <c:v>0.66494486213227111</c:v>
                </c:pt>
                <c:pt idx="36">
                  <c:v>-0.33680308793207797</c:v>
                </c:pt>
                <c:pt idx="37">
                  <c:v>-0.35799229741096827</c:v>
                </c:pt>
                <c:pt idx="38">
                  <c:v>0.65639996735497985</c:v>
                </c:pt>
                <c:pt idx="39">
                  <c:v>-0.33983772346046176</c:v>
                </c:pt>
                <c:pt idx="40">
                  <c:v>-0.36438100378651311</c:v>
                </c:pt>
                <c:pt idx="41">
                  <c:v>-0.33647470842437494</c:v>
                </c:pt>
                <c:pt idx="42">
                  <c:v>0.59179417413228286</c:v>
                </c:pt>
                <c:pt idx="43">
                  <c:v>0.66356064241756973</c:v>
                </c:pt>
                <c:pt idx="44">
                  <c:v>-0.33680308793207797</c:v>
                </c:pt>
                <c:pt idx="45">
                  <c:v>-0.3526683754313476</c:v>
                </c:pt>
                <c:pt idx="46">
                  <c:v>0.6638357827054765</c:v>
                </c:pt>
                <c:pt idx="47">
                  <c:v>-0.36582740690993648</c:v>
                </c:pt>
                <c:pt idx="48">
                  <c:v>-0.35756638365259863</c:v>
                </c:pt>
                <c:pt idx="49">
                  <c:v>-0.40417732058417777</c:v>
                </c:pt>
                <c:pt idx="50">
                  <c:v>-0.33627069573411589</c:v>
                </c:pt>
                <c:pt idx="51">
                  <c:v>0.51693983109881603</c:v>
                </c:pt>
                <c:pt idx="52">
                  <c:v>0.62497115225424549</c:v>
                </c:pt>
                <c:pt idx="53">
                  <c:v>-0.45164902922142192</c:v>
                </c:pt>
                <c:pt idx="54">
                  <c:v>0.60474024873168686</c:v>
                </c:pt>
                <c:pt idx="55">
                  <c:v>0.65797946852789368</c:v>
                </c:pt>
                <c:pt idx="56">
                  <c:v>-0.33505513786772889</c:v>
                </c:pt>
                <c:pt idx="57">
                  <c:v>0.62124440686851101</c:v>
                </c:pt>
                <c:pt idx="58">
                  <c:v>-0.41953683549538345</c:v>
                </c:pt>
                <c:pt idx="59">
                  <c:v>-0.33505513786772889</c:v>
                </c:pt>
                <c:pt idx="60">
                  <c:v>0.5099744374944386</c:v>
                </c:pt>
                <c:pt idx="61">
                  <c:v>-0.49742581405723407</c:v>
                </c:pt>
                <c:pt idx="62">
                  <c:v>-0.37907502845026619</c:v>
                </c:pt>
                <c:pt idx="63">
                  <c:v>-0.37869340972276699</c:v>
                </c:pt>
                <c:pt idx="64">
                  <c:v>0.64787296095554026</c:v>
                </c:pt>
                <c:pt idx="65">
                  <c:v>0.65797946852789368</c:v>
                </c:pt>
                <c:pt idx="66">
                  <c:v>-0.33703372023223516</c:v>
                </c:pt>
                <c:pt idx="67">
                  <c:v>0.66346310816690313</c:v>
                </c:pt>
                <c:pt idx="68">
                  <c:v>-0.33810744881708504</c:v>
                </c:pt>
                <c:pt idx="69">
                  <c:v>-0.34202053147210626</c:v>
                </c:pt>
                <c:pt idx="70">
                  <c:v>-0.41953683549538345</c:v>
                </c:pt>
                <c:pt idx="71">
                  <c:v>-0.47618336535854755</c:v>
                </c:pt>
                <c:pt idx="72">
                  <c:v>-0.35044127238883271</c:v>
                </c:pt>
                <c:pt idx="73">
                  <c:v>0.56002824829179887</c:v>
                </c:pt>
                <c:pt idx="74">
                  <c:v>-0.33595126041533863</c:v>
                </c:pt>
                <c:pt idx="75">
                  <c:v>-0.33647470842437494</c:v>
                </c:pt>
                <c:pt idx="76">
                  <c:v>-0.33680308793207797</c:v>
                </c:pt>
                <c:pt idx="77">
                  <c:v>0.6185824458787007</c:v>
                </c:pt>
                <c:pt idx="78">
                  <c:v>0.6537735701639934</c:v>
                </c:pt>
                <c:pt idx="79">
                  <c:v>-0.33882617828433381</c:v>
                </c:pt>
                <c:pt idx="80">
                  <c:v>0.66010903731974202</c:v>
                </c:pt>
                <c:pt idx="81">
                  <c:v>0.66375592387578219</c:v>
                </c:pt>
                <c:pt idx="82">
                  <c:v>-0.4199627492537531</c:v>
                </c:pt>
                <c:pt idx="83">
                  <c:v>0.65797946852789368</c:v>
                </c:pt>
                <c:pt idx="84">
                  <c:v>0.64658627549150549</c:v>
                </c:pt>
                <c:pt idx="85">
                  <c:v>-0.39286398637748382</c:v>
                </c:pt>
                <c:pt idx="86">
                  <c:v>-0.33680308793207797</c:v>
                </c:pt>
                <c:pt idx="87">
                  <c:v>0.12026334858620435</c:v>
                </c:pt>
                <c:pt idx="88">
                  <c:v>-0.33680308793207797</c:v>
                </c:pt>
                <c:pt idx="89">
                  <c:v>-0.33680308793207797</c:v>
                </c:pt>
                <c:pt idx="90">
                  <c:v>-0.33638611836263405</c:v>
                </c:pt>
                <c:pt idx="91">
                  <c:v>-0.44993642999901756</c:v>
                </c:pt>
                <c:pt idx="92">
                  <c:v>-0.3634759370499776</c:v>
                </c:pt>
                <c:pt idx="93">
                  <c:v>-0.33509943289859934</c:v>
                </c:pt>
                <c:pt idx="94">
                  <c:v>-0.33680308793207797</c:v>
                </c:pt>
                <c:pt idx="95">
                  <c:v>-0.39345856198416784</c:v>
                </c:pt>
                <c:pt idx="96">
                  <c:v>0.54541408245774003</c:v>
                </c:pt>
                <c:pt idx="97">
                  <c:v>0.63135985862979038</c:v>
                </c:pt>
                <c:pt idx="98">
                  <c:v>-0.37502884774575451</c:v>
                </c:pt>
                <c:pt idx="99">
                  <c:v>-0.33647470842437494</c:v>
                </c:pt>
                <c:pt idx="100">
                  <c:v>-0.33647470842437494</c:v>
                </c:pt>
                <c:pt idx="101">
                  <c:v>-0.48424910715767289</c:v>
                </c:pt>
                <c:pt idx="102">
                  <c:v>-0.33808977339611268</c:v>
                </c:pt>
                <c:pt idx="103">
                  <c:v>-0.33653689183309693</c:v>
                </c:pt>
                <c:pt idx="104">
                  <c:v>-0.33647470842437494</c:v>
                </c:pt>
                <c:pt idx="105">
                  <c:v>0.66404873958466137</c:v>
                </c:pt>
                <c:pt idx="106">
                  <c:v>0.66378254348568033</c:v>
                </c:pt>
                <c:pt idx="107">
                  <c:v>-0.33647470842437494</c:v>
                </c:pt>
                <c:pt idx="108">
                  <c:v>0.62891085451916484</c:v>
                </c:pt>
                <c:pt idx="109">
                  <c:v>-0.43039763633380967</c:v>
                </c:pt>
                <c:pt idx="110">
                  <c:v>-0.35044127238883271</c:v>
                </c:pt>
                <c:pt idx="111">
                  <c:v>-0.33680308793207797</c:v>
                </c:pt>
                <c:pt idx="112">
                  <c:v>-0.34058307253760867</c:v>
                </c:pt>
                <c:pt idx="113">
                  <c:v>-0.35045000362087925</c:v>
                </c:pt>
                <c:pt idx="114">
                  <c:v>-0.33653689183309693</c:v>
                </c:pt>
                <c:pt idx="115">
                  <c:v>-0.3361642172945235</c:v>
                </c:pt>
                <c:pt idx="116">
                  <c:v>-0.36438100378651311</c:v>
                </c:pt>
                <c:pt idx="117">
                  <c:v>-0.84677263017101789</c:v>
                </c:pt>
                <c:pt idx="118">
                  <c:v>-0.38626232312275416</c:v>
                </c:pt>
                <c:pt idx="119">
                  <c:v>-0.47618336535854755</c:v>
                </c:pt>
                <c:pt idx="120">
                  <c:v>-0.33680308793207797</c:v>
                </c:pt>
                <c:pt idx="121">
                  <c:v>-0.38369789638361046</c:v>
                </c:pt>
                <c:pt idx="122">
                  <c:v>0.65265554654827307</c:v>
                </c:pt>
                <c:pt idx="123">
                  <c:v>-0.48424910715767289</c:v>
                </c:pt>
                <c:pt idx="124">
                  <c:v>0.65639996735497985</c:v>
                </c:pt>
                <c:pt idx="125">
                  <c:v>-0.3361642172945235</c:v>
                </c:pt>
                <c:pt idx="126">
                  <c:v>0.66513119940155785</c:v>
                </c:pt>
                <c:pt idx="127">
                  <c:v>0.63272640292351934</c:v>
                </c:pt>
                <c:pt idx="128">
                  <c:v>-0.33451380148084109</c:v>
                </c:pt>
                <c:pt idx="129">
                  <c:v>-0.33647470842437494</c:v>
                </c:pt>
                <c:pt idx="130">
                  <c:v>-0.33467351914022969</c:v>
                </c:pt>
                <c:pt idx="131">
                  <c:v>-0.35053880663949932</c:v>
                </c:pt>
                <c:pt idx="132">
                  <c:v>0.62497115225424549</c:v>
                </c:pt>
                <c:pt idx="133">
                  <c:v>-0.34734445345172693</c:v>
                </c:pt>
                <c:pt idx="134">
                  <c:v>-0.3517011252860901</c:v>
                </c:pt>
                <c:pt idx="135">
                  <c:v>0.62436784541551482</c:v>
                </c:pt>
                <c:pt idx="136">
                  <c:v>-0.43274016200484278</c:v>
                </c:pt>
                <c:pt idx="137">
                  <c:v>-0.33928765584152737</c:v>
                </c:pt>
                <c:pt idx="138">
                  <c:v>-0.48832190747208271</c:v>
                </c:pt>
                <c:pt idx="139">
                  <c:v>-0.3521270390444598</c:v>
                </c:pt>
                <c:pt idx="140">
                  <c:v>0.6638357827054765</c:v>
                </c:pt>
                <c:pt idx="141">
                  <c:v>0.64658627549150549</c:v>
                </c:pt>
                <c:pt idx="142">
                  <c:v>-0.33403464850267522</c:v>
                </c:pt>
                <c:pt idx="143">
                  <c:v>-0.34415010026395454</c:v>
                </c:pt>
                <c:pt idx="144">
                  <c:v>-0.39792171225812345</c:v>
                </c:pt>
                <c:pt idx="145">
                  <c:v>0.66373824845480989</c:v>
                </c:pt>
                <c:pt idx="146">
                  <c:v>-0.39286398637748382</c:v>
                </c:pt>
                <c:pt idx="147">
                  <c:v>-0.37502884774575451</c:v>
                </c:pt>
                <c:pt idx="148">
                  <c:v>-0.34734445345172693</c:v>
                </c:pt>
                <c:pt idx="149">
                  <c:v>-0.34633290827559898</c:v>
                </c:pt>
                <c:pt idx="150">
                  <c:v>0.53851065930520559</c:v>
                </c:pt>
                <c:pt idx="151">
                  <c:v>-0.33680308793207797</c:v>
                </c:pt>
                <c:pt idx="152">
                  <c:v>-0.35053880663949932</c:v>
                </c:pt>
                <c:pt idx="153">
                  <c:v>-0.33523253094808986</c:v>
                </c:pt>
                <c:pt idx="154">
                  <c:v>-0.45037128794631298</c:v>
                </c:pt>
                <c:pt idx="155">
                  <c:v>0.66387134650430046</c:v>
                </c:pt>
                <c:pt idx="156">
                  <c:v>-0.33680308793207797</c:v>
                </c:pt>
                <c:pt idx="157">
                  <c:v>-0.33810744881708504</c:v>
                </c:pt>
                <c:pt idx="158">
                  <c:v>-0.46777156863074687</c:v>
                </c:pt>
                <c:pt idx="159">
                  <c:v>-0.35394611670645659</c:v>
                </c:pt>
                <c:pt idx="160">
                  <c:v>0.64679923237069037</c:v>
                </c:pt>
                <c:pt idx="161">
                  <c:v>-0.33621745651431967</c:v>
                </c:pt>
                <c:pt idx="162">
                  <c:v>-0.33810744881708504</c:v>
                </c:pt>
                <c:pt idx="163">
                  <c:v>-0.40417732058417777</c:v>
                </c:pt>
                <c:pt idx="164">
                  <c:v>0.63663054138961483</c:v>
                </c:pt>
                <c:pt idx="165">
                  <c:v>0.56321365729064554</c:v>
                </c:pt>
                <c:pt idx="166">
                  <c:v>-0.37907502845026619</c:v>
                </c:pt>
                <c:pt idx="167">
                  <c:v>-0.37486913008636591</c:v>
                </c:pt>
                <c:pt idx="168">
                  <c:v>-0.43997175170820113</c:v>
                </c:pt>
                <c:pt idx="169">
                  <c:v>-0.39100061368461658</c:v>
                </c:pt>
                <c:pt idx="170">
                  <c:v>-0.38168375022028034</c:v>
                </c:pt>
                <c:pt idx="171">
                  <c:v>0.65663081261201628</c:v>
                </c:pt>
                <c:pt idx="172">
                  <c:v>-0.33653689183309693</c:v>
                </c:pt>
                <c:pt idx="173">
                  <c:v>-0.38502887687851561</c:v>
                </c:pt>
                <c:pt idx="174">
                  <c:v>-0.33638611836263405</c:v>
                </c:pt>
                <c:pt idx="175">
                  <c:v>-0.37389314870906182</c:v>
                </c:pt>
                <c:pt idx="176">
                  <c:v>-0.38080530309364297</c:v>
                </c:pt>
                <c:pt idx="177">
                  <c:v>-0.34734445345172693</c:v>
                </c:pt>
                <c:pt idx="178">
                  <c:v>-0.31966005915769935</c:v>
                </c:pt>
                <c:pt idx="179">
                  <c:v>-0.46777156863074687</c:v>
                </c:pt>
                <c:pt idx="180">
                  <c:v>-0.35171006947501587</c:v>
                </c:pt>
                <c:pt idx="181">
                  <c:v>-0.38650189961183706</c:v>
                </c:pt>
                <c:pt idx="182">
                  <c:v>0.59728675796021791</c:v>
                </c:pt>
                <c:pt idx="183">
                  <c:v>0.63343618820184244</c:v>
                </c:pt>
                <c:pt idx="184">
                  <c:v>-0.42613849875011311</c:v>
                </c:pt>
                <c:pt idx="185">
                  <c:v>0.64733162456865245</c:v>
                </c:pt>
                <c:pt idx="186">
                  <c:v>0.62379988941872888</c:v>
                </c:pt>
                <c:pt idx="187">
                  <c:v>-0.3526683754313476</c:v>
                </c:pt>
                <c:pt idx="188">
                  <c:v>-0.33647470842437494</c:v>
                </c:pt>
                <c:pt idx="189">
                  <c:v>0.65265554654827307</c:v>
                </c:pt>
                <c:pt idx="190">
                  <c:v>-0.34734445345172693</c:v>
                </c:pt>
                <c:pt idx="191">
                  <c:v>0.66361388163736601</c:v>
                </c:pt>
                <c:pt idx="192">
                  <c:v>0.62497115225424549</c:v>
                </c:pt>
                <c:pt idx="193">
                  <c:v>0.62130659027723301</c:v>
                </c:pt>
                <c:pt idx="194">
                  <c:v>0.36831381780565797</c:v>
                </c:pt>
                <c:pt idx="195">
                  <c:v>-0.3361642172945235</c:v>
                </c:pt>
                <c:pt idx="196">
                  <c:v>-0.3375573811981506</c:v>
                </c:pt>
                <c:pt idx="197">
                  <c:v>0.6638357827054765</c:v>
                </c:pt>
                <c:pt idx="198">
                  <c:v>-0.34734445345172693</c:v>
                </c:pt>
                <c:pt idx="199">
                  <c:v>-0.33989096268025798</c:v>
                </c:pt>
                <c:pt idx="200">
                  <c:v>-0.46777156863074687</c:v>
                </c:pt>
                <c:pt idx="201">
                  <c:v>-0.33349331211578737</c:v>
                </c:pt>
                <c:pt idx="202">
                  <c:v>-0.33504619367880312</c:v>
                </c:pt>
                <c:pt idx="203">
                  <c:v>0.66319691206792197</c:v>
                </c:pt>
                <c:pt idx="204">
                  <c:v>-0.3419406726424119</c:v>
                </c:pt>
                <c:pt idx="205">
                  <c:v>-0.35341372450849451</c:v>
                </c:pt>
                <c:pt idx="206">
                  <c:v>0.64033066716545117</c:v>
                </c:pt>
                <c:pt idx="207">
                  <c:v>0.6638357827054765</c:v>
                </c:pt>
                <c:pt idx="208">
                  <c:v>0.61432330829500414</c:v>
                </c:pt>
                <c:pt idx="209">
                  <c:v>-0.33467351914022969</c:v>
                </c:pt>
                <c:pt idx="210">
                  <c:v>0.63561899621348683</c:v>
                </c:pt>
                <c:pt idx="211">
                  <c:v>-0.33509943289859934</c:v>
                </c:pt>
                <c:pt idx="212">
                  <c:v>-0.34734445345172693</c:v>
                </c:pt>
                <c:pt idx="213">
                  <c:v>-0.3361642172945235</c:v>
                </c:pt>
                <c:pt idx="214">
                  <c:v>0.43911303594568729</c:v>
                </c:pt>
                <c:pt idx="215">
                  <c:v>0.66346310816690313</c:v>
                </c:pt>
                <c:pt idx="216">
                  <c:v>-0.37715841653760279</c:v>
                </c:pt>
                <c:pt idx="217">
                  <c:v>0.51787151744524962</c:v>
                </c:pt>
                <c:pt idx="218">
                  <c:v>-0.34202053147210626</c:v>
                </c:pt>
                <c:pt idx="219">
                  <c:v>0.66319691206792197</c:v>
                </c:pt>
                <c:pt idx="220">
                  <c:v>-0.34734445345172693</c:v>
                </c:pt>
                <c:pt idx="221">
                  <c:v>-0.33680308793207797</c:v>
                </c:pt>
                <c:pt idx="222">
                  <c:v>-0.33647470842437494</c:v>
                </c:pt>
                <c:pt idx="223">
                  <c:v>0.48867874957595592</c:v>
                </c:pt>
                <c:pt idx="224">
                  <c:v>-0.33957152736148072</c:v>
                </c:pt>
                <c:pt idx="225">
                  <c:v>0.65797946852789368</c:v>
                </c:pt>
                <c:pt idx="226">
                  <c:v>-0.33509943289859934</c:v>
                </c:pt>
                <c:pt idx="227">
                  <c:v>-0.34734445345172693</c:v>
                </c:pt>
                <c:pt idx="228">
                  <c:v>-0.37389314870906182</c:v>
                </c:pt>
                <c:pt idx="229">
                  <c:v>0.50257418594276593</c:v>
                </c:pt>
                <c:pt idx="230">
                  <c:v>-0.33621745651431967</c:v>
                </c:pt>
                <c:pt idx="231">
                  <c:v>-0.34840923784765104</c:v>
                </c:pt>
                <c:pt idx="232">
                  <c:v>0.61349810038816299</c:v>
                </c:pt>
                <c:pt idx="233">
                  <c:v>-0.34202053147210626</c:v>
                </c:pt>
                <c:pt idx="234">
                  <c:v>-0.3357383035361538</c:v>
                </c:pt>
                <c:pt idx="235">
                  <c:v>-0.37502884774575451</c:v>
                </c:pt>
                <c:pt idx="236">
                  <c:v>0.6244387600562834</c:v>
                </c:pt>
                <c:pt idx="237">
                  <c:v>-0.34202053147210626</c:v>
                </c:pt>
                <c:pt idx="238">
                  <c:v>-0.34580051607763695</c:v>
                </c:pt>
                <c:pt idx="239">
                  <c:v>-0.35044127238883271</c:v>
                </c:pt>
                <c:pt idx="240">
                  <c:v>0.64733162456865245</c:v>
                </c:pt>
                <c:pt idx="241">
                  <c:v>-0.34202053147210626</c:v>
                </c:pt>
                <c:pt idx="242">
                  <c:v>-0.33483323679961829</c:v>
                </c:pt>
                <c:pt idx="243">
                  <c:v>-0.33504619367880312</c:v>
                </c:pt>
                <c:pt idx="244">
                  <c:v>-0.51132125042404408</c:v>
                </c:pt>
                <c:pt idx="245">
                  <c:v>-0.33621745651431967</c:v>
                </c:pt>
                <c:pt idx="246">
                  <c:v>0.64946119336050068</c:v>
                </c:pt>
                <c:pt idx="247">
                  <c:v>0.568422156641748</c:v>
                </c:pt>
                <c:pt idx="248">
                  <c:v>-0.37502884774575451</c:v>
                </c:pt>
                <c:pt idx="249">
                  <c:v>-0.33509943289859934</c:v>
                </c:pt>
                <c:pt idx="250">
                  <c:v>-0.3419406726424119</c:v>
                </c:pt>
                <c:pt idx="251">
                  <c:v>-0.37620011058127106</c:v>
                </c:pt>
                <c:pt idx="252">
                  <c:v>-0.35394611670645659</c:v>
                </c:pt>
                <c:pt idx="253">
                  <c:v>-0.36270396836293262</c:v>
                </c:pt>
                <c:pt idx="254">
                  <c:v>0.64787296095554026</c:v>
                </c:pt>
                <c:pt idx="255">
                  <c:v>0.51167809252791729</c:v>
                </c:pt>
                <c:pt idx="256">
                  <c:v>0.49613224034742487</c:v>
                </c:pt>
                <c:pt idx="257">
                  <c:v>-0.41070033463029265</c:v>
                </c:pt>
                <c:pt idx="258">
                  <c:v>0.62497115225424549</c:v>
                </c:pt>
                <c:pt idx="259">
                  <c:v>-0.3361642172945235</c:v>
                </c:pt>
                <c:pt idx="260">
                  <c:v>0.61349810038816299</c:v>
                </c:pt>
                <c:pt idx="261">
                  <c:v>-0.48928021342841443</c:v>
                </c:pt>
                <c:pt idx="262">
                  <c:v>-0.31966005915769935</c:v>
                </c:pt>
                <c:pt idx="263">
                  <c:v>-0.3361642172945235</c:v>
                </c:pt>
                <c:pt idx="264">
                  <c:v>-0.34202053147210626</c:v>
                </c:pt>
                <c:pt idx="265">
                  <c:v>-0.40417732058417777</c:v>
                </c:pt>
                <c:pt idx="266">
                  <c:v>0.66378254348568033</c:v>
                </c:pt>
                <c:pt idx="267">
                  <c:v>0.35353099012328482</c:v>
                </c:pt>
                <c:pt idx="268">
                  <c:v>0.39149949802690598</c:v>
                </c:pt>
                <c:pt idx="269">
                  <c:v>-0.38567669170499586</c:v>
                </c:pt>
                <c:pt idx="270">
                  <c:v>0.68033994084230065</c:v>
                </c:pt>
                <c:pt idx="271">
                  <c:v>0.63881334940125933</c:v>
                </c:pt>
                <c:pt idx="272">
                  <c:v>-0.38290825227559311</c:v>
                </c:pt>
                <c:pt idx="273">
                  <c:v>0.6638357827054765</c:v>
                </c:pt>
                <c:pt idx="274">
                  <c:v>0.51432237809675529</c:v>
                </c:pt>
                <c:pt idx="275">
                  <c:v>-0.3361642172945235</c:v>
                </c:pt>
                <c:pt idx="276">
                  <c:v>-0.31966005915769935</c:v>
                </c:pt>
                <c:pt idx="277">
                  <c:v>-0.38168375022028034</c:v>
                </c:pt>
                <c:pt idx="278">
                  <c:v>0.63721617280737308</c:v>
                </c:pt>
                <c:pt idx="279">
                  <c:v>-0.3361642172945235</c:v>
                </c:pt>
                <c:pt idx="280">
                  <c:v>-0.33638611836263405</c:v>
                </c:pt>
                <c:pt idx="281">
                  <c:v>-0.33989096268025798</c:v>
                </c:pt>
                <c:pt idx="282">
                  <c:v>0.66319691206792197</c:v>
                </c:pt>
                <c:pt idx="283">
                  <c:v>-0.37502884774575451</c:v>
                </c:pt>
                <c:pt idx="284">
                  <c:v>-0.33810744881708504</c:v>
                </c:pt>
                <c:pt idx="285">
                  <c:v>0.66010903731974202</c:v>
                </c:pt>
                <c:pt idx="286">
                  <c:v>-0.33647470842437494</c:v>
                </c:pt>
                <c:pt idx="287">
                  <c:v>0.65265554654827307</c:v>
                </c:pt>
                <c:pt idx="288">
                  <c:v>0.6638357827054765</c:v>
                </c:pt>
                <c:pt idx="289">
                  <c:v>0.51242344160506414</c:v>
                </c:pt>
                <c:pt idx="290">
                  <c:v>0.48638051893579326</c:v>
                </c:pt>
                <c:pt idx="291">
                  <c:v>-0.34707825735274589</c:v>
                </c:pt>
                <c:pt idx="292">
                  <c:v>-0.33850674296555661</c:v>
                </c:pt>
                <c:pt idx="293">
                  <c:v>-0.33647470842437494</c:v>
                </c:pt>
                <c:pt idx="294">
                  <c:v>-0.37869340972276699</c:v>
                </c:pt>
                <c:pt idx="295">
                  <c:v>-0.33505513786772889</c:v>
                </c:pt>
                <c:pt idx="296">
                  <c:v>-0.64239620956230548</c:v>
                </c:pt>
                <c:pt idx="297">
                  <c:v>0.61538809269092831</c:v>
                </c:pt>
                <c:pt idx="298">
                  <c:v>0.15322736982898211</c:v>
                </c:pt>
                <c:pt idx="299">
                  <c:v>0.6638357827054765</c:v>
                </c:pt>
                <c:pt idx="300">
                  <c:v>0.6308274664318283</c:v>
                </c:pt>
                <c:pt idx="301">
                  <c:v>-0.31966005915769935</c:v>
                </c:pt>
                <c:pt idx="302">
                  <c:v>0.65403976626297444</c:v>
                </c:pt>
                <c:pt idx="303">
                  <c:v>-0.33680308793207797</c:v>
                </c:pt>
                <c:pt idx="304">
                  <c:v>0.35760379043769452</c:v>
                </c:pt>
                <c:pt idx="305">
                  <c:v>0.44420632562515083</c:v>
                </c:pt>
                <c:pt idx="306">
                  <c:v>0.44842989941002354</c:v>
                </c:pt>
                <c:pt idx="307">
                  <c:v>-0.37076971016205795</c:v>
                </c:pt>
                <c:pt idx="308">
                  <c:v>0.55910529317741187</c:v>
                </c:pt>
                <c:pt idx="309">
                  <c:v>0.5032486203791442</c:v>
                </c:pt>
                <c:pt idx="310">
                  <c:v>0.12159432908110945</c:v>
                </c:pt>
                <c:pt idx="311">
                  <c:v>-0.37502884774575451</c:v>
                </c:pt>
                <c:pt idx="312">
                  <c:v>-0.33647470842437494</c:v>
                </c:pt>
                <c:pt idx="313">
                  <c:v>-0.3755612399437166</c:v>
                </c:pt>
                <c:pt idx="314">
                  <c:v>0.66361388163736601</c:v>
                </c:pt>
                <c:pt idx="315">
                  <c:v>0.62497115225424549</c:v>
                </c:pt>
                <c:pt idx="316">
                  <c:v>-0.34947402224357521</c:v>
                </c:pt>
                <c:pt idx="317">
                  <c:v>0.32924496170728856</c:v>
                </c:pt>
                <c:pt idx="318">
                  <c:v>0.39391293833870766</c:v>
                </c:pt>
                <c:pt idx="319">
                  <c:v>-0.33509943289859934</c:v>
                </c:pt>
                <c:pt idx="320">
                  <c:v>-0.33647470842437494</c:v>
                </c:pt>
                <c:pt idx="321">
                  <c:v>0.65403976626297444</c:v>
                </c:pt>
                <c:pt idx="322">
                  <c:v>0.6185824458787007</c:v>
                </c:pt>
                <c:pt idx="323">
                  <c:v>-0.46777156863074687</c:v>
                </c:pt>
                <c:pt idx="324">
                  <c:v>0.39149949802690598</c:v>
                </c:pt>
                <c:pt idx="325">
                  <c:v>-0.33294324449685297</c:v>
                </c:pt>
                <c:pt idx="326">
                  <c:v>0.65265554654827307</c:v>
                </c:pt>
                <c:pt idx="327">
                  <c:v>0.63663054138961483</c:v>
                </c:pt>
                <c:pt idx="328">
                  <c:v>0.5568692459459712</c:v>
                </c:pt>
                <c:pt idx="329">
                  <c:v>0.6308274664318283</c:v>
                </c:pt>
                <c:pt idx="330">
                  <c:v>-0.38035276972537518</c:v>
                </c:pt>
                <c:pt idx="331">
                  <c:v>-0.64646900987671518</c:v>
                </c:pt>
                <c:pt idx="332">
                  <c:v>-0.35799229741096827</c:v>
                </c:pt>
                <c:pt idx="333">
                  <c:v>0.39572307181177868</c:v>
                </c:pt>
                <c:pt idx="334">
                  <c:v>-0.33647470842437494</c:v>
                </c:pt>
                <c:pt idx="335">
                  <c:v>-0.46148934069479441</c:v>
                </c:pt>
                <c:pt idx="336">
                  <c:v>0.39391293833870766</c:v>
                </c:pt>
                <c:pt idx="337">
                  <c:v>0.66319691206792197</c:v>
                </c:pt>
                <c:pt idx="338">
                  <c:v>-0.39525975126831314</c:v>
                </c:pt>
                <c:pt idx="339">
                  <c:v>0.62497115225424549</c:v>
                </c:pt>
                <c:pt idx="340">
                  <c:v>0.12026334858620435</c:v>
                </c:pt>
                <c:pt idx="341">
                  <c:v>-0.34734445345172693</c:v>
                </c:pt>
                <c:pt idx="342">
                  <c:v>-0.34734445345172693</c:v>
                </c:pt>
                <c:pt idx="343">
                  <c:v>-0.34734445345172693</c:v>
                </c:pt>
                <c:pt idx="344">
                  <c:v>0.65265554654827307</c:v>
                </c:pt>
                <c:pt idx="345">
                  <c:v>0.65265554654827307</c:v>
                </c:pt>
                <c:pt idx="346">
                  <c:v>0.64605388329354341</c:v>
                </c:pt>
                <c:pt idx="347">
                  <c:v>0.64647979705191305</c:v>
                </c:pt>
                <c:pt idx="348">
                  <c:v>-0.33810744881708504</c:v>
                </c:pt>
                <c:pt idx="349">
                  <c:v>-0.33930533126249968</c:v>
                </c:pt>
                <c:pt idx="350">
                  <c:v>-0.39419496687238897</c:v>
                </c:pt>
                <c:pt idx="351">
                  <c:v>-0.33505513786772889</c:v>
                </c:pt>
                <c:pt idx="352">
                  <c:v>-0.35756638365259863</c:v>
                </c:pt>
                <c:pt idx="353">
                  <c:v>-0.33504619367880312</c:v>
                </c:pt>
                <c:pt idx="354">
                  <c:v>-0.33989096268025798</c:v>
                </c:pt>
                <c:pt idx="355">
                  <c:v>0.56321365729064554</c:v>
                </c:pt>
                <c:pt idx="356">
                  <c:v>-0.34734445345172693</c:v>
                </c:pt>
                <c:pt idx="357">
                  <c:v>0.66356064241756973</c:v>
                </c:pt>
                <c:pt idx="358">
                  <c:v>0.66356064241756973</c:v>
                </c:pt>
                <c:pt idx="359">
                  <c:v>-0.37907502845026619</c:v>
                </c:pt>
                <c:pt idx="360">
                  <c:v>-0.37869340972276699</c:v>
                </c:pt>
                <c:pt idx="361">
                  <c:v>-0.35044127238883271</c:v>
                </c:pt>
                <c:pt idx="362">
                  <c:v>-0.33467351914022969</c:v>
                </c:pt>
                <c:pt idx="363">
                  <c:v>-0.3526683754313476</c:v>
                </c:pt>
                <c:pt idx="364">
                  <c:v>-0.33509943289859934</c:v>
                </c:pt>
                <c:pt idx="365">
                  <c:v>0.52008988925571797</c:v>
                </c:pt>
                <c:pt idx="366">
                  <c:v>0.66494486213227111</c:v>
                </c:pt>
                <c:pt idx="367">
                  <c:v>0.6638357827054765</c:v>
                </c:pt>
                <c:pt idx="368">
                  <c:v>0.53276082356721521</c:v>
                </c:pt>
                <c:pt idx="369">
                  <c:v>0.56227302675528612</c:v>
                </c:pt>
                <c:pt idx="370">
                  <c:v>-0.33349331211578737</c:v>
                </c:pt>
                <c:pt idx="371">
                  <c:v>-0.33680308793207797</c:v>
                </c:pt>
                <c:pt idx="372">
                  <c:v>-0.60850050197309402</c:v>
                </c:pt>
                <c:pt idx="373">
                  <c:v>-0.36454072144590177</c:v>
                </c:pt>
                <c:pt idx="374">
                  <c:v>0.50535156956109439</c:v>
                </c:pt>
                <c:pt idx="375">
                  <c:v>0.66490056710140066</c:v>
                </c:pt>
                <c:pt idx="376">
                  <c:v>-0.77006385863360949</c:v>
                </c:pt>
                <c:pt idx="377">
                  <c:v>-0.32820495393499055</c:v>
                </c:pt>
                <c:pt idx="378">
                  <c:v>-0.33621745651431967</c:v>
                </c:pt>
                <c:pt idx="379">
                  <c:v>0.19580980147702187</c:v>
                </c:pt>
                <c:pt idx="380">
                  <c:v>0.64681690779166268</c:v>
                </c:pt>
                <c:pt idx="381">
                  <c:v>-0.33653689183309693</c:v>
                </c:pt>
                <c:pt idx="382">
                  <c:v>0.56960236366619033</c:v>
                </c:pt>
                <c:pt idx="383">
                  <c:v>-0.33647470842437494</c:v>
                </c:pt>
                <c:pt idx="384">
                  <c:v>-0.47618336535854755</c:v>
                </c:pt>
                <c:pt idx="385">
                  <c:v>-0.41953683549538345</c:v>
                </c:pt>
                <c:pt idx="386">
                  <c:v>0.65265554654827307</c:v>
                </c:pt>
                <c:pt idx="387">
                  <c:v>-0.33611992226365306</c:v>
                </c:pt>
                <c:pt idx="388">
                  <c:v>0.6547851153401214</c:v>
                </c:pt>
                <c:pt idx="389">
                  <c:v>0.42479168582050764</c:v>
                </c:pt>
                <c:pt idx="390">
                  <c:v>0.66373824845480989</c:v>
                </c:pt>
                <c:pt idx="391">
                  <c:v>-0.33653689183309693</c:v>
                </c:pt>
                <c:pt idx="392">
                  <c:v>0.43911303594568729</c:v>
                </c:pt>
                <c:pt idx="393">
                  <c:v>0.64477614201843447</c:v>
                </c:pt>
                <c:pt idx="394">
                  <c:v>-0.33626175154519011</c:v>
                </c:pt>
                <c:pt idx="395">
                  <c:v>-0.33638611836263405</c:v>
                </c:pt>
                <c:pt idx="396">
                  <c:v>-0.37502884774575451</c:v>
                </c:pt>
                <c:pt idx="397">
                  <c:v>-0.34202053147210626</c:v>
                </c:pt>
                <c:pt idx="398">
                  <c:v>0.65340089562542003</c:v>
                </c:pt>
                <c:pt idx="399">
                  <c:v>0.66346310816690313</c:v>
                </c:pt>
                <c:pt idx="400">
                  <c:v>-0.33680308793207797</c:v>
                </c:pt>
                <c:pt idx="401">
                  <c:v>-0.34058307253760867</c:v>
                </c:pt>
                <c:pt idx="402">
                  <c:v>-0.35341372450849451</c:v>
                </c:pt>
                <c:pt idx="403">
                  <c:v>-0.33810744881708504</c:v>
                </c:pt>
                <c:pt idx="404">
                  <c:v>-0.36438100378651311</c:v>
                </c:pt>
                <c:pt idx="405">
                  <c:v>-0.3361642172945235</c:v>
                </c:pt>
                <c:pt idx="406">
                  <c:v>0.64041052599514547</c:v>
                </c:pt>
                <c:pt idx="407">
                  <c:v>-0.33621745651431967</c:v>
                </c:pt>
                <c:pt idx="408">
                  <c:v>-0.37389314870906182</c:v>
                </c:pt>
                <c:pt idx="409">
                  <c:v>-0.33647470842437494</c:v>
                </c:pt>
                <c:pt idx="410">
                  <c:v>-0.33426528080283235</c:v>
                </c:pt>
                <c:pt idx="411">
                  <c:v>0.48867874957595592</c:v>
                </c:pt>
                <c:pt idx="412">
                  <c:v>-0.31966005915769935</c:v>
                </c:pt>
                <c:pt idx="413">
                  <c:v>0.66346310816690313</c:v>
                </c:pt>
                <c:pt idx="414">
                  <c:v>-0.33680308793207797</c:v>
                </c:pt>
                <c:pt idx="415">
                  <c:v>0.61112895510723164</c:v>
                </c:pt>
                <c:pt idx="416">
                  <c:v>0.65265554654827307</c:v>
                </c:pt>
                <c:pt idx="417">
                  <c:v>-0.34734445345172693</c:v>
                </c:pt>
                <c:pt idx="418">
                  <c:v>-0.37108914548083516</c:v>
                </c:pt>
                <c:pt idx="419">
                  <c:v>-0.33647470842437494</c:v>
                </c:pt>
                <c:pt idx="420">
                  <c:v>-0.33612865349569959</c:v>
                </c:pt>
                <c:pt idx="421">
                  <c:v>-0.33643041339350449</c:v>
                </c:pt>
                <c:pt idx="422">
                  <c:v>-0.3503258497603145</c:v>
                </c:pt>
                <c:pt idx="423">
                  <c:v>-0.36270396836293262</c:v>
                </c:pt>
                <c:pt idx="424">
                  <c:v>-0.33509943289859934</c:v>
                </c:pt>
                <c:pt idx="425">
                  <c:v>0.62497115225424549</c:v>
                </c:pt>
                <c:pt idx="426">
                  <c:v>0.62497115225424549</c:v>
                </c:pt>
                <c:pt idx="427">
                  <c:v>-0.3361642172945235</c:v>
                </c:pt>
                <c:pt idx="428">
                  <c:v>0.66319691206792197</c:v>
                </c:pt>
                <c:pt idx="429">
                  <c:v>0.62379988941872888</c:v>
                </c:pt>
                <c:pt idx="430">
                  <c:v>0.64605388329354341</c:v>
                </c:pt>
                <c:pt idx="431">
                  <c:v>0.62497115225424549</c:v>
                </c:pt>
                <c:pt idx="432">
                  <c:v>-0.33483323679961829</c:v>
                </c:pt>
                <c:pt idx="433">
                  <c:v>-0.43870295462201792</c:v>
                </c:pt>
                <c:pt idx="434">
                  <c:v>0.42479168582050764</c:v>
                </c:pt>
                <c:pt idx="435">
                  <c:v>-0.39286398637748382</c:v>
                </c:pt>
                <c:pt idx="436">
                  <c:v>0.64041052599514547</c:v>
                </c:pt>
                <c:pt idx="437">
                  <c:v>-0.87973665141379565</c:v>
                </c:pt>
                <c:pt idx="438">
                  <c:v>-0.34202053147210626</c:v>
                </c:pt>
                <c:pt idx="439">
                  <c:v>0.6244387600562834</c:v>
                </c:pt>
                <c:pt idx="440">
                  <c:v>-0.33989096268025798</c:v>
                </c:pt>
                <c:pt idx="441">
                  <c:v>-0.33621745651431967</c:v>
                </c:pt>
                <c:pt idx="442">
                  <c:v>0.65265554654827307</c:v>
                </c:pt>
                <c:pt idx="443">
                  <c:v>0.66306381401843151</c:v>
                </c:pt>
                <c:pt idx="444">
                  <c:v>0.50601705980854694</c:v>
                </c:pt>
                <c:pt idx="445">
                  <c:v>0.63881334940125933</c:v>
                </c:pt>
                <c:pt idx="446">
                  <c:v>0.62379988941872888</c:v>
                </c:pt>
                <c:pt idx="447">
                  <c:v>0.639328066178249</c:v>
                </c:pt>
                <c:pt idx="448">
                  <c:v>0.61538809269092831</c:v>
                </c:pt>
                <c:pt idx="449">
                  <c:v>-0.37875559313148899</c:v>
                </c:pt>
                <c:pt idx="450">
                  <c:v>-0.36218052035389631</c:v>
                </c:pt>
                <c:pt idx="451">
                  <c:v>-0.37875559313148899</c:v>
                </c:pt>
                <c:pt idx="452">
                  <c:v>0.49058641729969354</c:v>
                </c:pt>
                <c:pt idx="453">
                  <c:v>-0.33680308793207797</c:v>
                </c:pt>
                <c:pt idx="454">
                  <c:v>0.66352529157562512</c:v>
                </c:pt>
                <c:pt idx="455">
                  <c:v>-0.37620011058127106</c:v>
                </c:pt>
                <c:pt idx="456">
                  <c:v>0.5698951793750695</c:v>
                </c:pt>
                <c:pt idx="457">
                  <c:v>0.65797946852789368</c:v>
                </c:pt>
                <c:pt idx="458">
                  <c:v>-0.3361642172945235</c:v>
                </c:pt>
                <c:pt idx="459">
                  <c:v>0.62379988941872888</c:v>
                </c:pt>
                <c:pt idx="460">
                  <c:v>-0.33680308793207797</c:v>
                </c:pt>
                <c:pt idx="461">
                  <c:v>-0.40164845764385793</c:v>
                </c:pt>
                <c:pt idx="462">
                  <c:v>-0.34734445345172693</c:v>
                </c:pt>
                <c:pt idx="463">
                  <c:v>-0.33680308793207797</c:v>
                </c:pt>
                <c:pt idx="464">
                  <c:v>-0.33467351914022969</c:v>
                </c:pt>
                <c:pt idx="465">
                  <c:v>-0.31966005915769935</c:v>
                </c:pt>
                <c:pt idx="466">
                  <c:v>-0.37620011058127106</c:v>
                </c:pt>
                <c:pt idx="467">
                  <c:v>-0.33611097807472728</c:v>
                </c:pt>
                <c:pt idx="468">
                  <c:v>0.639328066178249</c:v>
                </c:pt>
                <c:pt idx="469">
                  <c:v>-0.33509943289859934</c:v>
                </c:pt>
                <c:pt idx="470">
                  <c:v>-0.33810744881708504</c:v>
                </c:pt>
                <c:pt idx="471">
                  <c:v>0.62124440686851101</c:v>
                </c:pt>
                <c:pt idx="472">
                  <c:v>0.6509695669357668</c:v>
                </c:pt>
                <c:pt idx="473">
                  <c:v>-0.34060969214750675</c:v>
                </c:pt>
                <c:pt idx="474">
                  <c:v>-0.43039763633380967</c:v>
                </c:pt>
                <c:pt idx="475">
                  <c:v>-0.36438100378651311</c:v>
                </c:pt>
                <c:pt idx="476">
                  <c:v>-0.33466457495130392</c:v>
                </c:pt>
                <c:pt idx="477">
                  <c:v>-0.33567612012743187</c:v>
                </c:pt>
                <c:pt idx="478">
                  <c:v>0.65417286431246491</c:v>
                </c:pt>
                <c:pt idx="479">
                  <c:v>-0.41953683549538345</c:v>
                </c:pt>
                <c:pt idx="480">
                  <c:v>-0.31966005915769935</c:v>
                </c:pt>
                <c:pt idx="481">
                  <c:v>-0.33680308793207797</c:v>
                </c:pt>
                <c:pt idx="482">
                  <c:v>0.65992270005045528</c:v>
                </c:pt>
                <c:pt idx="483">
                  <c:v>0.48638051893579326</c:v>
                </c:pt>
                <c:pt idx="484">
                  <c:v>-0.37389314870906182</c:v>
                </c:pt>
                <c:pt idx="485">
                  <c:v>0.48867874957595592</c:v>
                </c:pt>
                <c:pt idx="486">
                  <c:v>-0.38290825227559311</c:v>
                </c:pt>
                <c:pt idx="487">
                  <c:v>-0.33680308793207797</c:v>
                </c:pt>
                <c:pt idx="488">
                  <c:v>0.64647979705191305</c:v>
                </c:pt>
                <c:pt idx="489">
                  <c:v>-0.36218052035389631</c:v>
                </c:pt>
                <c:pt idx="490">
                  <c:v>-0.33509943289859934</c:v>
                </c:pt>
                <c:pt idx="491">
                  <c:v>-0.38461190730907174</c:v>
                </c:pt>
                <c:pt idx="492">
                  <c:v>-0.42508265854311472</c:v>
                </c:pt>
                <c:pt idx="493">
                  <c:v>-0.33680308793207797</c:v>
                </c:pt>
                <c:pt idx="494">
                  <c:v>-0.35045000362087925</c:v>
                </c:pt>
                <c:pt idx="495">
                  <c:v>0.51366561908134933</c:v>
                </c:pt>
                <c:pt idx="496">
                  <c:v>-0.35181654791460831</c:v>
                </c:pt>
                <c:pt idx="497">
                  <c:v>-0.64239620956230548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D7E-4C43-9253-FC7E103B7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5919471"/>
        <c:axId val="617930399"/>
      </c:scatterChart>
      <c:valAx>
        <c:axId val="7059194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7.25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617930399"/>
        <c:crosses val="autoZero"/>
        <c:crossBetween val="midCat"/>
      </c:valAx>
      <c:valAx>
        <c:axId val="61793039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0591947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7.25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train!$J$3:$J$500</c:f>
              <c:numCache>
                <c:formatCode>0.00</c:formatCode>
                <c:ptCount val="498"/>
                <c:pt idx="0">
                  <c:v>71.283299999999997</c:v>
                </c:pt>
                <c:pt idx="1">
                  <c:v>7.9249999999999998</c:v>
                </c:pt>
                <c:pt idx="2">
                  <c:v>53.1</c:v>
                </c:pt>
                <c:pt idx="3">
                  <c:v>8.0500000000000007</c:v>
                </c:pt>
                <c:pt idx="4">
                  <c:v>8.4582999999999995</c:v>
                </c:pt>
                <c:pt idx="5">
                  <c:v>51.862499999999997</c:v>
                </c:pt>
                <c:pt idx="6">
                  <c:v>21.074999999999999</c:v>
                </c:pt>
                <c:pt idx="7">
                  <c:v>11.1333</c:v>
                </c:pt>
                <c:pt idx="8">
                  <c:v>30.070799999999998</c:v>
                </c:pt>
                <c:pt idx="9">
                  <c:v>16.7</c:v>
                </c:pt>
                <c:pt idx="10">
                  <c:v>26.55</c:v>
                </c:pt>
                <c:pt idx="11">
                  <c:v>8.0500000000000007</c:v>
                </c:pt>
                <c:pt idx="12">
                  <c:v>31.274999999999999</c:v>
                </c:pt>
                <c:pt idx="13">
                  <c:v>7.8541999999999996</c:v>
                </c:pt>
                <c:pt idx="14">
                  <c:v>16</c:v>
                </c:pt>
                <c:pt idx="15">
                  <c:v>29.125</c:v>
                </c:pt>
                <c:pt idx="16">
                  <c:v>13</c:v>
                </c:pt>
                <c:pt idx="17">
                  <c:v>18</c:v>
                </c:pt>
                <c:pt idx="18">
                  <c:v>7.2249999999999996</c:v>
                </c:pt>
                <c:pt idx="19">
                  <c:v>26</c:v>
                </c:pt>
                <c:pt idx="20">
                  <c:v>13</c:v>
                </c:pt>
                <c:pt idx="21">
                  <c:v>8.0291999999999994</c:v>
                </c:pt>
                <c:pt idx="22">
                  <c:v>35.5</c:v>
                </c:pt>
                <c:pt idx="23">
                  <c:v>21.074999999999999</c:v>
                </c:pt>
                <c:pt idx="24">
                  <c:v>31.387499999999999</c:v>
                </c:pt>
                <c:pt idx="25">
                  <c:v>7.2249999999999996</c:v>
                </c:pt>
                <c:pt idx="26">
                  <c:v>263</c:v>
                </c:pt>
                <c:pt idx="27">
                  <c:v>7.8792</c:v>
                </c:pt>
                <c:pt idx="28">
                  <c:v>7.8958000000000004</c:v>
                </c:pt>
                <c:pt idx="29">
                  <c:v>27.720800000000001</c:v>
                </c:pt>
                <c:pt idx="30">
                  <c:v>146.52080000000001</c:v>
                </c:pt>
                <c:pt idx="31">
                  <c:v>7.75</c:v>
                </c:pt>
                <c:pt idx="32">
                  <c:v>10.5</c:v>
                </c:pt>
                <c:pt idx="33">
                  <c:v>82.1708</c:v>
                </c:pt>
                <c:pt idx="34">
                  <c:v>52</c:v>
                </c:pt>
                <c:pt idx="35">
                  <c:v>7.2291999999999996</c:v>
                </c:pt>
                <c:pt idx="36">
                  <c:v>8.0500000000000007</c:v>
                </c:pt>
                <c:pt idx="37">
                  <c:v>18</c:v>
                </c:pt>
                <c:pt idx="38">
                  <c:v>11.2417</c:v>
                </c:pt>
                <c:pt idx="39">
                  <c:v>9.4749999999999996</c:v>
                </c:pt>
                <c:pt idx="40">
                  <c:v>21</c:v>
                </c:pt>
                <c:pt idx="41">
                  <c:v>7.8958000000000004</c:v>
                </c:pt>
                <c:pt idx="42">
                  <c:v>41.5792</c:v>
                </c:pt>
                <c:pt idx="43">
                  <c:v>7.8792</c:v>
                </c:pt>
                <c:pt idx="44">
                  <c:v>8.0500000000000007</c:v>
                </c:pt>
                <c:pt idx="45">
                  <c:v>15.5</c:v>
                </c:pt>
                <c:pt idx="46">
                  <c:v>7.75</c:v>
                </c:pt>
                <c:pt idx="47">
                  <c:v>21.679200000000002</c:v>
                </c:pt>
                <c:pt idx="48">
                  <c:v>17.8</c:v>
                </c:pt>
                <c:pt idx="49">
                  <c:v>39.6875</c:v>
                </c:pt>
                <c:pt idx="50">
                  <c:v>7.8</c:v>
                </c:pt>
                <c:pt idx="51">
                  <c:v>76.729200000000006</c:v>
                </c:pt>
                <c:pt idx="52">
                  <c:v>26</c:v>
                </c:pt>
                <c:pt idx="53">
                  <c:v>61.979199999999999</c:v>
                </c:pt>
                <c:pt idx="54">
                  <c:v>35.5</c:v>
                </c:pt>
                <c:pt idx="55">
                  <c:v>10.5</c:v>
                </c:pt>
                <c:pt idx="56">
                  <c:v>7.2291999999999996</c:v>
                </c:pt>
                <c:pt idx="57">
                  <c:v>27.75</c:v>
                </c:pt>
                <c:pt idx="58">
                  <c:v>46.9</c:v>
                </c:pt>
                <c:pt idx="59">
                  <c:v>7.2291999999999996</c:v>
                </c:pt>
                <c:pt idx="60">
                  <c:v>80</c:v>
                </c:pt>
                <c:pt idx="61">
                  <c:v>83.474999999999994</c:v>
                </c:pt>
                <c:pt idx="62">
                  <c:v>27.9</c:v>
                </c:pt>
                <c:pt idx="63">
                  <c:v>27.720800000000001</c:v>
                </c:pt>
                <c:pt idx="64">
                  <c:v>15.245799999999999</c:v>
                </c:pt>
                <c:pt idx="65">
                  <c:v>10.5</c:v>
                </c:pt>
                <c:pt idx="66">
                  <c:v>8.1583000000000006</c:v>
                </c:pt>
                <c:pt idx="67">
                  <c:v>7.9249999999999998</c:v>
                </c:pt>
                <c:pt idx="68">
                  <c:v>8.6624999999999996</c:v>
                </c:pt>
                <c:pt idx="69">
                  <c:v>10.5</c:v>
                </c:pt>
                <c:pt idx="70">
                  <c:v>46.9</c:v>
                </c:pt>
                <c:pt idx="71">
                  <c:v>73.5</c:v>
                </c:pt>
                <c:pt idx="72">
                  <c:v>14.4542</c:v>
                </c:pt>
                <c:pt idx="73">
                  <c:v>56.495800000000003</c:v>
                </c:pt>
                <c:pt idx="74">
                  <c:v>7.65</c:v>
                </c:pt>
                <c:pt idx="75">
                  <c:v>7.8958000000000004</c:v>
                </c:pt>
                <c:pt idx="76">
                  <c:v>8.0500000000000007</c:v>
                </c:pt>
                <c:pt idx="77">
                  <c:v>29</c:v>
                </c:pt>
                <c:pt idx="78">
                  <c:v>12.475</c:v>
                </c:pt>
                <c:pt idx="79">
                  <c:v>9</c:v>
                </c:pt>
                <c:pt idx="80">
                  <c:v>9.5</c:v>
                </c:pt>
                <c:pt idx="81">
                  <c:v>7.7874999999999996</c:v>
                </c:pt>
                <c:pt idx="82">
                  <c:v>47.1</c:v>
                </c:pt>
                <c:pt idx="83">
                  <c:v>10.5</c:v>
                </c:pt>
                <c:pt idx="84">
                  <c:v>15.85</c:v>
                </c:pt>
                <c:pt idx="85">
                  <c:v>34.375</c:v>
                </c:pt>
                <c:pt idx="86">
                  <c:v>8.0500000000000007</c:v>
                </c:pt>
                <c:pt idx="87">
                  <c:v>263</c:v>
                </c:pt>
                <c:pt idx="88">
                  <c:v>8.0500000000000007</c:v>
                </c:pt>
                <c:pt idx="89">
                  <c:v>8.0500000000000007</c:v>
                </c:pt>
                <c:pt idx="90">
                  <c:v>7.8541999999999996</c:v>
                </c:pt>
                <c:pt idx="91">
                  <c:v>61.174999999999997</c:v>
                </c:pt>
                <c:pt idx="92">
                  <c:v>20.574999999999999</c:v>
                </c:pt>
                <c:pt idx="93">
                  <c:v>7.25</c:v>
                </c:pt>
                <c:pt idx="94">
                  <c:v>8.0500000000000007</c:v>
                </c:pt>
                <c:pt idx="95">
                  <c:v>34.654200000000003</c:v>
                </c:pt>
                <c:pt idx="96">
                  <c:v>63.3583</c:v>
                </c:pt>
                <c:pt idx="97">
                  <c:v>23</c:v>
                </c:pt>
                <c:pt idx="98">
                  <c:v>26</c:v>
                </c:pt>
                <c:pt idx="99">
                  <c:v>7.8958000000000004</c:v>
                </c:pt>
                <c:pt idx="100">
                  <c:v>7.8958000000000004</c:v>
                </c:pt>
                <c:pt idx="101">
                  <c:v>77.287499999999994</c:v>
                </c:pt>
                <c:pt idx="102">
                  <c:v>8.6541999999999994</c:v>
                </c:pt>
                <c:pt idx="103">
                  <c:v>7.9249999999999998</c:v>
                </c:pt>
                <c:pt idx="104">
                  <c:v>7.8958000000000004</c:v>
                </c:pt>
                <c:pt idx="105">
                  <c:v>7.65</c:v>
                </c:pt>
                <c:pt idx="106">
                  <c:v>7.7750000000000004</c:v>
                </c:pt>
                <c:pt idx="107">
                  <c:v>7.8958000000000004</c:v>
                </c:pt>
                <c:pt idx="108">
                  <c:v>24.15</c:v>
                </c:pt>
                <c:pt idx="109">
                  <c:v>52</c:v>
                </c:pt>
                <c:pt idx="110">
                  <c:v>14.4542</c:v>
                </c:pt>
                <c:pt idx="111">
                  <c:v>8.0500000000000007</c:v>
                </c:pt>
                <c:pt idx="112">
                  <c:v>9.8249999999999993</c:v>
                </c:pt>
                <c:pt idx="113">
                  <c:v>14.458299999999999</c:v>
                </c:pt>
                <c:pt idx="114">
                  <c:v>7.9249999999999998</c:v>
                </c:pt>
                <c:pt idx="115">
                  <c:v>7.75</c:v>
                </c:pt>
                <c:pt idx="116">
                  <c:v>21</c:v>
                </c:pt>
                <c:pt idx="117">
                  <c:v>247.52080000000001</c:v>
                </c:pt>
                <c:pt idx="118">
                  <c:v>31.274999999999999</c:v>
                </c:pt>
                <c:pt idx="119">
                  <c:v>73.5</c:v>
                </c:pt>
                <c:pt idx="120">
                  <c:v>8.0500000000000007</c:v>
                </c:pt>
                <c:pt idx="121">
                  <c:v>30.070799999999998</c:v>
                </c:pt>
                <c:pt idx="122">
                  <c:v>13</c:v>
                </c:pt>
                <c:pt idx="123">
                  <c:v>77.287499999999994</c:v>
                </c:pt>
                <c:pt idx="124">
                  <c:v>11.2417</c:v>
                </c:pt>
                <c:pt idx="125">
                  <c:v>7.75</c:v>
                </c:pt>
                <c:pt idx="126">
                  <c:v>7.1417000000000002</c:v>
                </c:pt>
                <c:pt idx="127">
                  <c:v>22.3583</c:v>
                </c:pt>
                <c:pt idx="128">
                  <c:v>6.9749999999999996</c:v>
                </c:pt>
                <c:pt idx="129">
                  <c:v>7.8958000000000004</c:v>
                </c:pt>
                <c:pt idx="130">
                  <c:v>7.05</c:v>
                </c:pt>
                <c:pt idx="131">
                  <c:v>14.5</c:v>
                </c:pt>
                <c:pt idx="132">
                  <c:v>26</c:v>
                </c:pt>
                <c:pt idx="133">
                  <c:v>13</c:v>
                </c:pt>
                <c:pt idx="134">
                  <c:v>15.0458</c:v>
                </c:pt>
                <c:pt idx="135">
                  <c:v>26.283300000000001</c:v>
                </c:pt>
                <c:pt idx="136">
                  <c:v>53.1</c:v>
                </c:pt>
                <c:pt idx="137">
                  <c:v>9.2166999999999994</c:v>
                </c:pt>
                <c:pt idx="138">
                  <c:v>79.2</c:v>
                </c:pt>
                <c:pt idx="139">
                  <c:v>15.245799999999999</c:v>
                </c:pt>
                <c:pt idx="140">
                  <c:v>7.75</c:v>
                </c:pt>
                <c:pt idx="141">
                  <c:v>15.85</c:v>
                </c:pt>
                <c:pt idx="142">
                  <c:v>6.75</c:v>
                </c:pt>
                <c:pt idx="143">
                  <c:v>11.5</c:v>
                </c:pt>
                <c:pt idx="144">
                  <c:v>36.75</c:v>
                </c:pt>
                <c:pt idx="145">
                  <c:v>7.7957999999999998</c:v>
                </c:pt>
                <c:pt idx="146">
                  <c:v>34.375</c:v>
                </c:pt>
                <c:pt idx="147">
                  <c:v>26</c:v>
                </c:pt>
                <c:pt idx="148">
                  <c:v>13</c:v>
                </c:pt>
                <c:pt idx="149">
                  <c:v>12.525</c:v>
                </c:pt>
                <c:pt idx="150">
                  <c:v>66.599999999999994</c:v>
                </c:pt>
                <c:pt idx="151">
                  <c:v>8.0500000000000007</c:v>
                </c:pt>
                <c:pt idx="152">
                  <c:v>14.5</c:v>
                </c:pt>
                <c:pt idx="153">
                  <c:v>7.3125</c:v>
                </c:pt>
                <c:pt idx="154">
                  <c:v>61.379199999999997</c:v>
                </c:pt>
                <c:pt idx="155">
                  <c:v>7.7332999999999998</c:v>
                </c:pt>
                <c:pt idx="156">
                  <c:v>8.0500000000000007</c:v>
                </c:pt>
                <c:pt idx="157">
                  <c:v>8.6624999999999996</c:v>
                </c:pt>
                <c:pt idx="158">
                  <c:v>69.55</c:v>
                </c:pt>
                <c:pt idx="159">
                  <c:v>16.100000000000001</c:v>
                </c:pt>
                <c:pt idx="160">
                  <c:v>15.75</c:v>
                </c:pt>
                <c:pt idx="161">
                  <c:v>7.7750000000000004</c:v>
                </c:pt>
                <c:pt idx="162">
                  <c:v>8.6624999999999996</c:v>
                </c:pt>
                <c:pt idx="163">
                  <c:v>39.6875</c:v>
                </c:pt>
                <c:pt idx="164">
                  <c:v>20.524999999999999</c:v>
                </c:pt>
                <c:pt idx="165">
                  <c:v>55</c:v>
                </c:pt>
                <c:pt idx="166">
                  <c:v>27.9</c:v>
                </c:pt>
                <c:pt idx="167">
                  <c:v>25.925000000000001</c:v>
                </c:pt>
                <c:pt idx="168">
                  <c:v>56.495800000000003</c:v>
                </c:pt>
                <c:pt idx="169">
                  <c:v>33.5</c:v>
                </c:pt>
                <c:pt idx="170">
                  <c:v>29.125</c:v>
                </c:pt>
                <c:pt idx="171">
                  <c:v>11.1333</c:v>
                </c:pt>
                <c:pt idx="172">
                  <c:v>7.9249999999999998</c:v>
                </c:pt>
                <c:pt idx="173">
                  <c:v>30.695799999999998</c:v>
                </c:pt>
                <c:pt idx="174">
                  <c:v>7.8541999999999996</c:v>
                </c:pt>
                <c:pt idx="175">
                  <c:v>25.466699999999999</c:v>
                </c:pt>
                <c:pt idx="176">
                  <c:v>28.712499999999999</c:v>
                </c:pt>
                <c:pt idx="177">
                  <c:v>13</c:v>
                </c:pt>
                <c:pt idx="178">
                  <c:v>0</c:v>
                </c:pt>
                <c:pt idx="179">
                  <c:v>69.55</c:v>
                </c:pt>
                <c:pt idx="180">
                  <c:v>15.05</c:v>
                </c:pt>
                <c:pt idx="181">
                  <c:v>31.387499999999999</c:v>
                </c:pt>
                <c:pt idx="182">
                  <c:v>39</c:v>
                </c:pt>
                <c:pt idx="183">
                  <c:v>22.024999999999999</c:v>
                </c:pt>
                <c:pt idx="184">
                  <c:v>50</c:v>
                </c:pt>
                <c:pt idx="185">
                  <c:v>15.5</c:v>
                </c:pt>
                <c:pt idx="186">
                  <c:v>26.55</c:v>
                </c:pt>
                <c:pt idx="187">
                  <c:v>15.5</c:v>
                </c:pt>
                <c:pt idx="188">
                  <c:v>7.8958000000000004</c:v>
                </c:pt>
                <c:pt idx="189">
                  <c:v>13</c:v>
                </c:pt>
                <c:pt idx="190">
                  <c:v>13</c:v>
                </c:pt>
                <c:pt idx="191">
                  <c:v>7.8541999999999996</c:v>
                </c:pt>
                <c:pt idx="192">
                  <c:v>26</c:v>
                </c:pt>
                <c:pt idx="193">
                  <c:v>27.720800000000001</c:v>
                </c:pt>
                <c:pt idx="194">
                  <c:v>146.52080000000001</c:v>
                </c:pt>
                <c:pt idx="195">
                  <c:v>7.75</c:v>
                </c:pt>
                <c:pt idx="196">
                  <c:v>8.4041999999999994</c:v>
                </c:pt>
                <c:pt idx="197">
                  <c:v>7.75</c:v>
                </c:pt>
                <c:pt idx="198">
                  <c:v>13</c:v>
                </c:pt>
                <c:pt idx="199">
                  <c:v>9.5</c:v>
                </c:pt>
                <c:pt idx="200">
                  <c:v>69.55</c:v>
                </c:pt>
                <c:pt idx="201">
                  <c:v>6.4958</c:v>
                </c:pt>
                <c:pt idx="202">
                  <c:v>7.2249999999999996</c:v>
                </c:pt>
                <c:pt idx="203">
                  <c:v>8.0500000000000007</c:v>
                </c:pt>
                <c:pt idx="204">
                  <c:v>10.4625</c:v>
                </c:pt>
                <c:pt idx="205">
                  <c:v>15.85</c:v>
                </c:pt>
                <c:pt idx="206">
                  <c:v>18.787500000000001</c:v>
                </c:pt>
                <c:pt idx="207">
                  <c:v>7.75</c:v>
                </c:pt>
                <c:pt idx="208">
                  <c:v>31</c:v>
                </c:pt>
                <c:pt idx="209">
                  <c:v>7.05</c:v>
                </c:pt>
                <c:pt idx="210">
                  <c:v>21</c:v>
                </c:pt>
                <c:pt idx="211">
                  <c:v>7.25</c:v>
                </c:pt>
                <c:pt idx="212">
                  <c:v>13</c:v>
                </c:pt>
                <c:pt idx="213">
                  <c:v>7.75</c:v>
                </c:pt>
                <c:pt idx="214">
                  <c:v>113.27500000000001</c:v>
                </c:pt>
                <c:pt idx="215">
                  <c:v>7.9249999999999998</c:v>
                </c:pt>
                <c:pt idx="216">
                  <c:v>27</c:v>
                </c:pt>
                <c:pt idx="217">
                  <c:v>76.291700000000006</c:v>
                </c:pt>
                <c:pt idx="218">
                  <c:v>10.5</c:v>
                </c:pt>
                <c:pt idx="219">
                  <c:v>8.0500000000000007</c:v>
                </c:pt>
                <c:pt idx="220">
                  <c:v>13</c:v>
                </c:pt>
                <c:pt idx="221">
                  <c:v>8.0500000000000007</c:v>
                </c:pt>
                <c:pt idx="222">
                  <c:v>7.8958000000000004</c:v>
                </c:pt>
                <c:pt idx="223">
                  <c:v>90</c:v>
                </c:pt>
                <c:pt idx="224">
                  <c:v>9.35</c:v>
                </c:pt>
                <c:pt idx="225">
                  <c:v>10.5</c:v>
                </c:pt>
                <c:pt idx="226">
                  <c:v>7.25</c:v>
                </c:pt>
                <c:pt idx="227">
                  <c:v>13</c:v>
                </c:pt>
                <c:pt idx="228">
                  <c:v>25.466699999999999</c:v>
                </c:pt>
                <c:pt idx="229">
                  <c:v>83.474999999999994</c:v>
                </c:pt>
                <c:pt idx="230">
                  <c:v>7.7750000000000004</c:v>
                </c:pt>
                <c:pt idx="231">
                  <c:v>13.5</c:v>
                </c:pt>
                <c:pt idx="232">
                  <c:v>31.387499999999999</c:v>
                </c:pt>
                <c:pt idx="233">
                  <c:v>10.5</c:v>
                </c:pt>
                <c:pt idx="234">
                  <c:v>7.55</c:v>
                </c:pt>
                <c:pt idx="235">
                  <c:v>26</c:v>
                </c:pt>
                <c:pt idx="236">
                  <c:v>26.25</c:v>
                </c:pt>
                <c:pt idx="237">
                  <c:v>10.5</c:v>
                </c:pt>
                <c:pt idx="238">
                  <c:v>12.275</c:v>
                </c:pt>
                <c:pt idx="239">
                  <c:v>14.4542</c:v>
                </c:pt>
                <c:pt idx="240">
                  <c:v>15.5</c:v>
                </c:pt>
                <c:pt idx="241">
                  <c:v>10.5</c:v>
                </c:pt>
                <c:pt idx="242">
                  <c:v>7.125</c:v>
                </c:pt>
                <c:pt idx="243">
                  <c:v>7.2249999999999996</c:v>
                </c:pt>
                <c:pt idx="244">
                  <c:v>90</c:v>
                </c:pt>
                <c:pt idx="245">
                  <c:v>7.7750000000000004</c:v>
                </c:pt>
                <c:pt idx="246">
                  <c:v>14.5</c:v>
                </c:pt>
                <c:pt idx="247">
                  <c:v>52.554200000000002</c:v>
                </c:pt>
                <c:pt idx="248">
                  <c:v>26</c:v>
                </c:pt>
                <c:pt idx="249">
                  <c:v>7.25</c:v>
                </c:pt>
                <c:pt idx="250">
                  <c:v>10.4625</c:v>
                </c:pt>
                <c:pt idx="251">
                  <c:v>26.55</c:v>
                </c:pt>
                <c:pt idx="252">
                  <c:v>16.100000000000001</c:v>
                </c:pt>
                <c:pt idx="253">
                  <c:v>20.212499999999999</c:v>
                </c:pt>
                <c:pt idx="254">
                  <c:v>15.245799999999999</c:v>
                </c:pt>
                <c:pt idx="255">
                  <c:v>79.2</c:v>
                </c:pt>
                <c:pt idx="256">
                  <c:v>86.5</c:v>
                </c:pt>
                <c:pt idx="257">
                  <c:v>512.32920000000001</c:v>
                </c:pt>
                <c:pt idx="258">
                  <c:v>26</c:v>
                </c:pt>
                <c:pt idx="259">
                  <c:v>7.75</c:v>
                </c:pt>
                <c:pt idx="260">
                  <c:v>31.387499999999999</c:v>
                </c:pt>
                <c:pt idx="261">
                  <c:v>79.650000000000006</c:v>
                </c:pt>
                <c:pt idx="262">
                  <c:v>0</c:v>
                </c:pt>
                <c:pt idx="263">
                  <c:v>7.75</c:v>
                </c:pt>
                <c:pt idx="264">
                  <c:v>10.5</c:v>
                </c:pt>
                <c:pt idx="265">
                  <c:v>39.6875</c:v>
                </c:pt>
                <c:pt idx="266">
                  <c:v>7.7750000000000004</c:v>
                </c:pt>
                <c:pt idx="267">
                  <c:v>153.46250000000001</c:v>
                </c:pt>
                <c:pt idx="268">
                  <c:v>135.63329999999999</c:v>
                </c:pt>
                <c:pt idx="269">
                  <c:v>31</c:v>
                </c:pt>
                <c:pt idx="270">
                  <c:v>0</c:v>
                </c:pt>
                <c:pt idx="271">
                  <c:v>19.5</c:v>
                </c:pt>
                <c:pt idx="272">
                  <c:v>29.7</c:v>
                </c:pt>
                <c:pt idx="273">
                  <c:v>7.75</c:v>
                </c:pt>
                <c:pt idx="274">
                  <c:v>77.958299999999994</c:v>
                </c:pt>
                <c:pt idx="275">
                  <c:v>7.75</c:v>
                </c:pt>
                <c:pt idx="276">
                  <c:v>0</c:v>
                </c:pt>
                <c:pt idx="277">
                  <c:v>29.125</c:v>
                </c:pt>
                <c:pt idx="278">
                  <c:v>20.25</c:v>
                </c:pt>
                <c:pt idx="279">
                  <c:v>7.75</c:v>
                </c:pt>
                <c:pt idx="280">
                  <c:v>7.8541999999999996</c:v>
                </c:pt>
                <c:pt idx="281">
                  <c:v>9.5</c:v>
                </c:pt>
                <c:pt idx="282">
                  <c:v>8.0500000000000007</c:v>
                </c:pt>
                <c:pt idx="283">
                  <c:v>26</c:v>
                </c:pt>
                <c:pt idx="284">
                  <c:v>8.6624999999999996</c:v>
                </c:pt>
                <c:pt idx="285">
                  <c:v>9.5</c:v>
                </c:pt>
                <c:pt idx="286">
                  <c:v>7.8958000000000004</c:v>
                </c:pt>
                <c:pt idx="287">
                  <c:v>13</c:v>
                </c:pt>
                <c:pt idx="288">
                  <c:v>7.75</c:v>
                </c:pt>
                <c:pt idx="289">
                  <c:v>78.849999999999994</c:v>
                </c:pt>
                <c:pt idx="290">
                  <c:v>91.0792</c:v>
                </c:pt>
                <c:pt idx="291">
                  <c:v>12.875</c:v>
                </c:pt>
                <c:pt idx="292">
                  <c:v>8.85</c:v>
                </c:pt>
                <c:pt idx="293">
                  <c:v>7.8958000000000004</c:v>
                </c:pt>
                <c:pt idx="294">
                  <c:v>27.720800000000001</c:v>
                </c:pt>
                <c:pt idx="295">
                  <c:v>7.2291999999999996</c:v>
                </c:pt>
                <c:pt idx="296">
                  <c:v>151.55000000000001</c:v>
                </c:pt>
                <c:pt idx="297">
                  <c:v>30.5</c:v>
                </c:pt>
                <c:pt idx="298">
                  <c:v>247.52080000000001</c:v>
                </c:pt>
                <c:pt idx="299">
                  <c:v>7.75</c:v>
                </c:pt>
                <c:pt idx="300">
                  <c:v>23.25</c:v>
                </c:pt>
                <c:pt idx="301">
                  <c:v>0</c:v>
                </c:pt>
                <c:pt idx="302">
                  <c:v>12.35</c:v>
                </c:pt>
                <c:pt idx="303">
                  <c:v>8.0500000000000007</c:v>
                </c:pt>
                <c:pt idx="304">
                  <c:v>151.55000000000001</c:v>
                </c:pt>
                <c:pt idx="305">
                  <c:v>110.88330000000001</c:v>
                </c:pt>
                <c:pt idx="306">
                  <c:v>108.9</c:v>
                </c:pt>
                <c:pt idx="307">
                  <c:v>24</c:v>
                </c:pt>
                <c:pt idx="308">
                  <c:v>56.929200000000002</c:v>
                </c:pt>
                <c:pt idx="309">
                  <c:v>83.158299999999997</c:v>
                </c:pt>
                <c:pt idx="310">
                  <c:v>262.375</c:v>
                </c:pt>
                <c:pt idx="311">
                  <c:v>26</c:v>
                </c:pt>
                <c:pt idx="312">
                  <c:v>7.8958000000000004</c:v>
                </c:pt>
                <c:pt idx="313">
                  <c:v>26.25</c:v>
                </c:pt>
                <c:pt idx="314">
                  <c:v>7.8541999999999996</c:v>
                </c:pt>
                <c:pt idx="315">
                  <c:v>26</c:v>
                </c:pt>
                <c:pt idx="316">
                  <c:v>14</c:v>
                </c:pt>
                <c:pt idx="317">
                  <c:v>164.86670000000001</c:v>
                </c:pt>
                <c:pt idx="318">
                  <c:v>134.5</c:v>
                </c:pt>
                <c:pt idx="319">
                  <c:v>7.25</c:v>
                </c:pt>
                <c:pt idx="320">
                  <c:v>7.8958000000000004</c:v>
                </c:pt>
                <c:pt idx="321">
                  <c:v>12.35</c:v>
                </c:pt>
                <c:pt idx="322">
                  <c:v>29</c:v>
                </c:pt>
                <c:pt idx="323">
                  <c:v>69.55</c:v>
                </c:pt>
                <c:pt idx="324">
                  <c:v>135.63329999999999</c:v>
                </c:pt>
                <c:pt idx="325">
                  <c:v>6.2374999999999998</c:v>
                </c:pt>
                <c:pt idx="326">
                  <c:v>13</c:v>
                </c:pt>
                <c:pt idx="327">
                  <c:v>20.524999999999999</c:v>
                </c:pt>
                <c:pt idx="328">
                  <c:v>57.979199999999999</c:v>
                </c:pt>
                <c:pt idx="329">
                  <c:v>23.25</c:v>
                </c:pt>
                <c:pt idx="330">
                  <c:v>28.5</c:v>
                </c:pt>
                <c:pt idx="331">
                  <c:v>153.46250000000001</c:v>
                </c:pt>
                <c:pt idx="332">
                  <c:v>18</c:v>
                </c:pt>
                <c:pt idx="333">
                  <c:v>133.65</c:v>
                </c:pt>
                <c:pt idx="334">
                  <c:v>7.8958000000000004</c:v>
                </c:pt>
                <c:pt idx="335">
                  <c:v>66.599999999999994</c:v>
                </c:pt>
                <c:pt idx="336">
                  <c:v>134.5</c:v>
                </c:pt>
                <c:pt idx="337">
                  <c:v>8.0500000000000007</c:v>
                </c:pt>
                <c:pt idx="338">
                  <c:v>35.5</c:v>
                </c:pt>
                <c:pt idx="339">
                  <c:v>26</c:v>
                </c:pt>
                <c:pt idx="340">
                  <c:v>263</c:v>
                </c:pt>
                <c:pt idx="341">
                  <c:v>13</c:v>
                </c:pt>
                <c:pt idx="342">
                  <c:v>13</c:v>
                </c:pt>
                <c:pt idx="343">
                  <c:v>13</c:v>
                </c:pt>
                <c:pt idx="344">
                  <c:v>13</c:v>
                </c:pt>
                <c:pt idx="345">
                  <c:v>13</c:v>
                </c:pt>
                <c:pt idx="346">
                  <c:v>16.100000000000001</c:v>
                </c:pt>
                <c:pt idx="347">
                  <c:v>15.9</c:v>
                </c:pt>
                <c:pt idx="348">
                  <c:v>8.6624999999999996</c:v>
                </c:pt>
                <c:pt idx="349">
                  <c:v>9.2249999999999996</c:v>
                </c:pt>
                <c:pt idx="350">
                  <c:v>35</c:v>
                </c:pt>
                <c:pt idx="351">
                  <c:v>7.2291999999999996</c:v>
                </c:pt>
                <c:pt idx="352">
                  <c:v>17.8</c:v>
                </c:pt>
                <c:pt idx="353">
                  <c:v>7.2249999999999996</c:v>
                </c:pt>
                <c:pt idx="354">
                  <c:v>9.5</c:v>
                </c:pt>
                <c:pt idx="355">
                  <c:v>55</c:v>
                </c:pt>
                <c:pt idx="356">
                  <c:v>13</c:v>
                </c:pt>
                <c:pt idx="357">
                  <c:v>7.8792</c:v>
                </c:pt>
                <c:pt idx="358">
                  <c:v>7.8792</c:v>
                </c:pt>
                <c:pt idx="359">
                  <c:v>27.9</c:v>
                </c:pt>
                <c:pt idx="360">
                  <c:v>27.720800000000001</c:v>
                </c:pt>
                <c:pt idx="361">
                  <c:v>14.4542</c:v>
                </c:pt>
                <c:pt idx="362">
                  <c:v>7.05</c:v>
                </c:pt>
                <c:pt idx="363">
                  <c:v>15.5</c:v>
                </c:pt>
                <c:pt idx="364">
                  <c:v>7.25</c:v>
                </c:pt>
                <c:pt idx="365">
                  <c:v>75.25</c:v>
                </c:pt>
                <c:pt idx="366">
                  <c:v>7.2291999999999996</c:v>
                </c:pt>
                <c:pt idx="367">
                  <c:v>7.75</c:v>
                </c:pt>
                <c:pt idx="368">
                  <c:v>69.3</c:v>
                </c:pt>
                <c:pt idx="369">
                  <c:v>55.441699999999997</c:v>
                </c:pt>
                <c:pt idx="370">
                  <c:v>6.4958</c:v>
                </c:pt>
                <c:pt idx="371">
                  <c:v>8.0500000000000007</c:v>
                </c:pt>
                <c:pt idx="372">
                  <c:v>135.63329999999999</c:v>
                </c:pt>
                <c:pt idx="373">
                  <c:v>21.074999999999999</c:v>
                </c:pt>
                <c:pt idx="374">
                  <c:v>82.1708</c:v>
                </c:pt>
                <c:pt idx="375">
                  <c:v>7.25</c:v>
                </c:pt>
                <c:pt idx="376">
                  <c:v>211.5</c:v>
                </c:pt>
                <c:pt idx="377">
                  <c:v>4.0125000000000002</c:v>
                </c:pt>
                <c:pt idx="378">
                  <c:v>7.7750000000000004</c:v>
                </c:pt>
                <c:pt idx="379">
                  <c:v>227.52500000000001</c:v>
                </c:pt>
                <c:pt idx="380">
                  <c:v>15.7417</c:v>
                </c:pt>
                <c:pt idx="381">
                  <c:v>7.9249999999999998</c:v>
                </c:pt>
                <c:pt idx="382">
                  <c:v>52</c:v>
                </c:pt>
                <c:pt idx="383">
                  <c:v>7.8958000000000004</c:v>
                </c:pt>
                <c:pt idx="384">
                  <c:v>73.5</c:v>
                </c:pt>
                <c:pt idx="385">
                  <c:v>46.9</c:v>
                </c:pt>
                <c:pt idx="386">
                  <c:v>13</c:v>
                </c:pt>
                <c:pt idx="387">
                  <c:v>7.7291999999999996</c:v>
                </c:pt>
                <c:pt idx="388">
                  <c:v>12</c:v>
                </c:pt>
                <c:pt idx="389">
                  <c:v>120</c:v>
                </c:pt>
                <c:pt idx="390">
                  <c:v>7.7957999999999998</c:v>
                </c:pt>
                <c:pt idx="391">
                  <c:v>7.9249999999999998</c:v>
                </c:pt>
                <c:pt idx="392">
                  <c:v>113.27500000000001</c:v>
                </c:pt>
                <c:pt idx="393">
                  <c:v>16.7</c:v>
                </c:pt>
                <c:pt idx="394">
                  <c:v>7.7957999999999998</c:v>
                </c:pt>
                <c:pt idx="395">
                  <c:v>7.8541999999999996</c:v>
                </c:pt>
                <c:pt idx="396">
                  <c:v>26</c:v>
                </c:pt>
                <c:pt idx="397">
                  <c:v>10.5</c:v>
                </c:pt>
                <c:pt idx="398">
                  <c:v>12.65</c:v>
                </c:pt>
                <c:pt idx="399">
                  <c:v>7.9249999999999998</c:v>
                </c:pt>
                <c:pt idx="400">
                  <c:v>8.0500000000000007</c:v>
                </c:pt>
                <c:pt idx="401">
                  <c:v>9.8249999999999993</c:v>
                </c:pt>
                <c:pt idx="402">
                  <c:v>15.85</c:v>
                </c:pt>
                <c:pt idx="403">
                  <c:v>8.6624999999999996</c:v>
                </c:pt>
                <c:pt idx="404">
                  <c:v>21</c:v>
                </c:pt>
                <c:pt idx="405">
                  <c:v>7.75</c:v>
                </c:pt>
                <c:pt idx="406">
                  <c:v>18.75</c:v>
                </c:pt>
                <c:pt idx="407">
                  <c:v>7.7750000000000004</c:v>
                </c:pt>
                <c:pt idx="408">
                  <c:v>25.466699999999999</c:v>
                </c:pt>
                <c:pt idx="409">
                  <c:v>7.8958000000000004</c:v>
                </c:pt>
                <c:pt idx="410">
                  <c:v>6.8582999999999998</c:v>
                </c:pt>
                <c:pt idx="411">
                  <c:v>90</c:v>
                </c:pt>
                <c:pt idx="412">
                  <c:v>0</c:v>
                </c:pt>
                <c:pt idx="413">
                  <c:v>7.9249999999999998</c:v>
                </c:pt>
                <c:pt idx="414">
                  <c:v>8.0500000000000007</c:v>
                </c:pt>
                <c:pt idx="415">
                  <c:v>32.5</c:v>
                </c:pt>
                <c:pt idx="416">
                  <c:v>13</c:v>
                </c:pt>
                <c:pt idx="417">
                  <c:v>13</c:v>
                </c:pt>
                <c:pt idx="418">
                  <c:v>24.15</c:v>
                </c:pt>
                <c:pt idx="419">
                  <c:v>7.8958000000000004</c:v>
                </c:pt>
                <c:pt idx="420">
                  <c:v>7.7332999999999998</c:v>
                </c:pt>
                <c:pt idx="421">
                  <c:v>7.875</c:v>
                </c:pt>
                <c:pt idx="422">
                  <c:v>14.4</c:v>
                </c:pt>
                <c:pt idx="423">
                  <c:v>20.212499999999999</c:v>
                </c:pt>
                <c:pt idx="424">
                  <c:v>7.25</c:v>
                </c:pt>
                <c:pt idx="425">
                  <c:v>26</c:v>
                </c:pt>
                <c:pt idx="426">
                  <c:v>26</c:v>
                </c:pt>
                <c:pt idx="427">
                  <c:v>7.75</c:v>
                </c:pt>
                <c:pt idx="428">
                  <c:v>8.0500000000000007</c:v>
                </c:pt>
                <c:pt idx="429">
                  <c:v>26.55</c:v>
                </c:pt>
                <c:pt idx="430">
                  <c:v>16.100000000000001</c:v>
                </c:pt>
                <c:pt idx="431">
                  <c:v>26</c:v>
                </c:pt>
                <c:pt idx="432">
                  <c:v>7.125</c:v>
                </c:pt>
                <c:pt idx="433">
                  <c:v>55.9</c:v>
                </c:pt>
                <c:pt idx="434">
                  <c:v>120</c:v>
                </c:pt>
                <c:pt idx="435">
                  <c:v>34.375</c:v>
                </c:pt>
                <c:pt idx="436">
                  <c:v>18.75</c:v>
                </c:pt>
                <c:pt idx="437">
                  <c:v>263</c:v>
                </c:pt>
                <c:pt idx="438">
                  <c:v>10.5</c:v>
                </c:pt>
                <c:pt idx="439">
                  <c:v>26.25</c:v>
                </c:pt>
                <c:pt idx="440">
                  <c:v>9.5</c:v>
                </c:pt>
                <c:pt idx="441">
                  <c:v>7.7750000000000004</c:v>
                </c:pt>
                <c:pt idx="442">
                  <c:v>13</c:v>
                </c:pt>
                <c:pt idx="443">
                  <c:v>8.1125000000000007</c:v>
                </c:pt>
                <c:pt idx="444">
                  <c:v>81.8583</c:v>
                </c:pt>
                <c:pt idx="445">
                  <c:v>19.5</c:v>
                </c:pt>
                <c:pt idx="446">
                  <c:v>26.55</c:v>
                </c:pt>
                <c:pt idx="447">
                  <c:v>19.258299999999998</c:v>
                </c:pt>
                <c:pt idx="448">
                  <c:v>30.5</c:v>
                </c:pt>
                <c:pt idx="449">
                  <c:v>27.75</c:v>
                </c:pt>
                <c:pt idx="450">
                  <c:v>19.966699999999999</c:v>
                </c:pt>
                <c:pt idx="451">
                  <c:v>27.75</c:v>
                </c:pt>
                <c:pt idx="452">
                  <c:v>89.104200000000006</c:v>
                </c:pt>
                <c:pt idx="453">
                  <c:v>8.0500000000000007</c:v>
                </c:pt>
                <c:pt idx="454">
                  <c:v>7.8958000000000004</c:v>
                </c:pt>
                <c:pt idx="455">
                  <c:v>26.55</c:v>
                </c:pt>
                <c:pt idx="456">
                  <c:v>51.862499999999997</c:v>
                </c:pt>
                <c:pt idx="457">
                  <c:v>10.5</c:v>
                </c:pt>
                <c:pt idx="458">
                  <c:v>7.75</c:v>
                </c:pt>
                <c:pt idx="459">
                  <c:v>26.55</c:v>
                </c:pt>
                <c:pt idx="460">
                  <c:v>8.0500000000000007</c:v>
                </c:pt>
                <c:pt idx="461">
                  <c:v>38.5</c:v>
                </c:pt>
                <c:pt idx="462">
                  <c:v>13</c:v>
                </c:pt>
                <c:pt idx="463">
                  <c:v>8.0500000000000007</c:v>
                </c:pt>
                <c:pt idx="464">
                  <c:v>7.05</c:v>
                </c:pt>
                <c:pt idx="465">
                  <c:v>0</c:v>
                </c:pt>
                <c:pt idx="466">
                  <c:v>26.55</c:v>
                </c:pt>
                <c:pt idx="467">
                  <c:v>7.7249999999999996</c:v>
                </c:pt>
                <c:pt idx="468">
                  <c:v>19.258299999999998</c:v>
                </c:pt>
                <c:pt idx="469">
                  <c:v>7.25</c:v>
                </c:pt>
                <c:pt idx="470">
                  <c:v>8.6624999999999996</c:v>
                </c:pt>
                <c:pt idx="471">
                  <c:v>27.75</c:v>
                </c:pt>
                <c:pt idx="472">
                  <c:v>13.791700000000001</c:v>
                </c:pt>
                <c:pt idx="473">
                  <c:v>9.8375000000000004</c:v>
                </c:pt>
                <c:pt idx="474">
                  <c:v>52</c:v>
                </c:pt>
                <c:pt idx="475">
                  <c:v>21</c:v>
                </c:pt>
                <c:pt idx="476">
                  <c:v>7.0457999999999998</c:v>
                </c:pt>
                <c:pt idx="477">
                  <c:v>7.5208000000000004</c:v>
                </c:pt>
                <c:pt idx="478">
                  <c:v>12.2875</c:v>
                </c:pt>
                <c:pt idx="479">
                  <c:v>46.9</c:v>
                </c:pt>
                <c:pt idx="480">
                  <c:v>0</c:v>
                </c:pt>
                <c:pt idx="481">
                  <c:v>8.0500000000000007</c:v>
                </c:pt>
                <c:pt idx="482">
                  <c:v>9.5875000000000004</c:v>
                </c:pt>
                <c:pt idx="483">
                  <c:v>91.0792</c:v>
                </c:pt>
                <c:pt idx="484">
                  <c:v>25.466699999999999</c:v>
                </c:pt>
                <c:pt idx="485">
                  <c:v>90</c:v>
                </c:pt>
                <c:pt idx="486">
                  <c:v>29.7</c:v>
                </c:pt>
                <c:pt idx="487">
                  <c:v>8.0500000000000007</c:v>
                </c:pt>
                <c:pt idx="488">
                  <c:v>15.9</c:v>
                </c:pt>
                <c:pt idx="489">
                  <c:v>19.966699999999999</c:v>
                </c:pt>
                <c:pt idx="490">
                  <c:v>7.25</c:v>
                </c:pt>
                <c:pt idx="491">
                  <c:v>30.5</c:v>
                </c:pt>
                <c:pt idx="492">
                  <c:v>49.504199999999997</c:v>
                </c:pt>
                <c:pt idx="493">
                  <c:v>8.0500000000000007</c:v>
                </c:pt>
                <c:pt idx="494">
                  <c:v>14.458299999999999</c:v>
                </c:pt>
                <c:pt idx="495">
                  <c:v>78.2667</c:v>
                </c:pt>
                <c:pt idx="496">
                  <c:v>15.1</c:v>
                </c:pt>
                <c:pt idx="497">
                  <c:v>151.55000000000001</c:v>
                </c:pt>
              </c:numCache>
            </c:numRef>
          </c:xVal>
          <c:yVal>
            <c:numRef>
              <c:f>train!$B$3:$B$500</c:f>
              <c:numCache>
                <c:formatCode>General</c:formatCode>
                <c:ptCount val="49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</c:v>
                </c:pt>
                <c:pt idx="52">
                  <c:v>1</c:v>
                </c:pt>
                <c:pt idx="53">
                  <c:v>0</c:v>
                </c:pt>
                <c:pt idx="54">
                  <c:v>1</c:v>
                </c:pt>
                <c:pt idx="55">
                  <c:v>1</c:v>
                </c:pt>
                <c:pt idx="56">
                  <c:v>0</c:v>
                </c:pt>
                <c:pt idx="57">
                  <c:v>1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1</c:v>
                </c:pt>
                <c:pt idx="66">
                  <c:v>0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1</c:v>
                </c:pt>
                <c:pt idx="79">
                  <c:v>0</c:v>
                </c:pt>
                <c:pt idx="80">
                  <c:v>1</c:v>
                </c:pt>
                <c:pt idx="81">
                  <c:v>1</c:v>
                </c:pt>
                <c:pt idx="82">
                  <c:v>0</c:v>
                </c:pt>
                <c:pt idx="83">
                  <c:v>1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</c:v>
                </c:pt>
                <c:pt idx="97">
                  <c:v>1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</c:v>
                </c:pt>
                <c:pt idx="106">
                  <c:v>1</c:v>
                </c:pt>
                <c:pt idx="107">
                  <c:v>0</c:v>
                </c:pt>
                <c:pt idx="108">
                  <c:v>1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1</c:v>
                </c:pt>
                <c:pt idx="123">
                  <c:v>0</c:v>
                </c:pt>
                <c:pt idx="124">
                  <c:v>1</c:v>
                </c:pt>
                <c:pt idx="125">
                  <c:v>0</c:v>
                </c:pt>
                <c:pt idx="126">
                  <c:v>1</c:v>
                </c:pt>
                <c:pt idx="127">
                  <c:v>1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1</c:v>
                </c:pt>
                <c:pt idx="133">
                  <c:v>0</c:v>
                </c:pt>
                <c:pt idx="134">
                  <c:v>0</c:v>
                </c:pt>
                <c:pt idx="135">
                  <c:v>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1</c:v>
                </c:pt>
                <c:pt idx="141">
                  <c:v>1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1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1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1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1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</c:v>
                </c:pt>
                <c:pt idx="165">
                  <c:v>1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1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1</c:v>
                </c:pt>
                <c:pt idx="184">
                  <c:v>0</c:v>
                </c:pt>
                <c:pt idx="185">
                  <c:v>1</c:v>
                </c:pt>
                <c:pt idx="186">
                  <c:v>1</c:v>
                </c:pt>
                <c:pt idx="187">
                  <c:v>0</c:v>
                </c:pt>
                <c:pt idx="188">
                  <c:v>0</c:v>
                </c:pt>
                <c:pt idx="189">
                  <c:v>1</c:v>
                </c:pt>
                <c:pt idx="190">
                  <c:v>0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0</c:v>
                </c:pt>
                <c:pt idx="196">
                  <c:v>0</c:v>
                </c:pt>
                <c:pt idx="197">
                  <c:v>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1</c:v>
                </c:pt>
                <c:pt idx="204">
                  <c:v>0</c:v>
                </c:pt>
                <c:pt idx="205">
                  <c:v>0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0</c:v>
                </c:pt>
                <c:pt idx="210">
                  <c:v>1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1</c:v>
                </c:pt>
                <c:pt idx="215">
                  <c:v>1</c:v>
                </c:pt>
                <c:pt idx="216">
                  <c:v>0</c:v>
                </c:pt>
                <c:pt idx="217">
                  <c:v>1</c:v>
                </c:pt>
                <c:pt idx="218">
                  <c:v>0</c:v>
                </c:pt>
                <c:pt idx="219">
                  <c:v>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1</c:v>
                </c:pt>
                <c:pt idx="224">
                  <c:v>0</c:v>
                </c:pt>
                <c:pt idx="225">
                  <c:v>1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1</c:v>
                </c:pt>
                <c:pt idx="230">
                  <c:v>0</c:v>
                </c:pt>
                <c:pt idx="231">
                  <c:v>0</c:v>
                </c:pt>
                <c:pt idx="232">
                  <c:v>1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1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1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1</c:v>
                </c:pt>
                <c:pt idx="247">
                  <c:v>1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0</c:v>
                </c:pt>
                <c:pt idx="260">
                  <c:v>1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0</c:v>
                </c:pt>
                <c:pt idx="270">
                  <c:v>1</c:v>
                </c:pt>
                <c:pt idx="271">
                  <c:v>1</c:v>
                </c:pt>
                <c:pt idx="272">
                  <c:v>0</c:v>
                </c:pt>
                <c:pt idx="273">
                  <c:v>1</c:v>
                </c:pt>
                <c:pt idx="274">
                  <c:v>1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1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1</c:v>
                </c:pt>
                <c:pt idx="283">
                  <c:v>0</c:v>
                </c:pt>
                <c:pt idx="284">
                  <c:v>0</c:v>
                </c:pt>
                <c:pt idx="285">
                  <c:v>1</c:v>
                </c:pt>
                <c:pt idx="286">
                  <c:v>0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0</c:v>
                </c:pt>
                <c:pt idx="302">
                  <c:v>1</c:v>
                </c:pt>
                <c:pt idx="303">
                  <c:v>0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0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1</c:v>
                </c:pt>
                <c:pt idx="315">
                  <c:v>1</c:v>
                </c:pt>
                <c:pt idx="316">
                  <c:v>0</c:v>
                </c:pt>
                <c:pt idx="317">
                  <c:v>1</c:v>
                </c:pt>
                <c:pt idx="318">
                  <c:v>1</c:v>
                </c:pt>
                <c:pt idx="319">
                  <c:v>0</c:v>
                </c:pt>
                <c:pt idx="320">
                  <c:v>0</c:v>
                </c:pt>
                <c:pt idx="321">
                  <c:v>1</c:v>
                </c:pt>
                <c:pt idx="322">
                  <c:v>1</c:v>
                </c:pt>
                <c:pt idx="323">
                  <c:v>0</c:v>
                </c:pt>
                <c:pt idx="324">
                  <c:v>1</c:v>
                </c:pt>
                <c:pt idx="325">
                  <c:v>0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1</c:v>
                </c:pt>
                <c:pt idx="334">
                  <c:v>0</c:v>
                </c:pt>
                <c:pt idx="335">
                  <c:v>0</c:v>
                </c:pt>
                <c:pt idx="336">
                  <c:v>1</c:v>
                </c:pt>
                <c:pt idx="337">
                  <c:v>1</c:v>
                </c:pt>
                <c:pt idx="338">
                  <c:v>0</c:v>
                </c:pt>
                <c:pt idx="339">
                  <c:v>1</c:v>
                </c:pt>
                <c:pt idx="340">
                  <c:v>1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1</c:v>
                </c:pt>
                <c:pt idx="356">
                  <c:v>0</c:v>
                </c:pt>
                <c:pt idx="357">
                  <c:v>1</c:v>
                </c:pt>
                <c:pt idx="358">
                  <c:v>1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1</c:v>
                </c:pt>
                <c:pt idx="375">
                  <c:v>1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1</c:v>
                </c:pt>
                <c:pt idx="380">
                  <c:v>1</c:v>
                </c:pt>
                <c:pt idx="381">
                  <c:v>0</c:v>
                </c:pt>
                <c:pt idx="382">
                  <c:v>1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1</c:v>
                </c:pt>
                <c:pt idx="387">
                  <c:v>0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0</c:v>
                </c:pt>
                <c:pt idx="392">
                  <c:v>1</c:v>
                </c:pt>
                <c:pt idx="393">
                  <c:v>1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1</c:v>
                </c:pt>
                <c:pt idx="399">
                  <c:v>1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1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1</c:v>
                </c:pt>
                <c:pt idx="412">
                  <c:v>0</c:v>
                </c:pt>
                <c:pt idx="413">
                  <c:v>1</c:v>
                </c:pt>
                <c:pt idx="414">
                  <c:v>0</c:v>
                </c:pt>
                <c:pt idx="415">
                  <c:v>1</c:v>
                </c:pt>
                <c:pt idx="416">
                  <c:v>1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1</c:v>
                </c:pt>
                <c:pt idx="426">
                  <c:v>1</c:v>
                </c:pt>
                <c:pt idx="427">
                  <c:v>0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0</c:v>
                </c:pt>
                <c:pt idx="433">
                  <c:v>0</c:v>
                </c:pt>
                <c:pt idx="434">
                  <c:v>1</c:v>
                </c:pt>
                <c:pt idx="435">
                  <c:v>0</c:v>
                </c:pt>
                <c:pt idx="436">
                  <c:v>1</c:v>
                </c:pt>
                <c:pt idx="437">
                  <c:v>0</c:v>
                </c:pt>
                <c:pt idx="438">
                  <c:v>0</c:v>
                </c:pt>
                <c:pt idx="439">
                  <c:v>1</c:v>
                </c:pt>
                <c:pt idx="440">
                  <c:v>0</c:v>
                </c:pt>
                <c:pt idx="441">
                  <c:v>0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1</c:v>
                </c:pt>
                <c:pt idx="453">
                  <c:v>0</c:v>
                </c:pt>
                <c:pt idx="454">
                  <c:v>1</c:v>
                </c:pt>
                <c:pt idx="455">
                  <c:v>0</c:v>
                </c:pt>
                <c:pt idx="456">
                  <c:v>1</c:v>
                </c:pt>
                <c:pt idx="457">
                  <c:v>1</c:v>
                </c:pt>
                <c:pt idx="458">
                  <c:v>0</c:v>
                </c:pt>
                <c:pt idx="459">
                  <c:v>1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1</c:v>
                </c:pt>
                <c:pt idx="469">
                  <c:v>0</c:v>
                </c:pt>
                <c:pt idx="470">
                  <c:v>0</c:v>
                </c:pt>
                <c:pt idx="471">
                  <c:v>1</c:v>
                </c:pt>
                <c:pt idx="472">
                  <c:v>1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1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1</c:v>
                </c:pt>
                <c:pt idx="483">
                  <c:v>1</c:v>
                </c:pt>
                <c:pt idx="484">
                  <c:v>0</c:v>
                </c:pt>
                <c:pt idx="485">
                  <c:v>1</c:v>
                </c:pt>
                <c:pt idx="486">
                  <c:v>0</c:v>
                </c:pt>
                <c:pt idx="487">
                  <c:v>0</c:v>
                </c:pt>
                <c:pt idx="488">
                  <c:v>1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1</c:v>
                </c:pt>
                <c:pt idx="496">
                  <c:v>0</c:v>
                </c:pt>
                <c:pt idx="49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AD6-7E41-A2B7-061C3B6945B1}"/>
            </c:ext>
          </c:extLst>
        </c:ser>
        <c:ser>
          <c:idx val="1"/>
          <c:order val="1"/>
          <c:tx>
            <c:v>Predicted 0</c:v>
          </c:tx>
          <c:spPr>
            <a:ln w="19050">
              <a:noFill/>
            </a:ln>
          </c:spPr>
          <c:xVal>
            <c:numRef>
              <c:f>train!$J$3:$J$500</c:f>
              <c:numCache>
                <c:formatCode>0.00</c:formatCode>
                <c:ptCount val="498"/>
                <c:pt idx="0">
                  <c:v>71.283299999999997</c:v>
                </c:pt>
                <c:pt idx="1">
                  <c:v>7.9249999999999998</c:v>
                </c:pt>
                <c:pt idx="2">
                  <c:v>53.1</c:v>
                </c:pt>
                <c:pt idx="3">
                  <c:v>8.0500000000000007</c:v>
                </c:pt>
                <c:pt idx="4">
                  <c:v>8.4582999999999995</c:v>
                </c:pt>
                <c:pt idx="5">
                  <c:v>51.862499999999997</c:v>
                </c:pt>
                <c:pt idx="6">
                  <c:v>21.074999999999999</c:v>
                </c:pt>
                <c:pt idx="7">
                  <c:v>11.1333</c:v>
                </c:pt>
                <c:pt idx="8">
                  <c:v>30.070799999999998</c:v>
                </c:pt>
                <c:pt idx="9">
                  <c:v>16.7</c:v>
                </c:pt>
                <c:pt idx="10">
                  <c:v>26.55</c:v>
                </c:pt>
                <c:pt idx="11">
                  <c:v>8.0500000000000007</c:v>
                </c:pt>
                <c:pt idx="12">
                  <c:v>31.274999999999999</c:v>
                </c:pt>
                <c:pt idx="13">
                  <c:v>7.8541999999999996</c:v>
                </c:pt>
                <c:pt idx="14">
                  <c:v>16</c:v>
                </c:pt>
                <c:pt idx="15">
                  <c:v>29.125</c:v>
                </c:pt>
                <c:pt idx="16">
                  <c:v>13</c:v>
                </c:pt>
                <c:pt idx="17">
                  <c:v>18</c:v>
                </c:pt>
                <c:pt idx="18">
                  <c:v>7.2249999999999996</c:v>
                </c:pt>
                <c:pt idx="19">
                  <c:v>26</c:v>
                </c:pt>
                <c:pt idx="20">
                  <c:v>13</c:v>
                </c:pt>
                <c:pt idx="21">
                  <c:v>8.0291999999999994</c:v>
                </c:pt>
                <c:pt idx="22">
                  <c:v>35.5</c:v>
                </c:pt>
                <c:pt idx="23">
                  <c:v>21.074999999999999</c:v>
                </c:pt>
                <c:pt idx="24">
                  <c:v>31.387499999999999</c:v>
                </c:pt>
                <c:pt idx="25">
                  <c:v>7.2249999999999996</c:v>
                </c:pt>
                <c:pt idx="26">
                  <c:v>263</c:v>
                </c:pt>
                <c:pt idx="27">
                  <c:v>7.8792</c:v>
                </c:pt>
                <c:pt idx="28">
                  <c:v>7.8958000000000004</c:v>
                </c:pt>
                <c:pt idx="29">
                  <c:v>27.720800000000001</c:v>
                </c:pt>
                <c:pt idx="30">
                  <c:v>146.52080000000001</c:v>
                </c:pt>
                <c:pt idx="31">
                  <c:v>7.75</c:v>
                </c:pt>
                <c:pt idx="32">
                  <c:v>10.5</c:v>
                </c:pt>
                <c:pt idx="33">
                  <c:v>82.1708</c:v>
                </c:pt>
                <c:pt idx="34">
                  <c:v>52</c:v>
                </c:pt>
                <c:pt idx="35">
                  <c:v>7.2291999999999996</c:v>
                </c:pt>
                <c:pt idx="36">
                  <c:v>8.0500000000000007</c:v>
                </c:pt>
                <c:pt idx="37">
                  <c:v>18</c:v>
                </c:pt>
                <c:pt idx="38">
                  <c:v>11.2417</c:v>
                </c:pt>
                <c:pt idx="39">
                  <c:v>9.4749999999999996</c:v>
                </c:pt>
                <c:pt idx="40">
                  <c:v>21</c:v>
                </c:pt>
                <c:pt idx="41">
                  <c:v>7.8958000000000004</c:v>
                </c:pt>
                <c:pt idx="42">
                  <c:v>41.5792</c:v>
                </c:pt>
                <c:pt idx="43">
                  <c:v>7.8792</c:v>
                </c:pt>
                <c:pt idx="44">
                  <c:v>8.0500000000000007</c:v>
                </c:pt>
                <c:pt idx="45">
                  <c:v>15.5</c:v>
                </c:pt>
                <c:pt idx="46">
                  <c:v>7.75</c:v>
                </c:pt>
                <c:pt idx="47">
                  <c:v>21.679200000000002</c:v>
                </c:pt>
                <c:pt idx="48">
                  <c:v>17.8</c:v>
                </c:pt>
                <c:pt idx="49">
                  <c:v>39.6875</c:v>
                </c:pt>
                <c:pt idx="50">
                  <c:v>7.8</c:v>
                </c:pt>
                <c:pt idx="51">
                  <c:v>76.729200000000006</c:v>
                </c:pt>
                <c:pt idx="52">
                  <c:v>26</c:v>
                </c:pt>
                <c:pt idx="53">
                  <c:v>61.979199999999999</c:v>
                </c:pt>
                <c:pt idx="54">
                  <c:v>35.5</c:v>
                </c:pt>
                <c:pt idx="55">
                  <c:v>10.5</c:v>
                </c:pt>
                <c:pt idx="56">
                  <c:v>7.2291999999999996</c:v>
                </c:pt>
                <c:pt idx="57">
                  <c:v>27.75</c:v>
                </c:pt>
                <c:pt idx="58">
                  <c:v>46.9</c:v>
                </c:pt>
                <c:pt idx="59">
                  <c:v>7.2291999999999996</c:v>
                </c:pt>
                <c:pt idx="60">
                  <c:v>80</c:v>
                </c:pt>
                <c:pt idx="61">
                  <c:v>83.474999999999994</c:v>
                </c:pt>
                <c:pt idx="62">
                  <c:v>27.9</c:v>
                </c:pt>
                <c:pt idx="63">
                  <c:v>27.720800000000001</c:v>
                </c:pt>
                <c:pt idx="64">
                  <c:v>15.245799999999999</c:v>
                </c:pt>
                <c:pt idx="65">
                  <c:v>10.5</c:v>
                </c:pt>
                <c:pt idx="66">
                  <c:v>8.1583000000000006</c:v>
                </c:pt>
                <c:pt idx="67">
                  <c:v>7.9249999999999998</c:v>
                </c:pt>
                <c:pt idx="68">
                  <c:v>8.6624999999999996</c:v>
                </c:pt>
                <c:pt idx="69">
                  <c:v>10.5</c:v>
                </c:pt>
                <c:pt idx="70">
                  <c:v>46.9</c:v>
                </c:pt>
                <c:pt idx="71">
                  <c:v>73.5</c:v>
                </c:pt>
                <c:pt idx="72">
                  <c:v>14.4542</c:v>
                </c:pt>
                <c:pt idx="73">
                  <c:v>56.495800000000003</c:v>
                </c:pt>
                <c:pt idx="74">
                  <c:v>7.65</c:v>
                </c:pt>
                <c:pt idx="75">
                  <c:v>7.8958000000000004</c:v>
                </c:pt>
                <c:pt idx="76">
                  <c:v>8.0500000000000007</c:v>
                </c:pt>
                <c:pt idx="77">
                  <c:v>29</c:v>
                </c:pt>
                <c:pt idx="78">
                  <c:v>12.475</c:v>
                </c:pt>
                <c:pt idx="79">
                  <c:v>9</c:v>
                </c:pt>
                <c:pt idx="80">
                  <c:v>9.5</c:v>
                </c:pt>
                <c:pt idx="81">
                  <c:v>7.7874999999999996</c:v>
                </c:pt>
                <c:pt idx="82">
                  <c:v>47.1</c:v>
                </c:pt>
                <c:pt idx="83">
                  <c:v>10.5</c:v>
                </c:pt>
                <c:pt idx="84">
                  <c:v>15.85</c:v>
                </c:pt>
                <c:pt idx="85">
                  <c:v>34.375</c:v>
                </c:pt>
                <c:pt idx="86">
                  <c:v>8.0500000000000007</c:v>
                </c:pt>
                <c:pt idx="87">
                  <c:v>263</c:v>
                </c:pt>
                <c:pt idx="88">
                  <c:v>8.0500000000000007</c:v>
                </c:pt>
                <c:pt idx="89">
                  <c:v>8.0500000000000007</c:v>
                </c:pt>
                <c:pt idx="90">
                  <c:v>7.8541999999999996</c:v>
                </c:pt>
                <c:pt idx="91">
                  <c:v>61.174999999999997</c:v>
                </c:pt>
                <c:pt idx="92">
                  <c:v>20.574999999999999</c:v>
                </c:pt>
                <c:pt idx="93">
                  <c:v>7.25</c:v>
                </c:pt>
                <c:pt idx="94">
                  <c:v>8.0500000000000007</c:v>
                </c:pt>
                <c:pt idx="95">
                  <c:v>34.654200000000003</c:v>
                </c:pt>
                <c:pt idx="96">
                  <c:v>63.3583</c:v>
                </c:pt>
                <c:pt idx="97">
                  <c:v>23</c:v>
                </c:pt>
                <c:pt idx="98">
                  <c:v>26</c:v>
                </c:pt>
                <c:pt idx="99">
                  <c:v>7.8958000000000004</c:v>
                </c:pt>
                <c:pt idx="100">
                  <c:v>7.8958000000000004</c:v>
                </c:pt>
                <c:pt idx="101">
                  <c:v>77.287499999999994</c:v>
                </c:pt>
                <c:pt idx="102">
                  <c:v>8.6541999999999994</c:v>
                </c:pt>
                <c:pt idx="103">
                  <c:v>7.9249999999999998</c:v>
                </c:pt>
                <c:pt idx="104">
                  <c:v>7.8958000000000004</c:v>
                </c:pt>
                <c:pt idx="105">
                  <c:v>7.65</c:v>
                </c:pt>
                <c:pt idx="106">
                  <c:v>7.7750000000000004</c:v>
                </c:pt>
                <c:pt idx="107">
                  <c:v>7.8958000000000004</c:v>
                </c:pt>
                <c:pt idx="108">
                  <c:v>24.15</c:v>
                </c:pt>
                <c:pt idx="109">
                  <c:v>52</c:v>
                </c:pt>
                <c:pt idx="110">
                  <c:v>14.4542</c:v>
                </c:pt>
                <c:pt idx="111">
                  <c:v>8.0500000000000007</c:v>
                </c:pt>
                <c:pt idx="112">
                  <c:v>9.8249999999999993</c:v>
                </c:pt>
                <c:pt idx="113">
                  <c:v>14.458299999999999</c:v>
                </c:pt>
                <c:pt idx="114">
                  <c:v>7.9249999999999998</c:v>
                </c:pt>
                <c:pt idx="115">
                  <c:v>7.75</c:v>
                </c:pt>
                <c:pt idx="116">
                  <c:v>21</c:v>
                </c:pt>
                <c:pt idx="117">
                  <c:v>247.52080000000001</c:v>
                </c:pt>
                <c:pt idx="118">
                  <c:v>31.274999999999999</c:v>
                </c:pt>
                <c:pt idx="119">
                  <c:v>73.5</c:v>
                </c:pt>
                <c:pt idx="120">
                  <c:v>8.0500000000000007</c:v>
                </c:pt>
                <c:pt idx="121">
                  <c:v>30.070799999999998</c:v>
                </c:pt>
                <c:pt idx="122">
                  <c:v>13</c:v>
                </c:pt>
                <c:pt idx="123">
                  <c:v>77.287499999999994</c:v>
                </c:pt>
                <c:pt idx="124">
                  <c:v>11.2417</c:v>
                </c:pt>
                <c:pt idx="125">
                  <c:v>7.75</c:v>
                </c:pt>
                <c:pt idx="126">
                  <c:v>7.1417000000000002</c:v>
                </c:pt>
                <c:pt idx="127">
                  <c:v>22.3583</c:v>
                </c:pt>
                <c:pt idx="128">
                  <c:v>6.9749999999999996</c:v>
                </c:pt>
                <c:pt idx="129">
                  <c:v>7.8958000000000004</c:v>
                </c:pt>
                <c:pt idx="130">
                  <c:v>7.05</c:v>
                </c:pt>
                <c:pt idx="131">
                  <c:v>14.5</c:v>
                </c:pt>
                <c:pt idx="132">
                  <c:v>26</c:v>
                </c:pt>
                <c:pt idx="133">
                  <c:v>13</c:v>
                </c:pt>
                <c:pt idx="134">
                  <c:v>15.0458</c:v>
                </c:pt>
                <c:pt idx="135">
                  <c:v>26.283300000000001</c:v>
                </c:pt>
                <c:pt idx="136">
                  <c:v>53.1</c:v>
                </c:pt>
                <c:pt idx="137">
                  <c:v>9.2166999999999994</c:v>
                </c:pt>
                <c:pt idx="138">
                  <c:v>79.2</c:v>
                </c:pt>
                <c:pt idx="139">
                  <c:v>15.245799999999999</c:v>
                </c:pt>
                <c:pt idx="140">
                  <c:v>7.75</c:v>
                </c:pt>
                <c:pt idx="141">
                  <c:v>15.85</c:v>
                </c:pt>
                <c:pt idx="142">
                  <c:v>6.75</c:v>
                </c:pt>
                <c:pt idx="143">
                  <c:v>11.5</c:v>
                </c:pt>
                <c:pt idx="144">
                  <c:v>36.75</c:v>
                </c:pt>
                <c:pt idx="145">
                  <c:v>7.7957999999999998</c:v>
                </c:pt>
                <c:pt idx="146">
                  <c:v>34.375</c:v>
                </c:pt>
                <c:pt idx="147">
                  <c:v>26</c:v>
                </c:pt>
                <c:pt idx="148">
                  <c:v>13</c:v>
                </c:pt>
                <c:pt idx="149">
                  <c:v>12.525</c:v>
                </c:pt>
                <c:pt idx="150">
                  <c:v>66.599999999999994</c:v>
                </c:pt>
                <c:pt idx="151">
                  <c:v>8.0500000000000007</c:v>
                </c:pt>
                <c:pt idx="152">
                  <c:v>14.5</c:v>
                </c:pt>
                <c:pt idx="153">
                  <c:v>7.3125</c:v>
                </c:pt>
                <c:pt idx="154">
                  <c:v>61.379199999999997</c:v>
                </c:pt>
                <c:pt idx="155">
                  <c:v>7.7332999999999998</c:v>
                </c:pt>
                <c:pt idx="156">
                  <c:v>8.0500000000000007</c:v>
                </c:pt>
                <c:pt idx="157">
                  <c:v>8.6624999999999996</c:v>
                </c:pt>
                <c:pt idx="158">
                  <c:v>69.55</c:v>
                </c:pt>
                <c:pt idx="159">
                  <c:v>16.100000000000001</c:v>
                </c:pt>
                <c:pt idx="160">
                  <c:v>15.75</c:v>
                </c:pt>
                <c:pt idx="161">
                  <c:v>7.7750000000000004</c:v>
                </c:pt>
                <c:pt idx="162">
                  <c:v>8.6624999999999996</c:v>
                </c:pt>
                <c:pt idx="163">
                  <c:v>39.6875</c:v>
                </c:pt>
                <c:pt idx="164">
                  <c:v>20.524999999999999</c:v>
                </c:pt>
                <c:pt idx="165">
                  <c:v>55</c:v>
                </c:pt>
                <c:pt idx="166">
                  <c:v>27.9</c:v>
                </c:pt>
                <c:pt idx="167">
                  <c:v>25.925000000000001</c:v>
                </c:pt>
                <c:pt idx="168">
                  <c:v>56.495800000000003</c:v>
                </c:pt>
                <c:pt idx="169">
                  <c:v>33.5</c:v>
                </c:pt>
                <c:pt idx="170">
                  <c:v>29.125</c:v>
                </c:pt>
                <c:pt idx="171">
                  <c:v>11.1333</c:v>
                </c:pt>
                <c:pt idx="172">
                  <c:v>7.9249999999999998</c:v>
                </c:pt>
                <c:pt idx="173">
                  <c:v>30.695799999999998</c:v>
                </c:pt>
                <c:pt idx="174">
                  <c:v>7.8541999999999996</c:v>
                </c:pt>
                <c:pt idx="175">
                  <c:v>25.466699999999999</c:v>
                </c:pt>
                <c:pt idx="176">
                  <c:v>28.712499999999999</c:v>
                </c:pt>
                <c:pt idx="177">
                  <c:v>13</c:v>
                </c:pt>
                <c:pt idx="178">
                  <c:v>0</c:v>
                </c:pt>
                <c:pt idx="179">
                  <c:v>69.55</c:v>
                </c:pt>
                <c:pt idx="180">
                  <c:v>15.05</c:v>
                </c:pt>
                <c:pt idx="181">
                  <c:v>31.387499999999999</c:v>
                </c:pt>
                <c:pt idx="182">
                  <c:v>39</c:v>
                </c:pt>
                <c:pt idx="183">
                  <c:v>22.024999999999999</c:v>
                </c:pt>
                <c:pt idx="184">
                  <c:v>50</c:v>
                </c:pt>
                <c:pt idx="185">
                  <c:v>15.5</c:v>
                </c:pt>
                <c:pt idx="186">
                  <c:v>26.55</c:v>
                </c:pt>
                <c:pt idx="187">
                  <c:v>15.5</c:v>
                </c:pt>
                <c:pt idx="188">
                  <c:v>7.8958000000000004</c:v>
                </c:pt>
                <c:pt idx="189">
                  <c:v>13</c:v>
                </c:pt>
                <c:pt idx="190">
                  <c:v>13</c:v>
                </c:pt>
                <c:pt idx="191">
                  <c:v>7.8541999999999996</c:v>
                </c:pt>
                <c:pt idx="192">
                  <c:v>26</c:v>
                </c:pt>
                <c:pt idx="193">
                  <c:v>27.720800000000001</c:v>
                </c:pt>
                <c:pt idx="194">
                  <c:v>146.52080000000001</c:v>
                </c:pt>
                <c:pt idx="195">
                  <c:v>7.75</c:v>
                </c:pt>
                <c:pt idx="196">
                  <c:v>8.4041999999999994</c:v>
                </c:pt>
                <c:pt idx="197">
                  <c:v>7.75</c:v>
                </c:pt>
                <c:pt idx="198">
                  <c:v>13</c:v>
                </c:pt>
                <c:pt idx="199">
                  <c:v>9.5</c:v>
                </c:pt>
                <c:pt idx="200">
                  <c:v>69.55</c:v>
                </c:pt>
                <c:pt idx="201">
                  <c:v>6.4958</c:v>
                </c:pt>
                <c:pt idx="202">
                  <c:v>7.2249999999999996</c:v>
                </c:pt>
                <c:pt idx="203">
                  <c:v>8.0500000000000007</c:v>
                </c:pt>
                <c:pt idx="204">
                  <c:v>10.4625</c:v>
                </c:pt>
                <c:pt idx="205">
                  <c:v>15.85</c:v>
                </c:pt>
                <c:pt idx="206">
                  <c:v>18.787500000000001</c:v>
                </c:pt>
                <c:pt idx="207">
                  <c:v>7.75</c:v>
                </c:pt>
                <c:pt idx="208">
                  <c:v>31</c:v>
                </c:pt>
                <c:pt idx="209">
                  <c:v>7.05</c:v>
                </c:pt>
                <c:pt idx="210">
                  <c:v>21</c:v>
                </c:pt>
                <c:pt idx="211">
                  <c:v>7.25</c:v>
                </c:pt>
                <c:pt idx="212">
                  <c:v>13</c:v>
                </c:pt>
                <c:pt idx="213">
                  <c:v>7.75</c:v>
                </c:pt>
                <c:pt idx="214">
                  <c:v>113.27500000000001</c:v>
                </c:pt>
                <c:pt idx="215">
                  <c:v>7.9249999999999998</c:v>
                </c:pt>
                <c:pt idx="216">
                  <c:v>27</c:v>
                </c:pt>
                <c:pt idx="217">
                  <c:v>76.291700000000006</c:v>
                </c:pt>
                <c:pt idx="218">
                  <c:v>10.5</c:v>
                </c:pt>
                <c:pt idx="219">
                  <c:v>8.0500000000000007</c:v>
                </c:pt>
                <c:pt idx="220">
                  <c:v>13</c:v>
                </c:pt>
                <c:pt idx="221">
                  <c:v>8.0500000000000007</c:v>
                </c:pt>
                <c:pt idx="222">
                  <c:v>7.8958000000000004</c:v>
                </c:pt>
                <c:pt idx="223">
                  <c:v>90</c:v>
                </c:pt>
                <c:pt idx="224">
                  <c:v>9.35</c:v>
                </c:pt>
                <c:pt idx="225">
                  <c:v>10.5</c:v>
                </c:pt>
                <c:pt idx="226">
                  <c:v>7.25</c:v>
                </c:pt>
                <c:pt idx="227">
                  <c:v>13</c:v>
                </c:pt>
                <c:pt idx="228">
                  <c:v>25.466699999999999</c:v>
                </c:pt>
                <c:pt idx="229">
                  <c:v>83.474999999999994</c:v>
                </c:pt>
                <c:pt idx="230">
                  <c:v>7.7750000000000004</c:v>
                </c:pt>
                <c:pt idx="231">
                  <c:v>13.5</c:v>
                </c:pt>
                <c:pt idx="232">
                  <c:v>31.387499999999999</c:v>
                </c:pt>
                <c:pt idx="233">
                  <c:v>10.5</c:v>
                </c:pt>
                <c:pt idx="234">
                  <c:v>7.55</c:v>
                </c:pt>
                <c:pt idx="235">
                  <c:v>26</c:v>
                </c:pt>
                <c:pt idx="236">
                  <c:v>26.25</c:v>
                </c:pt>
                <c:pt idx="237">
                  <c:v>10.5</c:v>
                </c:pt>
                <c:pt idx="238">
                  <c:v>12.275</c:v>
                </c:pt>
                <c:pt idx="239">
                  <c:v>14.4542</c:v>
                </c:pt>
                <c:pt idx="240">
                  <c:v>15.5</c:v>
                </c:pt>
                <c:pt idx="241">
                  <c:v>10.5</c:v>
                </c:pt>
                <c:pt idx="242">
                  <c:v>7.125</c:v>
                </c:pt>
                <c:pt idx="243">
                  <c:v>7.2249999999999996</c:v>
                </c:pt>
                <c:pt idx="244">
                  <c:v>90</c:v>
                </c:pt>
                <c:pt idx="245">
                  <c:v>7.7750000000000004</c:v>
                </c:pt>
                <c:pt idx="246">
                  <c:v>14.5</c:v>
                </c:pt>
                <c:pt idx="247">
                  <c:v>52.554200000000002</c:v>
                </c:pt>
                <c:pt idx="248">
                  <c:v>26</c:v>
                </c:pt>
                <c:pt idx="249">
                  <c:v>7.25</c:v>
                </c:pt>
                <c:pt idx="250">
                  <c:v>10.4625</c:v>
                </c:pt>
                <c:pt idx="251">
                  <c:v>26.55</c:v>
                </c:pt>
                <c:pt idx="252">
                  <c:v>16.100000000000001</c:v>
                </c:pt>
                <c:pt idx="253">
                  <c:v>20.212499999999999</c:v>
                </c:pt>
                <c:pt idx="254">
                  <c:v>15.245799999999999</c:v>
                </c:pt>
                <c:pt idx="255">
                  <c:v>79.2</c:v>
                </c:pt>
                <c:pt idx="256">
                  <c:v>86.5</c:v>
                </c:pt>
                <c:pt idx="257">
                  <c:v>512.32920000000001</c:v>
                </c:pt>
                <c:pt idx="258">
                  <c:v>26</c:v>
                </c:pt>
                <c:pt idx="259">
                  <c:v>7.75</c:v>
                </c:pt>
                <c:pt idx="260">
                  <c:v>31.387499999999999</c:v>
                </c:pt>
                <c:pt idx="261">
                  <c:v>79.650000000000006</c:v>
                </c:pt>
                <c:pt idx="262">
                  <c:v>0</c:v>
                </c:pt>
                <c:pt idx="263">
                  <c:v>7.75</c:v>
                </c:pt>
                <c:pt idx="264">
                  <c:v>10.5</c:v>
                </c:pt>
                <c:pt idx="265">
                  <c:v>39.6875</c:v>
                </c:pt>
                <c:pt idx="266">
                  <c:v>7.7750000000000004</c:v>
                </c:pt>
                <c:pt idx="267">
                  <c:v>153.46250000000001</c:v>
                </c:pt>
                <c:pt idx="268">
                  <c:v>135.63329999999999</c:v>
                </c:pt>
                <c:pt idx="269">
                  <c:v>31</c:v>
                </c:pt>
                <c:pt idx="270">
                  <c:v>0</c:v>
                </c:pt>
                <c:pt idx="271">
                  <c:v>19.5</c:v>
                </c:pt>
                <c:pt idx="272">
                  <c:v>29.7</c:v>
                </c:pt>
                <c:pt idx="273">
                  <c:v>7.75</c:v>
                </c:pt>
                <c:pt idx="274">
                  <c:v>77.958299999999994</c:v>
                </c:pt>
                <c:pt idx="275">
                  <c:v>7.75</c:v>
                </c:pt>
                <c:pt idx="276">
                  <c:v>0</c:v>
                </c:pt>
                <c:pt idx="277">
                  <c:v>29.125</c:v>
                </c:pt>
                <c:pt idx="278">
                  <c:v>20.25</c:v>
                </c:pt>
                <c:pt idx="279">
                  <c:v>7.75</c:v>
                </c:pt>
                <c:pt idx="280">
                  <c:v>7.8541999999999996</c:v>
                </c:pt>
                <c:pt idx="281">
                  <c:v>9.5</c:v>
                </c:pt>
                <c:pt idx="282">
                  <c:v>8.0500000000000007</c:v>
                </c:pt>
                <c:pt idx="283">
                  <c:v>26</c:v>
                </c:pt>
                <c:pt idx="284">
                  <c:v>8.6624999999999996</c:v>
                </c:pt>
                <c:pt idx="285">
                  <c:v>9.5</c:v>
                </c:pt>
                <c:pt idx="286">
                  <c:v>7.8958000000000004</c:v>
                </c:pt>
                <c:pt idx="287">
                  <c:v>13</c:v>
                </c:pt>
                <c:pt idx="288">
                  <c:v>7.75</c:v>
                </c:pt>
                <c:pt idx="289">
                  <c:v>78.849999999999994</c:v>
                </c:pt>
                <c:pt idx="290">
                  <c:v>91.0792</c:v>
                </c:pt>
                <c:pt idx="291">
                  <c:v>12.875</c:v>
                </c:pt>
                <c:pt idx="292">
                  <c:v>8.85</c:v>
                </c:pt>
                <c:pt idx="293">
                  <c:v>7.8958000000000004</c:v>
                </c:pt>
                <c:pt idx="294">
                  <c:v>27.720800000000001</c:v>
                </c:pt>
                <c:pt idx="295">
                  <c:v>7.2291999999999996</c:v>
                </c:pt>
                <c:pt idx="296">
                  <c:v>151.55000000000001</c:v>
                </c:pt>
                <c:pt idx="297">
                  <c:v>30.5</c:v>
                </c:pt>
                <c:pt idx="298">
                  <c:v>247.52080000000001</c:v>
                </c:pt>
                <c:pt idx="299">
                  <c:v>7.75</c:v>
                </c:pt>
                <c:pt idx="300">
                  <c:v>23.25</c:v>
                </c:pt>
                <c:pt idx="301">
                  <c:v>0</c:v>
                </c:pt>
                <c:pt idx="302">
                  <c:v>12.35</c:v>
                </c:pt>
                <c:pt idx="303">
                  <c:v>8.0500000000000007</c:v>
                </c:pt>
                <c:pt idx="304">
                  <c:v>151.55000000000001</c:v>
                </c:pt>
                <c:pt idx="305">
                  <c:v>110.88330000000001</c:v>
                </c:pt>
                <c:pt idx="306">
                  <c:v>108.9</c:v>
                </c:pt>
                <c:pt idx="307">
                  <c:v>24</c:v>
                </c:pt>
                <c:pt idx="308">
                  <c:v>56.929200000000002</c:v>
                </c:pt>
                <c:pt idx="309">
                  <c:v>83.158299999999997</c:v>
                </c:pt>
                <c:pt idx="310">
                  <c:v>262.375</c:v>
                </c:pt>
                <c:pt idx="311">
                  <c:v>26</c:v>
                </c:pt>
                <c:pt idx="312">
                  <c:v>7.8958000000000004</c:v>
                </c:pt>
                <c:pt idx="313">
                  <c:v>26.25</c:v>
                </c:pt>
                <c:pt idx="314">
                  <c:v>7.8541999999999996</c:v>
                </c:pt>
                <c:pt idx="315">
                  <c:v>26</c:v>
                </c:pt>
                <c:pt idx="316">
                  <c:v>14</c:v>
                </c:pt>
                <c:pt idx="317">
                  <c:v>164.86670000000001</c:v>
                </c:pt>
                <c:pt idx="318">
                  <c:v>134.5</c:v>
                </c:pt>
                <c:pt idx="319">
                  <c:v>7.25</c:v>
                </c:pt>
                <c:pt idx="320">
                  <c:v>7.8958000000000004</c:v>
                </c:pt>
                <c:pt idx="321">
                  <c:v>12.35</c:v>
                </c:pt>
                <c:pt idx="322">
                  <c:v>29</c:v>
                </c:pt>
                <c:pt idx="323">
                  <c:v>69.55</c:v>
                </c:pt>
                <c:pt idx="324">
                  <c:v>135.63329999999999</c:v>
                </c:pt>
                <c:pt idx="325">
                  <c:v>6.2374999999999998</c:v>
                </c:pt>
                <c:pt idx="326">
                  <c:v>13</c:v>
                </c:pt>
                <c:pt idx="327">
                  <c:v>20.524999999999999</c:v>
                </c:pt>
                <c:pt idx="328">
                  <c:v>57.979199999999999</c:v>
                </c:pt>
                <c:pt idx="329">
                  <c:v>23.25</c:v>
                </c:pt>
                <c:pt idx="330">
                  <c:v>28.5</c:v>
                </c:pt>
                <c:pt idx="331">
                  <c:v>153.46250000000001</c:v>
                </c:pt>
                <c:pt idx="332">
                  <c:v>18</c:v>
                </c:pt>
                <c:pt idx="333">
                  <c:v>133.65</c:v>
                </c:pt>
                <c:pt idx="334">
                  <c:v>7.8958000000000004</c:v>
                </c:pt>
                <c:pt idx="335">
                  <c:v>66.599999999999994</c:v>
                </c:pt>
                <c:pt idx="336">
                  <c:v>134.5</c:v>
                </c:pt>
                <c:pt idx="337">
                  <c:v>8.0500000000000007</c:v>
                </c:pt>
                <c:pt idx="338">
                  <c:v>35.5</c:v>
                </c:pt>
                <c:pt idx="339">
                  <c:v>26</c:v>
                </c:pt>
                <c:pt idx="340">
                  <c:v>263</c:v>
                </c:pt>
                <c:pt idx="341">
                  <c:v>13</c:v>
                </c:pt>
                <c:pt idx="342">
                  <c:v>13</c:v>
                </c:pt>
                <c:pt idx="343">
                  <c:v>13</c:v>
                </c:pt>
                <c:pt idx="344">
                  <c:v>13</c:v>
                </c:pt>
                <c:pt idx="345">
                  <c:v>13</c:v>
                </c:pt>
                <c:pt idx="346">
                  <c:v>16.100000000000001</c:v>
                </c:pt>
                <c:pt idx="347">
                  <c:v>15.9</c:v>
                </c:pt>
                <c:pt idx="348">
                  <c:v>8.6624999999999996</c:v>
                </c:pt>
                <c:pt idx="349">
                  <c:v>9.2249999999999996</c:v>
                </c:pt>
                <c:pt idx="350">
                  <c:v>35</c:v>
                </c:pt>
                <c:pt idx="351">
                  <c:v>7.2291999999999996</c:v>
                </c:pt>
                <c:pt idx="352">
                  <c:v>17.8</c:v>
                </c:pt>
                <c:pt idx="353">
                  <c:v>7.2249999999999996</c:v>
                </c:pt>
                <c:pt idx="354">
                  <c:v>9.5</c:v>
                </c:pt>
                <c:pt idx="355">
                  <c:v>55</c:v>
                </c:pt>
                <c:pt idx="356">
                  <c:v>13</c:v>
                </c:pt>
                <c:pt idx="357">
                  <c:v>7.8792</c:v>
                </c:pt>
                <c:pt idx="358">
                  <c:v>7.8792</c:v>
                </c:pt>
                <c:pt idx="359">
                  <c:v>27.9</c:v>
                </c:pt>
                <c:pt idx="360">
                  <c:v>27.720800000000001</c:v>
                </c:pt>
                <c:pt idx="361">
                  <c:v>14.4542</c:v>
                </c:pt>
                <c:pt idx="362">
                  <c:v>7.05</c:v>
                </c:pt>
                <c:pt idx="363">
                  <c:v>15.5</c:v>
                </c:pt>
                <c:pt idx="364">
                  <c:v>7.25</c:v>
                </c:pt>
                <c:pt idx="365">
                  <c:v>75.25</c:v>
                </c:pt>
                <c:pt idx="366">
                  <c:v>7.2291999999999996</c:v>
                </c:pt>
                <c:pt idx="367">
                  <c:v>7.75</c:v>
                </c:pt>
                <c:pt idx="368">
                  <c:v>69.3</c:v>
                </c:pt>
                <c:pt idx="369">
                  <c:v>55.441699999999997</c:v>
                </c:pt>
                <c:pt idx="370">
                  <c:v>6.4958</c:v>
                </c:pt>
                <c:pt idx="371">
                  <c:v>8.0500000000000007</c:v>
                </c:pt>
                <c:pt idx="372">
                  <c:v>135.63329999999999</c:v>
                </c:pt>
                <c:pt idx="373">
                  <c:v>21.074999999999999</c:v>
                </c:pt>
                <c:pt idx="374">
                  <c:v>82.1708</c:v>
                </c:pt>
                <c:pt idx="375">
                  <c:v>7.25</c:v>
                </c:pt>
                <c:pt idx="376">
                  <c:v>211.5</c:v>
                </c:pt>
                <c:pt idx="377">
                  <c:v>4.0125000000000002</c:v>
                </c:pt>
                <c:pt idx="378">
                  <c:v>7.7750000000000004</c:v>
                </c:pt>
                <c:pt idx="379">
                  <c:v>227.52500000000001</c:v>
                </c:pt>
                <c:pt idx="380">
                  <c:v>15.7417</c:v>
                </c:pt>
                <c:pt idx="381">
                  <c:v>7.9249999999999998</c:v>
                </c:pt>
                <c:pt idx="382">
                  <c:v>52</c:v>
                </c:pt>
                <c:pt idx="383">
                  <c:v>7.8958000000000004</c:v>
                </c:pt>
                <c:pt idx="384">
                  <c:v>73.5</c:v>
                </c:pt>
                <c:pt idx="385">
                  <c:v>46.9</c:v>
                </c:pt>
                <c:pt idx="386">
                  <c:v>13</c:v>
                </c:pt>
                <c:pt idx="387">
                  <c:v>7.7291999999999996</c:v>
                </c:pt>
                <c:pt idx="388">
                  <c:v>12</c:v>
                </c:pt>
                <c:pt idx="389">
                  <c:v>120</c:v>
                </c:pt>
                <c:pt idx="390">
                  <c:v>7.7957999999999998</c:v>
                </c:pt>
                <c:pt idx="391">
                  <c:v>7.9249999999999998</c:v>
                </c:pt>
                <c:pt idx="392">
                  <c:v>113.27500000000001</c:v>
                </c:pt>
                <c:pt idx="393">
                  <c:v>16.7</c:v>
                </c:pt>
                <c:pt idx="394">
                  <c:v>7.7957999999999998</c:v>
                </c:pt>
                <c:pt idx="395">
                  <c:v>7.8541999999999996</c:v>
                </c:pt>
                <c:pt idx="396">
                  <c:v>26</c:v>
                </c:pt>
                <c:pt idx="397">
                  <c:v>10.5</c:v>
                </c:pt>
                <c:pt idx="398">
                  <c:v>12.65</c:v>
                </c:pt>
                <c:pt idx="399">
                  <c:v>7.9249999999999998</c:v>
                </c:pt>
                <c:pt idx="400">
                  <c:v>8.0500000000000007</c:v>
                </c:pt>
                <c:pt idx="401">
                  <c:v>9.8249999999999993</c:v>
                </c:pt>
                <c:pt idx="402">
                  <c:v>15.85</c:v>
                </c:pt>
                <c:pt idx="403">
                  <c:v>8.6624999999999996</c:v>
                </c:pt>
                <c:pt idx="404">
                  <c:v>21</c:v>
                </c:pt>
                <c:pt idx="405">
                  <c:v>7.75</c:v>
                </c:pt>
                <c:pt idx="406">
                  <c:v>18.75</c:v>
                </c:pt>
                <c:pt idx="407">
                  <c:v>7.7750000000000004</c:v>
                </c:pt>
                <c:pt idx="408">
                  <c:v>25.466699999999999</c:v>
                </c:pt>
                <c:pt idx="409">
                  <c:v>7.8958000000000004</c:v>
                </c:pt>
                <c:pt idx="410">
                  <c:v>6.8582999999999998</c:v>
                </c:pt>
                <c:pt idx="411">
                  <c:v>90</c:v>
                </c:pt>
                <c:pt idx="412">
                  <c:v>0</c:v>
                </c:pt>
                <c:pt idx="413">
                  <c:v>7.9249999999999998</c:v>
                </c:pt>
                <c:pt idx="414">
                  <c:v>8.0500000000000007</c:v>
                </c:pt>
                <c:pt idx="415">
                  <c:v>32.5</c:v>
                </c:pt>
                <c:pt idx="416">
                  <c:v>13</c:v>
                </c:pt>
                <c:pt idx="417">
                  <c:v>13</c:v>
                </c:pt>
                <c:pt idx="418">
                  <c:v>24.15</c:v>
                </c:pt>
                <c:pt idx="419">
                  <c:v>7.8958000000000004</c:v>
                </c:pt>
                <c:pt idx="420">
                  <c:v>7.7332999999999998</c:v>
                </c:pt>
                <c:pt idx="421">
                  <c:v>7.875</c:v>
                </c:pt>
                <c:pt idx="422">
                  <c:v>14.4</c:v>
                </c:pt>
                <c:pt idx="423">
                  <c:v>20.212499999999999</c:v>
                </c:pt>
                <c:pt idx="424">
                  <c:v>7.25</c:v>
                </c:pt>
                <c:pt idx="425">
                  <c:v>26</c:v>
                </c:pt>
                <c:pt idx="426">
                  <c:v>26</c:v>
                </c:pt>
                <c:pt idx="427">
                  <c:v>7.75</c:v>
                </c:pt>
                <c:pt idx="428">
                  <c:v>8.0500000000000007</c:v>
                </c:pt>
                <c:pt idx="429">
                  <c:v>26.55</c:v>
                </c:pt>
                <c:pt idx="430">
                  <c:v>16.100000000000001</c:v>
                </c:pt>
                <c:pt idx="431">
                  <c:v>26</c:v>
                </c:pt>
                <c:pt idx="432">
                  <c:v>7.125</c:v>
                </c:pt>
                <c:pt idx="433">
                  <c:v>55.9</c:v>
                </c:pt>
                <c:pt idx="434">
                  <c:v>120</c:v>
                </c:pt>
                <c:pt idx="435">
                  <c:v>34.375</c:v>
                </c:pt>
                <c:pt idx="436">
                  <c:v>18.75</c:v>
                </c:pt>
                <c:pt idx="437">
                  <c:v>263</c:v>
                </c:pt>
                <c:pt idx="438">
                  <c:v>10.5</c:v>
                </c:pt>
                <c:pt idx="439">
                  <c:v>26.25</c:v>
                </c:pt>
                <c:pt idx="440">
                  <c:v>9.5</c:v>
                </c:pt>
                <c:pt idx="441">
                  <c:v>7.7750000000000004</c:v>
                </c:pt>
                <c:pt idx="442">
                  <c:v>13</c:v>
                </c:pt>
                <c:pt idx="443">
                  <c:v>8.1125000000000007</c:v>
                </c:pt>
                <c:pt idx="444">
                  <c:v>81.8583</c:v>
                </c:pt>
                <c:pt idx="445">
                  <c:v>19.5</c:v>
                </c:pt>
                <c:pt idx="446">
                  <c:v>26.55</c:v>
                </c:pt>
                <c:pt idx="447">
                  <c:v>19.258299999999998</c:v>
                </c:pt>
                <c:pt idx="448">
                  <c:v>30.5</c:v>
                </c:pt>
                <c:pt idx="449">
                  <c:v>27.75</c:v>
                </c:pt>
                <c:pt idx="450">
                  <c:v>19.966699999999999</c:v>
                </c:pt>
                <c:pt idx="451">
                  <c:v>27.75</c:v>
                </c:pt>
                <c:pt idx="452">
                  <c:v>89.104200000000006</c:v>
                </c:pt>
                <c:pt idx="453">
                  <c:v>8.0500000000000007</c:v>
                </c:pt>
                <c:pt idx="454">
                  <c:v>7.8958000000000004</c:v>
                </c:pt>
                <c:pt idx="455">
                  <c:v>26.55</c:v>
                </c:pt>
                <c:pt idx="456">
                  <c:v>51.862499999999997</c:v>
                </c:pt>
                <c:pt idx="457">
                  <c:v>10.5</c:v>
                </c:pt>
                <c:pt idx="458">
                  <c:v>7.75</c:v>
                </c:pt>
                <c:pt idx="459">
                  <c:v>26.55</c:v>
                </c:pt>
                <c:pt idx="460">
                  <c:v>8.0500000000000007</c:v>
                </c:pt>
                <c:pt idx="461">
                  <c:v>38.5</c:v>
                </c:pt>
                <c:pt idx="462">
                  <c:v>13</c:v>
                </c:pt>
                <c:pt idx="463">
                  <c:v>8.0500000000000007</c:v>
                </c:pt>
                <c:pt idx="464">
                  <c:v>7.05</c:v>
                </c:pt>
                <c:pt idx="465">
                  <c:v>0</c:v>
                </c:pt>
                <c:pt idx="466">
                  <c:v>26.55</c:v>
                </c:pt>
                <c:pt idx="467">
                  <c:v>7.7249999999999996</c:v>
                </c:pt>
                <c:pt idx="468">
                  <c:v>19.258299999999998</c:v>
                </c:pt>
                <c:pt idx="469">
                  <c:v>7.25</c:v>
                </c:pt>
                <c:pt idx="470">
                  <c:v>8.6624999999999996</c:v>
                </c:pt>
                <c:pt idx="471">
                  <c:v>27.75</c:v>
                </c:pt>
                <c:pt idx="472">
                  <c:v>13.791700000000001</c:v>
                </c:pt>
                <c:pt idx="473">
                  <c:v>9.8375000000000004</c:v>
                </c:pt>
                <c:pt idx="474">
                  <c:v>52</c:v>
                </c:pt>
                <c:pt idx="475">
                  <c:v>21</c:v>
                </c:pt>
                <c:pt idx="476">
                  <c:v>7.0457999999999998</c:v>
                </c:pt>
                <c:pt idx="477">
                  <c:v>7.5208000000000004</c:v>
                </c:pt>
                <c:pt idx="478">
                  <c:v>12.2875</c:v>
                </c:pt>
                <c:pt idx="479">
                  <c:v>46.9</c:v>
                </c:pt>
                <c:pt idx="480">
                  <c:v>0</c:v>
                </c:pt>
                <c:pt idx="481">
                  <c:v>8.0500000000000007</c:v>
                </c:pt>
                <c:pt idx="482">
                  <c:v>9.5875000000000004</c:v>
                </c:pt>
                <c:pt idx="483">
                  <c:v>91.0792</c:v>
                </c:pt>
                <c:pt idx="484">
                  <c:v>25.466699999999999</c:v>
                </c:pt>
                <c:pt idx="485">
                  <c:v>90</c:v>
                </c:pt>
                <c:pt idx="486">
                  <c:v>29.7</c:v>
                </c:pt>
                <c:pt idx="487">
                  <c:v>8.0500000000000007</c:v>
                </c:pt>
                <c:pt idx="488">
                  <c:v>15.9</c:v>
                </c:pt>
                <c:pt idx="489">
                  <c:v>19.966699999999999</c:v>
                </c:pt>
                <c:pt idx="490">
                  <c:v>7.25</c:v>
                </c:pt>
                <c:pt idx="491">
                  <c:v>30.5</c:v>
                </c:pt>
                <c:pt idx="492">
                  <c:v>49.504199999999997</c:v>
                </c:pt>
                <c:pt idx="493">
                  <c:v>8.0500000000000007</c:v>
                </c:pt>
                <c:pt idx="494">
                  <c:v>14.458299999999999</c:v>
                </c:pt>
                <c:pt idx="495">
                  <c:v>78.2667</c:v>
                </c:pt>
                <c:pt idx="496">
                  <c:v>15.1</c:v>
                </c:pt>
                <c:pt idx="497">
                  <c:v>151.55000000000001</c:v>
                </c:pt>
              </c:numCache>
            </c:numRef>
          </c:xVal>
          <c:yVal>
            <c:numRef>
              <c:f>regression!$B$25:$B$522</c:f>
              <c:numCache>
                <c:formatCode>General</c:formatCode>
                <c:ptCount val="498"/>
                <c:pt idx="0">
                  <c:v>0.47146275021765749</c:v>
                </c:pt>
                <c:pt idx="1">
                  <c:v>0.33653689183309693</c:v>
                </c:pt>
                <c:pt idx="2">
                  <c:v>0.43274016200484278</c:v>
                </c:pt>
                <c:pt idx="3">
                  <c:v>0.33680308793207797</c:v>
                </c:pt>
                <c:pt idx="4">
                  <c:v>0.33767259086978962</c:v>
                </c:pt>
                <c:pt idx="5">
                  <c:v>0.4301048206249305</c:v>
                </c:pt>
                <c:pt idx="6">
                  <c:v>0.36454072144590177</c:v>
                </c:pt>
                <c:pt idx="7">
                  <c:v>0.34336918738798372</c:v>
                </c:pt>
                <c:pt idx="8">
                  <c:v>0.38369789638361046</c:v>
                </c:pt>
                <c:pt idx="9">
                  <c:v>0.35522385798156553</c:v>
                </c:pt>
                <c:pt idx="10">
                  <c:v>0.37620011058127106</c:v>
                </c:pt>
                <c:pt idx="11">
                  <c:v>0.33680308793207797</c:v>
                </c:pt>
                <c:pt idx="12">
                  <c:v>0.38626232312275416</c:v>
                </c:pt>
                <c:pt idx="13">
                  <c:v>0.33638611836263405</c:v>
                </c:pt>
                <c:pt idx="14">
                  <c:v>0.35373315982727177</c:v>
                </c:pt>
                <c:pt idx="15">
                  <c:v>0.38168375022028034</c:v>
                </c:pt>
                <c:pt idx="16">
                  <c:v>0.34734445345172693</c:v>
                </c:pt>
                <c:pt idx="17">
                  <c:v>0.35799229741096827</c:v>
                </c:pt>
                <c:pt idx="18">
                  <c:v>0.33504619367880312</c:v>
                </c:pt>
                <c:pt idx="19">
                  <c:v>0.37502884774575451</c:v>
                </c:pt>
                <c:pt idx="20">
                  <c:v>0.34734445345172693</c:v>
                </c:pt>
                <c:pt idx="21">
                  <c:v>0.33675879290120753</c:v>
                </c:pt>
                <c:pt idx="22">
                  <c:v>0.39525975126831314</c:v>
                </c:pt>
                <c:pt idx="23">
                  <c:v>0.36454072144590177</c:v>
                </c:pt>
                <c:pt idx="24">
                  <c:v>0.38650189961183706</c:v>
                </c:pt>
                <c:pt idx="25">
                  <c:v>0.33504619367880312</c:v>
                </c:pt>
                <c:pt idx="26">
                  <c:v>0.87973665141379565</c:v>
                </c:pt>
                <c:pt idx="27">
                  <c:v>0.33643935758243027</c:v>
                </c:pt>
                <c:pt idx="28">
                  <c:v>0.33647470842437494</c:v>
                </c:pt>
                <c:pt idx="29">
                  <c:v>0.37869340972276699</c:v>
                </c:pt>
                <c:pt idx="30">
                  <c:v>0.63168618219434203</c:v>
                </c:pt>
                <c:pt idx="31">
                  <c:v>0.3361642172945235</c:v>
                </c:pt>
                <c:pt idx="32">
                  <c:v>0.34202053147210626</c:v>
                </c:pt>
                <c:pt idx="33">
                  <c:v>0.49464843043890561</c:v>
                </c:pt>
                <c:pt idx="34">
                  <c:v>0.43039763633380967</c:v>
                </c:pt>
                <c:pt idx="35">
                  <c:v>0.33505513786772889</c:v>
                </c:pt>
                <c:pt idx="36">
                  <c:v>0.33680308793207797</c:v>
                </c:pt>
                <c:pt idx="37">
                  <c:v>0.35799229741096827</c:v>
                </c:pt>
                <c:pt idx="38">
                  <c:v>0.34360003264502009</c:v>
                </c:pt>
                <c:pt idx="39">
                  <c:v>0.33983772346046176</c:v>
                </c:pt>
                <c:pt idx="40">
                  <c:v>0.36438100378651311</c:v>
                </c:pt>
                <c:pt idx="41">
                  <c:v>0.33647470842437494</c:v>
                </c:pt>
                <c:pt idx="42">
                  <c:v>0.40820582586771714</c:v>
                </c:pt>
                <c:pt idx="43">
                  <c:v>0.33643935758243027</c:v>
                </c:pt>
                <c:pt idx="44">
                  <c:v>0.33680308793207797</c:v>
                </c:pt>
                <c:pt idx="45">
                  <c:v>0.3526683754313476</c:v>
                </c:pt>
                <c:pt idx="46">
                  <c:v>0.3361642172945235</c:v>
                </c:pt>
                <c:pt idx="47">
                  <c:v>0.36582740690993648</c:v>
                </c:pt>
                <c:pt idx="48">
                  <c:v>0.35756638365259863</c:v>
                </c:pt>
                <c:pt idx="49">
                  <c:v>0.40417732058417777</c:v>
                </c:pt>
                <c:pt idx="50">
                  <c:v>0.33627069573411589</c:v>
                </c:pt>
                <c:pt idx="51">
                  <c:v>0.48306016890118403</c:v>
                </c:pt>
                <c:pt idx="52">
                  <c:v>0.37502884774575451</c:v>
                </c:pt>
                <c:pt idx="53">
                  <c:v>0.45164902922142192</c:v>
                </c:pt>
                <c:pt idx="54">
                  <c:v>0.39525975126831314</c:v>
                </c:pt>
                <c:pt idx="55">
                  <c:v>0.34202053147210626</c:v>
                </c:pt>
                <c:pt idx="56">
                  <c:v>0.33505513786772889</c:v>
                </c:pt>
                <c:pt idx="57">
                  <c:v>0.37875559313148899</c:v>
                </c:pt>
                <c:pt idx="58">
                  <c:v>0.41953683549538345</c:v>
                </c:pt>
                <c:pt idx="59">
                  <c:v>0.33505513786772889</c:v>
                </c:pt>
                <c:pt idx="60">
                  <c:v>0.49002556250556134</c:v>
                </c:pt>
                <c:pt idx="61">
                  <c:v>0.49742581405723407</c:v>
                </c:pt>
                <c:pt idx="62">
                  <c:v>0.37907502845026619</c:v>
                </c:pt>
                <c:pt idx="63">
                  <c:v>0.37869340972276699</c:v>
                </c:pt>
                <c:pt idx="64">
                  <c:v>0.3521270390444598</c:v>
                </c:pt>
                <c:pt idx="65">
                  <c:v>0.34202053147210626</c:v>
                </c:pt>
                <c:pt idx="66">
                  <c:v>0.33703372023223516</c:v>
                </c:pt>
                <c:pt idx="67">
                  <c:v>0.33653689183309693</c:v>
                </c:pt>
                <c:pt idx="68">
                  <c:v>0.33810744881708504</c:v>
                </c:pt>
                <c:pt idx="69">
                  <c:v>0.34202053147210626</c:v>
                </c:pt>
                <c:pt idx="70">
                  <c:v>0.41953683549538345</c:v>
                </c:pt>
                <c:pt idx="71">
                  <c:v>0.47618336535854755</c:v>
                </c:pt>
                <c:pt idx="72">
                  <c:v>0.35044127238883271</c:v>
                </c:pt>
                <c:pt idx="73">
                  <c:v>0.43997175170820113</c:v>
                </c:pt>
                <c:pt idx="74">
                  <c:v>0.33595126041533863</c:v>
                </c:pt>
                <c:pt idx="75">
                  <c:v>0.33647470842437494</c:v>
                </c:pt>
                <c:pt idx="76">
                  <c:v>0.33680308793207797</c:v>
                </c:pt>
                <c:pt idx="77">
                  <c:v>0.3814175541212993</c:v>
                </c:pt>
                <c:pt idx="78">
                  <c:v>0.3462264298360066</c:v>
                </c:pt>
                <c:pt idx="79">
                  <c:v>0.33882617828433381</c:v>
                </c:pt>
                <c:pt idx="80">
                  <c:v>0.33989096268025798</c:v>
                </c:pt>
                <c:pt idx="81">
                  <c:v>0.33624407612421781</c:v>
                </c:pt>
                <c:pt idx="82">
                  <c:v>0.4199627492537531</c:v>
                </c:pt>
                <c:pt idx="83">
                  <c:v>0.34202053147210626</c:v>
                </c:pt>
                <c:pt idx="84">
                  <c:v>0.35341372450849451</c:v>
                </c:pt>
                <c:pt idx="85">
                  <c:v>0.39286398637748382</c:v>
                </c:pt>
                <c:pt idx="86">
                  <c:v>0.33680308793207797</c:v>
                </c:pt>
                <c:pt idx="87">
                  <c:v>0.87973665141379565</c:v>
                </c:pt>
                <c:pt idx="88">
                  <c:v>0.33680308793207797</c:v>
                </c:pt>
                <c:pt idx="89">
                  <c:v>0.33680308793207797</c:v>
                </c:pt>
                <c:pt idx="90">
                  <c:v>0.33638611836263405</c:v>
                </c:pt>
                <c:pt idx="91">
                  <c:v>0.44993642999901756</c:v>
                </c:pt>
                <c:pt idx="92">
                  <c:v>0.3634759370499776</c:v>
                </c:pt>
                <c:pt idx="93">
                  <c:v>0.33509943289859934</c:v>
                </c:pt>
                <c:pt idx="94">
                  <c:v>0.33680308793207797</c:v>
                </c:pt>
                <c:pt idx="95">
                  <c:v>0.39345856198416784</c:v>
                </c:pt>
                <c:pt idx="96">
                  <c:v>0.45458591754225991</c:v>
                </c:pt>
                <c:pt idx="97">
                  <c:v>0.36864014137020967</c:v>
                </c:pt>
                <c:pt idx="98">
                  <c:v>0.37502884774575451</c:v>
                </c:pt>
                <c:pt idx="99">
                  <c:v>0.33647470842437494</c:v>
                </c:pt>
                <c:pt idx="100">
                  <c:v>0.33647470842437494</c:v>
                </c:pt>
                <c:pt idx="101">
                  <c:v>0.48424910715767289</c:v>
                </c:pt>
                <c:pt idx="102">
                  <c:v>0.33808977339611268</c:v>
                </c:pt>
                <c:pt idx="103">
                  <c:v>0.33653689183309693</c:v>
                </c:pt>
                <c:pt idx="104">
                  <c:v>0.33647470842437494</c:v>
                </c:pt>
                <c:pt idx="105">
                  <c:v>0.33595126041533863</c:v>
                </c:pt>
                <c:pt idx="106">
                  <c:v>0.33621745651431967</c:v>
                </c:pt>
                <c:pt idx="107">
                  <c:v>0.33647470842437494</c:v>
                </c:pt>
                <c:pt idx="108">
                  <c:v>0.37108914548083516</c:v>
                </c:pt>
                <c:pt idx="109">
                  <c:v>0.43039763633380967</c:v>
                </c:pt>
                <c:pt idx="110">
                  <c:v>0.35044127238883271</c:v>
                </c:pt>
                <c:pt idx="111">
                  <c:v>0.33680308793207797</c:v>
                </c:pt>
                <c:pt idx="112">
                  <c:v>0.34058307253760867</c:v>
                </c:pt>
                <c:pt idx="113">
                  <c:v>0.35045000362087925</c:v>
                </c:pt>
                <c:pt idx="114">
                  <c:v>0.33653689183309693</c:v>
                </c:pt>
                <c:pt idx="115">
                  <c:v>0.3361642172945235</c:v>
                </c:pt>
                <c:pt idx="116">
                  <c:v>0.36438100378651311</c:v>
                </c:pt>
                <c:pt idx="117">
                  <c:v>0.84677263017101789</c:v>
                </c:pt>
                <c:pt idx="118">
                  <c:v>0.38626232312275416</c:v>
                </c:pt>
                <c:pt idx="119">
                  <c:v>0.47618336535854755</c:v>
                </c:pt>
                <c:pt idx="120">
                  <c:v>0.33680308793207797</c:v>
                </c:pt>
                <c:pt idx="121">
                  <c:v>0.38369789638361046</c:v>
                </c:pt>
                <c:pt idx="122">
                  <c:v>0.34734445345172693</c:v>
                </c:pt>
                <c:pt idx="123">
                  <c:v>0.48424910715767289</c:v>
                </c:pt>
                <c:pt idx="124">
                  <c:v>0.34360003264502009</c:v>
                </c:pt>
                <c:pt idx="125">
                  <c:v>0.3361642172945235</c:v>
                </c:pt>
                <c:pt idx="126">
                  <c:v>0.33486880059844215</c:v>
                </c:pt>
                <c:pt idx="127">
                  <c:v>0.36727359707648066</c:v>
                </c:pt>
                <c:pt idx="128">
                  <c:v>0.33451380148084109</c:v>
                </c:pt>
                <c:pt idx="129">
                  <c:v>0.33647470842437494</c:v>
                </c:pt>
                <c:pt idx="130">
                  <c:v>0.33467351914022969</c:v>
                </c:pt>
                <c:pt idx="131">
                  <c:v>0.35053880663949932</c:v>
                </c:pt>
                <c:pt idx="132">
                  <c:v>0.37502884774575451</c:v>
                </c:pt>
                <c:pt idx="133">
                  <c:v>0.34734445345172693</c:v>
                </c:pt>
                <c:pt idx="134">
                  <c:v>0.3517011252860901</c:v>
                </c:pt>
                <c:pt idx="135">
                  <c:v>0.37563215458448512</c:v>
                </c:pt>
                <c:pt idx="136">
                  <c:v>0.43274016200484278</c:v>
                </c:pt>
                <c:pt idx="137">
                  <c:v>0.33928765584152737</c:v>
                </c:pt>
                <c:pt idx="138">
                  <c:v>0.48832190747208271</c:v>
                </c:pt>
                <c:pt idx="139">
                  <c:v>0.3521270390444598</c:v>
                </c:pt>
                <c:pt idx="140">
                  <c:v>0.3361642172945235</c:v>
                </c:pt>
                <c:pt idx="141">
                  <c:v>0.35341372450849451</c:v>
                </c:pt>
                <c:pt idx="142">
                  <c:v>0.33403464850267522</c:v>
                </c:pt>
                <c:pt idx="143">
                  <c:v>0.34415010026395454</c:v>
                </c:pt>
                <c:pt idx="144">
                  <c:v>0.39792171225812345</c:v>
                </c:pt>
                <c:pt idx="145">
                  <c:v>0.33626175154519011</c:v>
                </c:pt>
                <c:pt idx="146">
                  <c:v>0.39286398637748382</c:v>
                </c:pt>
                <c:pt idx="147">
                  <c:v>0.37502884774575451</c:v>
                </c:pt>
                <c:pt idx="148">
                  <c:v>0.34734445345172693</c:v>
                </c:pt>
                <c:pt idx="149">
                  <c:v>0.34633290827559898</c:v>
                </c:pt>
                <c:pt idx="150">
                  <c:v>0.46148934069479441</c:v>
                </c:pt>
                <c:pt idx="151">
                  <c:v>0.33680308793207797</c:v>
                </c:pt>
                <c:pt idx="152">
                  <c:v>0.35053880663949932</c:v>
                </c:pt>
                <c:pt idx="153">
                  <c:v>0.33523253094808986</c:v>
                </c:pt>
                <c:pt idx="154">
                  <c:v>0.45037128794631298</c:v>
                </c:pt>
                <c:pt idx="155">
                  <c:v>0.33612865349569959</c:v>
                </c:pt>
                <c:pt idx="156">
                  <c:v>0.33680308793207797</c:v>
                </c:pt>
                <c:pt idx="157">
                  <c:v>0.33810744881708504</c:v>
                </c:pt>
                <c:pt idx="158">
                  <c:v>0.46777156863074687</c:v>
                </c:pt>
                <c:pt idx="159">
                  <c:v>0.35394611670645659</c:v>
                </c:pt>
                <c:pt idx="160">
                  <c:v>0.35320076762930969</c:v>
                </c:pt>
                <c:pt idx="161">
                  <c:v>0.33621745651431967</c:v>
                </c:pt>
                <c:pt idx="162">
                  <c:v>0.33810744881708504</c:v>
                </c:pt>
                <c:pt idx="163">
                  <c:v>0.40417732058417777</c:v>
                </c:pt>
                <c:pt idx="164">
                  <c:v>0.36336945861038517</c:v>
                </c:pt>
                <c:pt idx="165">
                  <c:v>0.43678634270935446</c:v>
                </c:pt>
                <c:pt idx="166">
                  <c:v>0.37907502845026619</c:v>
                </c:pt>
                <c:pt idx="167">
                  <c:v>0.37486913008636591</c:v>
                </c:pt>
                <c:pt idx="168">
                  <c:v>0.43997175170820113</c:v>
                </c:pt>
                <c:pt idx="169">
                  <c:v>0.39100061368461658</c:v>
                </c:pt>
                <c:pt idx="170">
                  <c:v>0.38168375022028034</c:v>
                </c:pt>
                <c:pt idx="171">
                  <c:v>0.34336918738798372</c:v>
                </c:pt>
                <c:pt idx="172">
                  <c:v>0.33653689183309693</c:v>
                </c:pt>
                <c:pt idx="173">
                  <c:v>0.38502887687851561</c:v>
                </c:pt>
                <c:pt idx="174">
                  <c:v>0.33638611836263405</c:v>
                </c:pt>
                <c:pt idx="175">
                  <c:v>0.37389314870906182</c:v>
                </c:pt>
                <c:pt idx="176">
                  <c:v>0.38080530309364297</c:v>
                </c:pt>
                <c:pt idx="177">
                  <c:v>0.34734445345172693</c:v>
                </c:pt>
                <c:pt idx="178">
                  <c:v>0.31966005915769935</c:v>
                </c:pt>
                <c:pt idx="179">
                  <c:v>0.46777156863074687</c:v>
                </c:pt>
                <c:pt idx="180">
                  <c:v>0.35171006947501587</c:v>
                </c:pt>
                <c:pt idx="181">
                  <c:v>0.38650189961183706</c:v>
                </c:pt>
                <c:pt idx="182">
                  <c:v>0.40271324203978209</c:v>
                </c:pt>
                <c:pt idx="183">
                  <c:v>0.36656381179815761</c:v>
                </c:pt>
                <c:pt idx="184">
                  <c:v>0.42613849875011311</c:v>
                </c:pt>
                <c:pt idx="185">
                  <c:v>0.3526683754313476</c:v>
                </c:pt>
                <c:pt idx="186">
                  <c:v>0.37620011058127106</c:v>
                </c:pt>
                <c:pt idx="187">
                  <c:v>0.3526683754313476</c:v>
                </c:pt>
                <c:pt idx="188">
                  <c:v>0.33647470842437494</c:v>
                </c:pt>
                <c:pt idx="189">
                  <c:v>0.34734445345172693</c:v>
                </c:pt>
                <c:pt idx="190">
                  <c:v>0.34734445345172693</c:v>
                </c:pt>
                <c:pt idx="191">
                  <c:v>0.33638611836263405</c:v>
                </c:pt>
                <c:pt idx="192">
                  <c:v>0.37502884774575451</c:v>
                </c:pt>
                <c:pt idx="193">
                  <c:v>0.37869340972276699</c:v>
                </c:pt>
                <c:pt idx="194">
                  <c:v>0.63168618219434203</c:v>
                </c:pt>
                <c:pt idx="195">
                  <c:v>0.3361642172945235</c:v>
                </c:pt>
                <c:pt idx="196">
                  <c:v>0.3375573811981506</c:v>
                </c:pt>
                <c:pt idx="197">
                  <c:v>0.3361642172945235</c:v>
                </c:pt>
                <c:pt idx="198">
                  <c:v>0.34734445345172693</c:v>
                </c:pt>
                <c:pt idx="199">
                  <c:v>0.33989096268025798</c:v>
                </c:pt>
                <c:pt idx="200">
                  <c:v>0.46777156863074687</c:v>
                </c:pt>
                <c:pt idx="201">
                  <c:v>0.33349331211578737</c:v>
                </c:pt>
                <c:pt idx="202">
                  <c:v>0.33504619367880312</c:v>
                </c:pt>
                <c:pt idx="203">
                  <c:v>0.33680308793207797</c:v>
                </c:pt>
                <c:pt idx="204">
                  <c:v>0.3419406726424119</c:v>
                </c:pt>
                <c:pt idx="205">
                  <c:v>0.35341372450849451</c:v>
                </c:pt>
                <c:pt idx="206">
                  <c:v>0.35966933283454883</c:v>
                </c:pt>
                <c:pt idx="207">
                  <c:v>0.3361642172945235</c:v>
                </c:pt>
                <c:pt idx="208">
                  <c:v>0.38567669170499586</c:v>
                </c:pt>
                <c:pt idx="209">
                  <c:v>0.33467351914022969</c:v>
                </c:pt>
                <c:pt idx="210">
                  <c:v>0.36438100378651311</c:v>
                </c:pt>
                <c:pt idx="211">
                  <c:v>0.33509943289859934</c:v>
                </c:pt>
                <c:pt idx="212">
                  <c:v>0.34734445345172693</c:v>
                </c:pt>
                <c:pt idx="213">
                  <c:v>0.3361642172945235</c:v>
                </c:pt>
                <c:pt idx="214">
                  <c:v>0.56088696405431271</c:v>
                </c:pt>
                <c:pt idx="215">
                  <c:v>0.33653689183309693</c:v>
                </c:pt>
                <c:pt idx="216">
                  <c:v>0.37715841653760279</c:v>
                </c:pt>
                <c:pt idx="217">
                  <c:v>0.48212848255475038</c:v>
                </c:pt>
                <c:pt idx="218">
                  <c:v>0.34202053147210626</c:v>
                </c:pt>
                <c:pt idx="219">
                  <c:v>0.33680308793207797</c:v>
                </c:pt>
                <c:pt idx="220">
                  <c:v>0.34734445345172693</c:v>
                </c:pt>
                <c:pt idx="221">
                  <c:v>0.33680308793207797</c:v>
                </c:pt>
                <c:pt idx="222">
                  <c:v>0.33647470842437494</c:v>
                </c:pt>
                <c:pt idx="223">
                  <c:v>0.51132125042404408</c:v>
                </c:pt>
                <c:pt idx="224">
                  <c:v>0.33957152736148072</c:v>
                </c:pt>
                <c:pt idx="225">
                  <c:v>0.34202053147210626</c:v>
                </c:pt>
                <c:pt idx="226">
                  <c:v>0.33509943289859934</c:v>
                </c:pt>
                <c:pt idx="227">
                  <c:v>0.34734445345172693</c:v>
                </c:pt>
                <c:pt idx="228">
                  <c:v>0.37389314870906182</c:v>
                </c:pt>
                <c:pt idx="229">
                  <c:v>0.49742581405723407</c:v>
                </c:pt>
                <c:pt idx="230">
                  <c:v>0.33621745651431967</c:v>
                </c:pt>
                <c:pt idx="231">
                  <c:v>0.34840923784765104</c:v>
                </c:pt>
                <c:pt idx="232">
                  <c:v>0.38650189961183706</c:v>
                </c:pt>
                <c:pt idx="233">
                  <c:v>0.34202053147210626</c:v>
                </c:pt>
                <c:pt idx="234">
                  <c:v>0.3357383035361538</c:v>
                </c:pt>
                <c:pt idx="235">
                  <c:v>0.37502884774575451</c:v>
                </c:pt>
                <c:pt idx="236">
                  <c:v>0.3755612399437166</c:v>
                </c:pt>
                <c:pt idx="237">
                  <c:v>0.34202053147210626</c:v>
                </c:pt>
                <c:pt idx="238">
                  <c:v>0.34580051607763695</c:v>
                </c:pt>
                <c:pt idx="239">
                  <c:v>0.35044127238883271</c:v>
                </c:pt>
                <c:pt idx="240">
                  <c:v>0.3526683754313476</c:v>
                </c:pt>
                <c:pt idx="241">
                  <c:v>0.34202053147210626</c:v>
                </c:pt>
                <c:pt idx="242">
                  <c:v>0.33483323679961829</c:v>
                </c:pt>
                <c:pt idx="243">
                  <c:v>0.33504619367880312</c:v>
                </c:pt>
                <c:pt idx="244">
                  <c:v>0.51132125042404408</c:v>
                </c:pt>
                <c:pt idx="245">
                  <c:v>0.33621745651431967</c:v>
                </c:pt>
                <c:pt idx="246">
                  <c:v>0.35053880663949932</c:v>
                </c:pt>
                <c:pt idx="247">
                  <c:v>0.431577843358252</c:v>
                </c:pt>
                <c:pt idx="248">
                  <c:v>0.37502884774575451</c:v>
                </c:pt>
                <c:pt idx="249">
                  <c:v>0.33509943289859934</c:v>
                </c:pt>
                <c:pt idx="250">
                  <c:v>0.3419406726424119</c:v>
                </c:pt>
                <c:pt idx="251">
                  <c:v>0.37620011058127106</c:v>
                </c:pt>
                <c:pt idx="252">
                  <c:v>0.35394611670645659</c:v>
                </c:pt>
                <c:pt idx="253">
                  <c:v>0.36270396836293262</c:v>
                </c:pt>
                <c:pt idx="254">
                  <c:v>0.3521270390444598</c:v>
                </c:pt>
                <c:pt idx="255">
                  <c:v>0.48832190747208271</c:v>
                </c:pt>
                <c:pt idx="256">
                  <c:v>0.50386775965257513</c:v>
                </c:pt>
                <c:pt idx="257">
                  <c:v>1.4107003346302927</c:v>
                </c:pt>
                <c:pt idx="258">
                  <c:v>0.37502884774575451</c:v>
                </c:pt>
                <c:pt idx="259">
                  <c:v>0.3361642172945235</c:v>
                </c:pt>
                <c:pt idx="260">
                  <c:v>0.38650189961183706</c:v>
                </c:pt>
                <c:pt idx="261">
                  <c:v>0.48928021342841443</c:v>
                </c:pt>
                <c:pt idx="262">
                  <c:v>0.31966005915769935</c:v>
                </c:pt>
                <c:pt idx="263">
                  <c:v>0.3361642172945235</c:v>
                </c:pt>
                <c:pt idx="264">
                  <c:v>0.34202053147210626</c:v>
                </c:pt>
                <c:pt idx="265">
                  <c:v>0.40417732058417777</c:v>
                </c:pt>
                <c:pt idx="266">
                  <c:v>0.33621745651431967</c:v>
                </c:pt>
                <c:pt idx="267">
                  <c:v>0.64646900987671518</c:v>
                </c:pt>
                <c:pt idx="268">
                  <c:v>0.60850050197309402</c:v>
                </c:pt>
                <c:pt idx="269">
                  <c:v>0.38567669170499586</c:v>
                </c:pt>
                <c:pt idx="270">
                  <c:v>0.31966005915769935</c:v>
                </c:pt>
                <c:pt idx="271">
                  <c:v>0.36118665059874072</c:v>
                </c:pt>
                <c:pt idx="272">
                  <c:v>0.38290825227559311</c:v>
                </c:pt>
                <c:pt idx="273">
                  <c:v>0.3361642172945235</c:v>
                </c:pt>
                <c:pt idx="274">
                  <c:v>0.48567762190324471</c:v>
                </c:pt>
                <c:pt idx="275">
                  <c:v>0.3361642172945235</c:v>
                </c:pt>
                <c:pt idx="276">
                  <c:v>0.31966005915769935</c:v>
                </c:pt>
                <c:pt idx="277">
                  <c:v>0.38168375022028034</c:v>
                </c:pt>
                <c:pt idx="278">
                  <c:v>0.36278382719262692</c:v>
                </c:pt>
                <c:pt idx="279">
                  <c:v>0.3361642172945235</c:v>
                </c:pt>
                <c:pt idx="280">
                  <c:v>0.33638611836263405</c:v>
                </c:pt>
                <c:pt idx="281">
                  <c:v>0.33989096268025798</c:v>
                </c:pt>
                <c:pt idx="282">
                  <c:v>0.33680308793207797</c:v>
                </c:pt>
                <c:pt idx="283">
                  <c:v>0.37502884774575451</c:v>
                </c:pt>
                <c:pt idx="284">
                  <c:v>0.33810744881708504</c:v>
                </c:pt>
                <c:pt idx="285">
                  <c:v>0.33989096268025798</c:v>
                </c:pt>
                <c:pt idx="286">
                  <c:v>0.33647470842437494</c:v>
                </c:pt>
                <c:pt idx="287">
                  <c:v>0.34734445345172693</c:v>
                </c:pt>
                <c:pt idx="288">
                  <c:v>0.3361642172945235</c:v>
                </c:pt>
                <c:pt idx="289">
                  <c:v>0.48757655839493586</c:v>
                </c:pt>
                <c:pt idx="290">
                  <c:v>0.51361948106420674</c:v>
                </c:pt>
                <c:pt idx="291">
                  <c:v>0.34707825735274589</c:v>
                </c:pt>
                <c:pt idx="292">
                  <c:v>0.33850674296555661</c:v>
                </c:pt>
                <c:pt idx="293">
                  <c:v>0.33647470842437494</c:v>
                </c:pt>
                <c:pt idx="294">
                  <c:v>0.37869340972276699</c:v>
                </c:pt>
                <c:pt idx="295">
                  <c:v>0.33505513786772889</c:v>
                </c:pt>
                <c:pt idx="296">
                  <c:v>0.64239620956230548</c:v>
                </c:pt>
                <c:pt idx="297">
                  <c:v>0.38461190730907174</c:v>
                </c:pt>
                <c:pt idx="298">
                  <c:v>0.84677263017101789</c:v>
                </c:pt>
                <c:pt idx="299">
                  <c:v>0.3361642172945235</c:v>
                </c:pt>
                <c:pt idx="300">
                  <c:v>0.36917253356817176</c:v>
                </c:pt>
                <c:pt idx="301">
                  <c:v>0.31966005915769935</c:v>
                </c:pt>
                <c:pt idx="302">
                  <c:v>0.34596023373702556</c:v>
                </c:pt>
                <c:pt idx="303">
                  <c:v>0.33680308793207797</c:v>
                </c:pt>
                <c:pt idx="304">
                  <c:v>0.64239620956230548</c:v>
                </c:pt>
                <c:pt idx="305">
                  <c:v>0.55579367437484917</c:v>
                </c:pt>
                <c:pt idx="306">
                  <c:v>0.55157010058997646</c:v>
                </c:pt>
                <c:pt idx="307">
                  <c:v>0.37076971016205795</c:v>
                </c:pt>
                <c:pt idx="308">
                  <c:v>0.44089470682258819</c:v>
                </c:pt>
                <c:pt idx="309">
                  <c:v>0.49675137962085575</c:v>
                </c:pt>
                <c:pt idx="310">
                  <c:v>0.87840567091889055</c:v>
                </c:pt>
                <c:pt idx="311">
                  <c:v>0.37502884774575451</c:v>
                </c:pt>
                <c:pt idx="312">
                  <c:v>0.33647470842437494</c:v>
                </c:pt>
                <c:pt idx="313">
                  <c:v>0.3755612399437166</c:v>
                </c:pt>
                <c:pt idx="314">
                  <c:v>0.33638611836263405</c:v>
                </c:pt>
                <c:pt idx="315">
                  <c:v>0.37502884774575451</c:v>
                </c:pt>
                <c:pt idx="316">
                  <c:v>0.34947402224357521</c:v>
                </c:pt>
                <c:pt idx="317">
                  <c:v>0.67075503829271144</c:v>
                </c:pt>
                <c:pt idx="318">
                  <c:v>0.60608706166129234</c:v>
                </c:pt>
                <c:pt idx="319">
                  <c:v>0.33509943289859934</c:v>
                </c:pt>
                <c:pt idx="320">
                  <c:v>0.33647470842437494</c:v>
                </c:pt>
                <c:pt idx="321">
                  <c:v>0.34596023373702556</c:v>
                </c:pt>
                <c:pt idx="322">
                  <c:v>0.3814175541212993</c:v>
                </c:pt>
                <c:pt idx="323">
                  <c:v>0.46777156863074687</c:v>
                </c:pt>
                <c:pt idx="324">
                  <c:v>0.60850050197309402</c:v>
                </c:pt>
                <c:pt idx="325">
                  <c:v>0.33294324449685297</c:v>
                </c:pt>
                <c:pt idx="326">
                  <c:v>0.34734445345172693</c:v>
                </c:pt>
                <c:pt idx="327">
                  <c:v>0.36336945861038517</c:v>
                </c:pt>
                <c:pt idx="328">
                  <c:v>0.44313075405402885</c:v>
                </c:pt>
                <c:pt idx="329">
                  <c:v>0.36917253356817176</c:v>
                </c:pt>
                <c:pt idx="330">
                  <c:v>0.38035276972537518</c:v>
                </c:pt>
                <c:pt idx="331">
                  <c:v>0.64646900987671518</c:v>
                </c:pt>
                <c:pt idx="332">
                  <c:v>0.35799229741096827</c:v>
                </c:pt>
                <c:pt idx="333">
                  <c:v>0.60427692818822132</c:v>
                </c:pt>
                <c:pt idx="334">
                  <c:v>0.33647470842437494</c:v>
                </c:pt>
                <c:pt idx="335">
                  <c:v>0.46148934069479441</c:v>
                </c:pt>
                <c:pt idx="336">
                  <c:v>0.60608706166129234</c:v>
                </c:pt>
                <c:pt idx="337">
                  <c:v>0.33680308793207797</c:v>
                </c:pt>
                <c:pt idx="338">
                  <c:v>0.39525975126831314</c:v>
                </c:pt>
                <c:pt idx="339">
                  <c:v>0.37502884774575451</c:v>
                </c:pt>
                <c:pt idx="340">
                  <c:v>0.87973665141379565</c:v>
                </c:pt>
                <c:pt idx="341">
                  <c:v>0.34734445345172693</c:v>
                </c:pt>
                <c:pt idx="342">
                  <c:v>0.34734445345172693</c:v>
                </c:pt>
                <c:pt idx="343">
                  <c:v>0.34734445345172693</c:v>
                </c:pt>
                <c:pt idx="344">
                  <c:v>0.34734445345172693</c:v>
                </c:pt>
                <c:pt idx="345">
                  <c:v>0.34734445345172693</c:v>
                </c:pt>
                <c:pt idx="346">
                  <c:v>0.35394611670645659</c:v>
                </c:pt>
                <c:pt idx="347">
                  <c:v>0.35352020294808695</c:v>
                </c:pt>
                <c:pt idx="348">
                  <c:v>0.33810744881708504</c:v>
                </c:pt>
                <c:pt idx="349">
                  <c:v>0.33930533126249968</c:v>
                </c:pt>
                <c:pt idx="350">
                  <c:v>0.39419496687238897</c:v>
                </c:pt>
                <c:pt idx="351">
                  <c:v>0.33505513786772889</c:v>
                </c:pt>
                <c:pt idx="352">
                  <c:v>0.35756638365259863</c:v>
                </c:pt>
                <c:pt idx="353">
                  <c:v>0.33504619367880312</c:v>
                </c:pt>
                <c:pt idx="354">
                  <c:v>0.33989096268025798</c:v>
                </c:pt>
                <c:pt idx="355">
                  <c:v>0.43678634270935446</c:v>
                </c:pt>
                <c:pt idx="356">
                  <c:v>0.34734445345172693</c:v>
                </c:pt>
                <c:pt idx="357">
                  <c:v>0.33643935758243027</c:v>
                </c:pt>
                <c:pt idx="358">
                  <c:v>0.33643935758243027</c:v>
                </c:pt>
                <c:pt idx="359">
                  <c:v>0.37907502845026619</c:v>
                </c:pt>
                <c:pt idx="360">
                  <c:v>0.37869340972276699</c:v>
                </c:pt>
                <c:pt idx="361">
                  <c:v>0.35044127238883271</c:v>
                </c:pt>
                <c:pt idx="362">
                  <c:v>0.33467351914022969</c:v>
                </c:pt>
                <c:pt idx="363">
                  <c:v>0.3526683754313476</c:v>
                </c:pt>
                <c:pt idx="364">
                  <c:v>0.33509943289859934</c:v>
                </c:pt>
                <c:pt idx="365">
                  <c:v>0.47991011074428203</c:v>
                </c:pt>
                <c:pt idx="366">
                  <c:v>0.33505513786772889</c:v>
                </c:pt>
                <c:pt idx="367">
                  <c:v>0.3361642172945235</c:v>
                </c:pt>
                <c:pt idx="368">
                  <c:v>0.46723917643278479</c:v>
                </c:pt>
                <c:pt idx="369">
                  <c:v>0.43772697324471388</c:v>
                </c:pt>
                <c:pt idx="370">
                  <c:v>0.33349331211578737</c:v>
                </c:pt>
                <c:pt idx="371">
                  <c:v>0.33680308793207797</c:v>
                </c:pt>
                <c:pt idx="372">
                  <c:v>0.60850050197309402</c:v>
                </c:pt>
                <c:pt idx="373">
                  <c:v>0.36454072144590177</c:v>
                </c:pt>
                <c:pt idx="374">
                  <c:v>0.49464843043890561</c:v>
                </c:pt>
                <c:pt idx="375">
                  <c:v>0.33509943289859934</c:v>
                </c:pt>
                <c:pt idx="376">
                  <c:v>0.77006385863360949</c:v>
                </c:pt>
                <c:pt idx="377">
                  <c:v>0.32820495393499055</c:v>
                </c:pt>
                <c:pt idx="378">
                  <c:v>0.33621745651431967</c:v>
                </c:pt>
                <c:pt idx="379">
                  <c:v>0.80419019852297813</c:v>
                </c:pt>
                <c:pt idx="380">
                  <c:v>0.35318309220833732</c:v>
                </c:pt>
                <c:pt idx="381">
                  <c:v>0.33653689183309693</c:v>
                </c:pt>
                <c:pt idx="382">
                  <c:v>0.43039763633380967</c:v>
                </c:pt>
                <c:pt idx="383">
                  <c:v>0.33647470842437494</c:v>
                </c:pt>
                <c:pt idx="384">
                  <c:v>0.47618336535854755</c:v>
                </c:pt>
                <c:pt idx="385">
                  <c:v>0.41953683549538345</c:v>
                </c:pt>
                <c:pt idx="386">
                  <c:v>0.34734445345172693</c:v>
                </c:pt>
                <c:pt idx="387">
                  <c:v>0.33611992226365306</c:v>
                </c:pt>
                <c:pt idx="388">
                  <c:v>0.34521488465987865</c:v>
                </c:pt>
                <c:pt idx="389">
                  <c:v>0.57520831417949236</c:v>
                </c:pt>
                <c:pt idx="390">
                  <c:v>0.33626175154519011</c:v>
                </c:pt>
                <c:pt idx="391">
                  <c:v>0.33653689183309693</c:v>
                </c:pt>
                <c:pt idx="392">
                  <c:v>0.56088696405431271</c:v>
                </c:pt>
                <c:pt idx="393">
                  <c:v>0.35522385798156553</c:v>
                </c:pt>
                <c:pt idx="394">
                  <c:v>0.33626175154519011</c:v>
                </c:pt>
                <c:pt idx="395">
                  <c:v>0.33638611836263405</c:v>
                </c:pt>
                <c:pt idx="396">
                  <c:v>0.37502884774575451</c:v>
                </c:pt>
                <c:pt idx="397">
                  <c:v>0.34202053147210626</c:v>
                </c:pt>
                <c:pt idx="398">
                  <c:v>0.34659910437458002</c:v>
                </c:pt>
                <c:pt idx="399">
                  <c:v>0.33653689183309693</c:v>
                </c:pt>
                <c:pt idx="400">
                  <c:v>0.33680308793207797</c:v>
                </c:pt>
                <c:pt idx="401">
                  <c:v>0.34058307253760867</c:v>
                </c:pt>
                <c:pt idx="402">
                  <c:v>0.35341372450849451</c:v>
                </c:pt>
                <c:pt idx="403">
                  <c:v>0.33810744881708504</c:v>
                </c:pt>
                <c:pt idx="404">
                  <c:v>0.36438100378651311</c:v>
                </c:pt>
                <c:pt idx="405">
                  <c:v>0.3361642172945235</c:v>
                </c:pt>
                <c:pt idx="406">
                  <c:v>0.35958947400485453</c:v>
                </c:pt>
                <c:pt idx="407">
                  <c:v>0.33621745651431967</c:v>
                </c:pt>
                <c:pt idx="408">
                  <c:v>0.37389314870906182</c:v>
                </c:pt>
                <c:pt idx="409">
                  <c:v>0.33647470842437494</c:v>
                </c:pt>
                <c:pt idx="410">
                  <c:v>0.33426528080283235</c:v>
                </c:pt>
                <c:pt idx="411">
                  <c:v>0.51132125042404408</c:v>
                </c:pt>
                <c:pt idx="412">
                  <c:v>0.31966005915769935</c:v>
                </c:pt>
                <c:pt idx="413">
                  <c:v>0.33653689183309693</c:v>
                </c:pt>
                <c:pt idx="414">
                  <c:v>0.33680308793207797</c:v>
                </c:pt>
                <c:pt idx="415">
                  <c:v>0.3888710448927683</c:v>
                </c:pt>
                <c:pt idx="416">
                  <c:v>0.34734445345172693</c:v>
                </c:pt>
                <c:pt idx="417">
                  <c:v>0.34734445345172693</c:v>
                </c:pt>
                <c:pt idx="418">
                  <c:v>0.37108914548083516</c:v>
                </c:pt>
                <c:pt idx="419">
                  <c:v>0.33647470842437494</c:v>
                </c:pt>
                <c:pt idx="420">
                  <c:v>0.33612865349569959</c:v>
                </c:pt>
                <c:pt idx="421">
                  <c:v>0.33643041339350449</c:v>
                </c:pt>
                <c:pt idx="422">
                  <c:v>0.3503258497603145</c:v>
                </c:pt>
                <c:pt idx="423">
                  <c:v>0.36270396836293262</c:v>
                </c:pt>
                <c:pt idx="424">
                  <c:v>0.33509943289859934</c:v>
                </c:pt>
                <c:pt idx="425">
                  <c:v>0.37502884774575451</c:v>
                </c:pt>
                <c:pt idx="426">
                  <c:v>0.37502884774575451</c:v>
                </c:pt>
                <c:pt idx="427">
                  <c:v>0.3361642172945235</c:v>
                </c:pt>
                <c:pt idx="428">
                  <c:v>0.33680308793207797</c:v>
                </c:pt>
                <c:pt idx="429">
                  <c:v>0.37620011058127106</c:v>
                </c:pt>
                <c:pt idx="430">
                  <c:v>0.35394611670645659</c:v>
                </c:pt>
                <c:pt idx="431">
                  <c:v>0.37502884774575451</c:v>
                </c:pt>
                <c:pt idx="432">
                  <c:v>0.33483323679961829</c:v>
                </c:pt>
                <c:pt idx="433">
                  <c:v>0.43870295462201792</c:v>
                </c:pt>
                <c:pt idx="434">
                  <c:v>0.57520831417949236</c:v>
                </c:pt>
                <c:pt idx="435">
                  <c:v>0.39286398637748382</c:v>
                </c:pt>
                <c:pt idx="436">
                  <c:v>0.35958947400485453</c:v>
                </c:pt>
                <c:pt idx="437">
                  <c:v>0.87973665141379565</c:v>
                </c:pt>
                <c:pt idx="438">
                  <c:v>0.34202053147210626</c:v>
                </c:pt>
                <c:pt idx="439">
                  <c:v>0.3755612399437166</c:v>
                </c:pt>
                <c:pt idx="440">
                  <c:v>0.33989096268025798</c:v>
                </c:pt>
                <c:pt idx="441">
                  <c:v>0.33621745651431967</c:v>
                </c:pt>
                <c:pt idx="442">
                  <c:v>0.34734445345172693</c:v>
                </c:pt>
                <c:pt idx="443">
                  <c:v>0.33693618598156849</c:v>
                </c:pt>
                <c:pt idx="444">
                  <c:v>0.493982940191453</c:v>
                </c:pt>
                <c:pt idx="445">
                  <c:v>0.36118665059874072</c:v>
                </c:pt>
                <c:pt idx="446">
                  <c:v>0.37620011058127106</c:v>
                </c:pt>
                <c:pt idx="447">
                  <c:v>0.360671933821751</c:v>
                </c:pt>
                <c:pt idx="448">
                  <c:v>0.38461190730907174</c:v>
                </c:pt>
                <c:pt idx="449">
                  <c:v>0.37875559313148899</c:v>
                </c:pt>
                <c:pt idx="450">
                  <c:v>0.36218052035389631</c:v>
                </c:pt>
                <c:pt idx="451">
                  <c:v>0.37875559313148899</c:v>
                </c:pt>
                <c:pt idx="452">
                  <c:v>0.50941358270030646</c:v>
                </c:pt>
                <c:pt idx="453">
                  <c:v>0.33680308793207797</c:v>
                </c:pt>
                <c:pt idx="454">
                  <c:v>0.33647470842437494</c:v>
                </c:pt>
                <c:pt idx="455">
                  <c:v>0.37620011058127106</c:v>
                </c:pt>
                <c:pt idx="456">
                  <c:v>0.4301048206249305</c:v>
                </c:pt>
                <c:pt idx="457">
                  <c:v>0.34202053147210626</c:v>
                </c:pt>
                <c:pt idx="458">
                  <c:v>0.3361642172945235</c:v>
                </c:pt>
                <c:pt idx="459">
                  <c:v>0.37620011058127106</c:v>
                </c:pt>
                <c:pt idx="460">
                  <c:v>0.33680308793207797</c:v>
                </c:pt>
                <c:pt idx="461">
                  <c:v>0.40164845764385793</c:v>
                </c:pt>
                <c:pt idx="462">
                  <c:v>0.34734445345172693</c:v>
                </c:pt>
                <c:pt idx="463">
                  <c:v>0.33680308793207797</c:v>
                </c:pt>
                <c:pt idx="464">
                  <c:v>0.33467351914022969</c:v>
                </c:pt>
                <c:pt idx="465">
                  <c:v>0.31966005915769935</c:v>
                </c:pt>
                <c:pt idx="466">
                  <c:v>0.37620011058127106</c:v>
                </c:pt>
                <c:pt idx="467">
                  <c:v>0.33611097807472728</c:v>
                </c:pt>
                <c:pt idx="468">
                  <c:v>0.360671933821751</c:v>
                </c:pt>
                <c:pt idx="469">
                  <c:v>0.33509943289859934</c:v>
                </c:pt>
                <c:pt idx="470">
                  <c:v>0.33810744881708504</c:v>
                </c:pt>
                <c:pt idx="471">
                  <c:v>0.37875559313148899</c:v>
                </c:pt>
                <c:pt idx="472">
                  <c:v>0.3490304330642332</c:v>
                </c:pt>
                <c:pt idx="473">
                  <c:v>0.34060969214750675</c:v>
                </c:pt>
                <c:pt idx="474">
                  <c:v>0.43039763633380967</c:v>
                </c:pt>
                <c:pt idx="475">
                  <c:v>0.36438100378651311</c:v>
                </c:pt>
                <c:pt idx="476">
                  <c:v>0.33466457495130392</c:v>
                </c:pt>
                <c:pt idx="477">
                  <c:v>0.33567612012743187</c:v>
                </c:pt>
                <c:pt idx="478">
                  <c:v>0.34582713568753504</c:v>
                </c:pt>
                <c:pt idx="479">
                  <c:v>0.41953683549538345</c:v>
                </c:pt>
                <c:pt idx="480">
                  <c:v>0.31966005915769935</c:v>
                </c:pt>
                <c:pt idx="481">
                  <c:v>0.33680308793207797</c:v>
                </c:pt>
                <c:pt idx="482">
                  <c:v>0.34007729994954466</c:v>
                </c:pt>
                <c:pt idx="483">
                  <c:v>0.51361948106420674</c:v>
                </c:pt>
                <c:pt idx="484">
                  <c:v>0.37389314870906182</c:v>
                </c:pt>
                <c:pt idx="485">
                  <c:v>0.51132125042404408</c:v>
                </c:pt>
                <c:pt idx="486">
                  <c:v>0.38290825227559311</c:v>
                </c:pt>
                <c:pt idx="487">
                  <c:v>0.33680308793207797</c:v>
                </c:pt>
                <c:pt idx="488">
                  <c:v>0.35352020294808695</c:v>
                </c:pt>
                <c:pt idx="489">
                  <c:v>0.36218052035389631</c:v>
                </c:pt>
                <c:pt idx="490">
                  <c:v>0.33509943289859934</c:v>
                </c:pt>
                <c:pt idx="491">
                  <c:v>0.38461190730907174</c:v>
                </c:pt>
                <c:pt idx="492">
                  <c:v>0.42508265854311472</c:v>
                </c:pt>
                <c:pt idx="493">
                  <c:v>0.33680308793207797</c:v>
                </c:pt>
                <c:pt idx="494">
                  <c:v>0.35045000362087925</c:v>
                </c:pt>
                <c:pt idx="495">
                  <c:v>0.48633438091865072</c:v>
                </c:pt>
                <c:pt idx="496">
                  <c:v>0.35181654791460831</c:v>
                </c:pt>
                <c:pt idx="497">
                  <c:v>0.64239620956230548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AD6-7E41-A2B7-061C3B6945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2044368"/>
        <c:axId val="932046016"/>
      </c:scatterChart>
      <c:valAx>
        <c:axId val="9320443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7.25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932046016"/>
        <c:crosses val="autoZero"/>
        <c:crossBetween val="midCat"/>
      </c:valAx>
      <c:valAx>
        <c:axId val="9320460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3204436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regression!$F$25:$F$522</c:f>
              <c:numCache>
                <c:formatCode>General</c:formatCode>
                <c:ptCount val="498"/>
                <c:pt idx="0">
                  <c:v>0.10040160642570281</c:v>
                </c:pt>
                <c:pt idx="1">
                  <c:v>0.3012048192771084</c:v>
                </c:pt>
                <c:pt idx="2">
                  <c:v>0.50200803212851408</c:v>
                </c:pt>
                <c:pt idx="3">
                  <c:v>0.70281124497991965</c:v>
                </c:pt>
                <c:pt idx="4">
                  <c:v>0.90361445783132532</c:v>
                </c:pt>
                <c:pt idx="5">
                  <c:v>1.1044176706827309</c:v>
                </c:pt>
                <c:pt idx="6">
                  <c:v>1.3052208835341363</c:v>
                </c:pt>
                <c:pt idx="7">
                  <c:v>1.506024096385542</c:v>
                </c:pt>
                <c:pt idx="8">
                  <c:v>1.7068273092369477</c:v>
                </c:pt>
                <c:pt idx="9">
                  <c:v>1.9076305220883534</c:v>
                </c:pt>
                <c:pt idx="10">
                  <c:v>2.1084337349397591</c:v>
                </c:pt>
                <c:pt idx="11">
                  <c:v>2.3092369477911645</c:v>
                </c:pt>
                <c:pt idx="12">
                  <c:v>2.51004016064257</c:v>
                </c:pt>
                <c:pt idx="13">
                  <c:v>2.7108433734939759</c:v>
                </c:pt>
                <c:pt idx="14">
                  <c:v>2.9116465863453813</c:v>
                </c:pt>
                <c:pt idx="15">
                  <c:v>3.1124497991967872</c:v>
                </c:pt>
                <c:pt idx="16">
                  <c:v>3.3132530120481927</c:v>
                </c:pt>
                <c:pt idx="17">
                  <c:v>3.5140562248995981</c:v>
                </c:pt>
                <c:pt idx="18">
                  <c:v>3.714859437751004</c:v>
                </c:pt>
                <c:pt idx="19">
                  <c:v>3.9156626506024095</c:v>
                </c:pt>
                <c:pt idx="20">
                  <c:v>4.1164658634538158</c:v>
                </c:pt>
                <c:pt idx="21">
                  <c:v>4.3172690763052213</c:v>
                </c:pt>
                <c:pt idx="22">
                  <c:v>4.5180722891566267</c:v>
                </c:pt>
                <c:pt idx="23">
                  <c:v>4.7188755020080322</c:v>
                </c:pt>
                <c:pt idx="24">
                  <c:v>4.9196787148594376</c:v>
                </c:pt>
                <c:pt idx="25">
                  <c:v>5.120481927710844</c:v>
                </c:pt>
                <c:pt idx="26">
                  <c:v>5.3212851405622494</c:v>
                </c:pt>
                <c:pt idx="27">
                  <c:v>5.5220883534136549</c:v>
                </c:pt>
                <c:pt idx="28">
                  <c:v>5.7228915662650603</c:v>
                </c:pt>
                <c:pt idx="29">
                  <c:v>5.9236947791164658</c:v>
                </c:pt>
                <c:pt idx="30">
                  <c:v>6.1244979919678721</c:v>
                </c:pt>
                <c:pt idx="31">
                  <c:v>6.3253012048192776</c:v>
                </c:pt>
                <c:pt idx="32">
                  <c:v>6.5261044176706831</c:v>
                </c:pt>
                <c:pt idx="33">
                  <c:v>6.7269076305220885</c:v>
                </c:pt>
                <c:pt idx="34">
                  <c:v>6.927710843373494</c:v>
                </c:pt>
                <c:pt idx="35">
                  <c:v>7.1285140562249003</c:v>
                </c:pt>
                <c:pt idx="36">
                  <c:v>7.3293172690763058</c:v>
                </c:pt>
                <c:pt idx="37">
                  <c:v>7.5301204819277112</c:v>
                </c:pt>
                <c:pt idx="38">
                  <c:v>7.7309236947791167</c:v>
                </c:pt>
                <c:pt idx="39">
                  <c:v>7.9317269076305221</c:v>
                </c:pt>
                <c:pt idx="40">
                  <c:v>8.1325301204819276</c:v>
                </c:pt>
                <c:pt idx="41">
                  <c:v>8.3333333333333321</c:v>
                </c:pt>
                <c:pt idx="42">
                  <c:v>8.5341365461847385</c:v>
                </c:pt>
                <c:pt idx="43">
                  <c:v>8.7349397590361448</c:v>
                </c:pt>
                <c:pt idx="44">
                  <c:v>8.9357429718875494</c:v>
                </c:pt>
                <c:pt idx="45">
                  <c:v>9.1365461847389557</c:v>
                </c:pt>
                <c:pt idx="46">
                  <c:v>9.3373493975903603</c:v>
                </c:pt>
                <c:pt idx="47">
                  <c:v>9.5381526104417667</c:v>
                </c:pt>
                <c:pt idx="48">
                  <c:v>9.7389558232931712</c:v>
                </c:pt>
                <c:pt idx="49">
                  <c:v>9.9397590361445776</c:v>
                </c:pt>
                <c:pt idx="50">
                  <c:v>10.140562248995984</c:v>
                </c:pt>
                <c:pt idx="51">
                  <c:v>10.341365461847388</c:v>
                </c:pt>
                <c:pt idx="52">
                  <c:v>10.542168674698795</c:v>
                </c:pt>
                <c:pt idx="53">
                  <c:v>10.742971887550199</c:v>
                </c:pt>
                <c:pt idx="54">
                  <c:v>10.943775100401606</c:v>
                </c:pt>
                <c:pt idx="55">
                  <c:v>11.144578313253012</c:v>
                </c:pt>
                <c:pt idx="56">
                  <c:v>11.345381526104417</c:v>
                </c:pt>
                <c:pt idx="57">
                  <c:v>11.546184738955823</c:v>
                </c:pt>
                <c:pt idx="58">
                  <c:v>11.746987951807228</c:v>
                </c:pt>
                <c:pt idx="59">
                  <c:v>11.947791164658634</c:v>
                </c:pt>
                <c:pt idx="60">
                  <c:v>12.14859437751004</c:v>
                </c:pt>
                <c:pt idx="61">
                  <c:v>12.349397590361445</c:v>
                </c:pt>
                <c:pt idx="62">
                  <c:v>12.550200803212851</c:v>
                </c:pt>
                <c:pt idx="63">
                  <c:v>12.751004016064256</c:v>
                </c:pt>
                <c:pt idx="64">
                  <c:v>12.951807228915662</c:v>
                </c:pt>
                <c:pt idx="65">
                  <c:v>13.152610441767068</c:v>
                </c:pt>
                <c:pt idx="66">
                  <c:v>13.353413654618473</c:v>
                </c:pt>
                <c:pt idx="67">
                  <c:v>13.554216867469879</c:v>
                </c:pt>
                <c:pt idx="68">
                  <c:v>13.755020080321284</c:v>
                </c:pt>
                <c:pt idx="69">
                  <c:v>13.95582329317269</c:v>
                </c:pt>
                <c:pt idx="70">
                  <c:v>14.156626506024097</c:v>
                </c:pt>
                <c:pt idx="71">
                  <c:v>14.357429718875501</c:v>
                </c:pt>
                <c:pt idx="72">
                  <c:v>14.558232931726907</c:v>
                </c:pt>
                <c:pt idx="73">
                  <c:v>14.759036144578312</c:v>
                </c:pt>
                <c:pt idx="74">
                  <c:v>14.959839357429718</c:v>
                </c:pt>
                <c:pt idx="75">
                  <c:v>15.160642570281125</c:v>
                </c:pt>
                <c:pt idx="76">
                  <c:v>15.361445783132529</c:v>
                </c:pt>
                <c:pt idx="77">
                  <c:v>15.562248995983936</c:v>
                </c:pt>
                <c:pt idx="78">
                  <c:v>15.76305220883534</c:v>
                </c:pt>
                <c:pt idx="79">
                  <c:v>15.963855421686747</c:v>
                </c:pt>
                <c:pt idx="80">
                  <c:v>16.164658634538153</c:v>
                </c:pt>
                <c:pt idx="81">
                  <c:v>16.365461847389557</c:v>
                </c:pt>
                <c:pt idx="82">
                  <c:v>16.566265060240962</c:v>
                </c:pt>
                <c:pt idx="83">
                  <c:v>16.76706827309237</c:v>
                </c:pt>
                <c:pt idx="84">
                  <c:v>16.967871485943775</c:v>
                </c:pt>
                <c:pt idx="85">
                  <c:v>17.168674698795179</c:v>
                </c:pt>
                <c:pt idx="86">
                  <c:v>17.369477911646587</c:v>
                </c:pt>
                <c:pt idx="87">
                  <c:v>17.570281124497992</c:v>
                </c:pt>
                <c:pt idx="88">
                  <c:v>17.771084337349397</c:v>
                </c:pt>
                <c:pt idx="89">
                  <c:v>17.971887550200801</c:v>
                </c:pt>
                <c:pt idx="90">
                  <c:v>18.172690763052209</c:v>
                </c:pt>
                <c:pt idx="91">
                  <c:v>18.373493975903614</c:v>
                </c:pt>
                <c:pt idx="92">
                  <c:v>18.574297188755018</c:v>
                </c:pt>
                <c:pt idx="93">
                  <c:v>18.775100401606426</c:v>
                </c:pt>
                <c:pt idx="94">
                  <c:v>18.975903614457831</c:v>
                </c:pt>
                <c:pt idx="95">
                  <c:v>19.176706827309236</c:v>
                </c:pt>
                <c:pt idx="96">
                  <c:v>19.37751004016064</c:v>
                </c:pt>
                <c:pt idx="97">
                  <c:v>19.578313253012048</c:v>
                </c:pt>
                <c:pt idx="98">
                  <c:v>19.779116465863453</c:v>
                </c:pt>
                <c:pt idx="99">
                  <c:v>19.979919678714857</c:v>
                </c:pt>
                <c:pt idx="100">
                  <c:v>20.180722891566266</c:v>
                </c:pt>
                <c:pt idx="101">
                  <c:v>20.38152610441767</c:v>
                </c:pt>
                <c:pt idx="102">
                  <c:v>20.582329317269075</c:v>
                </c:pt>
                <c:pt idx="103">
                  <c:v>20.783132530120483</c:v>
                </c:pt>
                <c:pt idx="104">
                  <c:v>20.983935742971887</c:v>
                </c:pt>
                <c:pt idx="105">
                  <c:v>21.184738955823292</c:v>
                </c:pt>
                <c:pt idx="106">
                  <c:v>21.385542168674696</c:v>
                </c:pt>
                <c:pt idx="107">
                  <c:v>21.586345381526105</c:v>
                </c:pt>
                <c:pt idx="108">
                  <c:v>21.787148594377509</c:v>
                </c:pt>
                <c:pt idx="109">
                  <c:v>21.987951807228914</c:v>
                </c:pt>
                <c:pt idx="110">
                  <c:v>22.188755020080322</c:v>
                </c:pt>
                <c:pt idx="111">
                  <c:v>22.389558232931726</c:v>
                </c:pt>
                <c:pt idx="112">
                  <c:v>22.590361445783131</c:v>
                </c:pt>
                <c:pt idx="113">
                  <c:v>22.791164658634539</c:v>
                </c:pt>
                <c:pt idx="114">
                  <c:v>22.991967871485944</c:v>
                </c:pt>
                <c:pt idx="115">
                  <c:v>23.192771084337348</c:v>
                </c:pt>
                <c:pt idx="116">
                  <c:v>23.393574297188753</c:v>
                </c:pt>
                <c:pt idx="117">
                  <c:v>23.594377510040161</c:v>
                </c:pt>
                <c:pt idx="118">
                  <c:v>23.795180722891565</c:v>
                </c:pt>
                <c:pt idx="119">
                  <c:v>23.99598393574297</c:v>
                </c:pt>
                <c:pt idx="120">
                  <c:v>24.196787148594378</c:v>
                </c:pt>
                <c:pt idx="121">
                  <c:v>24.397590361445783</c:v>
                </c:pt>
                <c:pt idx="122">
                  <c:v>24.598393574297187</c:v>
                </c:pt>
                <c:pt idx="123">
                  <c:v>24.799196787148595</c:v>
                </c:pt>
                <c:pt idx="124">
                  <c:v>25</c:v>
                </c:pt>
                <c:pt idx="125">
                  <c:v>25.200803212851405</c:v>
                </c:pt>
                <c:pt idx="126">
                  <c:v>25.401606425702809</c:v>
                </c:pt>
                <c:pt idx="127">
                  <c:v>25.602409638554217</c:v>
                </c:pt>
                <c:pt idx="128">
                  <c:v>25.803212851405622</c:v>
                </c:pt>
                <c:pt idx="129">
                  <c:v>26.004016064257026</c:v>
                </c:pt>
                <c:pt idx="130">
                  <c:v>26.204819277108435</c:v>
                </c:pt>
                <c:pt idx="131">
                  <c:v>26.405622489959839</c:v>
                </c:pt>
                <c:pt idx="132">
                  <c:v>26.606425702811244</c:v>
                </c:pt>
                <c:pt idx="133">
                  <c:v>26.807228915662648</c:v>
                </c:pt>
                <c:pt idx="134">
                  <c:v>27.008032128514056</c:v>
                </c:pt>
                <c:pt idx="135">
                  <c:v>27.208835341365461</c:v>
                </c:pt>
                <c:pt idx="136">
                  <c:v>27.409638554216865</c:v>
                </c:pt>
                <c:pt idx="137">
                  <c:v>27.610441767068274</c:v>
                </c:pt>
                <c:pt idx="138">
                  <c:v>27.811244979919678</c:v>
                </c:pt>
                <c:pt idx="139">
                  <c:v>28.012048192771083</c:v>
                </c:pt>
                <c:pt idx="140">
                  <c:v>28.212851405622491</c:v>
                </c:pt>
                <c:pt idx="141">
                  <c:v>28.413654618473895</c:v>
                </c:pt>
                <c:pt idx="142">
                  <c:v>28.6144578313253</c:v>
                </c:pt>
                <c:pt idx="143">
                  <c:v>28.815261044176705</c:v>
                </c:pt>
                <c:pt idx="144">
                  <c:v>29.016064257028113</c:v>
                </c:pt>
                <c:pt idx="145">
                  <c:v>29.216867469879517</c:v>
                </c:pt>
                <c:pt idx="146">
                  <c:v>29.417670682730922</c:v>
                </c:pt>
                <c:pt idx="147">
                  <c:v>29.61847389558233</c:v>
                </c:pt>
                <c:pt idx="148">
                  <c:v>29.819277108433734</c:v>
                </c:pt>
                <c:pt idx="149">
                  <c:v>30.020080321285139</c:v>
                </c:pt>
                <c:pt idx="150">
                  <c:v>30.220883534136547</c:v>
                </c:pt>
                <c:pt idx="151">
                  <c:v>30.421686746987952</c:v>
                </c:pt>
                <c:pt idx="152">
                  <c:v>30.622489959839356</c:v>
                </c:pt>
                <c:pt idx="153">
                  <c:v>30.823293172690761</c:v>
                </c:pt>
                <c:pt idx="154">
                  <c:v>31.024096385542169</c:v>
                </c:pt>
                <c:pt idx="155">
                  <c:v>31.224899598393574</c:v>
                </c:pt>
                <c:pt idx="156">
                  <c:v>31.425702811244978</c:v>
                </c:pt>
                <c:pt idx="157">
                  <c:v>31.626506024096386</c:v>
                </c:pt>
                <c:pt idx="158">
                  <c:v>31.827309236947791</c:v>
                </c:pt>
                <c:pt idx="159">
                  <c:v>32.028112449799195</c:v>
                </c:pt>
                <c:pt idx="160">
                  <c:v>32.228915662650607</c:v>
                </c:pt>
                <c:pt idx="161">
                  <c:v>32.429718875502012</c:v>
                </c:pt>
                <c:pt idx="162">
                  <c:v>32.630522088353416</c:v>
                </c:pt>
                <c:pt idx="163">
                  <c:v>32.831325301204821</c:v>
                </c:pt>
                <c:pt idx="164">
                  <c:v>33.032128514056225</c:v>
                </c:pt>
                <c:pt idx="165">
                  <c:v>33.23293172690763</c:v>
                </c:pt>
                <c:pt idx="166">
                  <c:v>33.433734939759042</c:v>
                </c:pt>
                <c:pt idx="167">
                  <c:v>33.634538152610446</c:v>
                </c:pt>
                <c:pt idx="168">
                  <c:v>33.835341365461851</c:v>
                </c:pt>
                <c:pt idx="169">
                  <c:v>34.036144578313255</c:v>
                </c:pt>
                <c:pt idx="170">
                  <c:v>34.23694779116466</c:v>
                </c:pt>
                <c:pt idx="171">
                  <c:v>34.437751004016064</c:v>
                </c:pt>
                <c:pt idx="172">
                  <c:v>34.638554216867476</c:v>
                </c:pt>
                <c:pt idx="173">
                  <c:v>34.839357429718881</c:v>
                </c:pt>
                <c:pt idx="174">
                  <c:v>35.040160642570285</c:v>
                </c:pt>
                <c:pt idx="175">
                  <c:v>35.24096385542169</c:v>
                </c:pt>
                <c:pt idx="176">
                  <c:v>35.441767068273094</c:v>
                </c:pt>
                <c:pt idx="177">
                  <c:v>35.642570281124499</c:v>
                </c:pt>
                <c:pt idx="178">
                  <c:v>35.843373493975903</c:v>
                </c:pt>
                <c:pt idx="179">
                  <c:v>36.044176706827315</c:v>
                </c:pt>
                <c:pt idx="180">
                  <c:v>36.24497991967872</c:v>
                </c:pt>
                <c:pt idx="181">
                  <c:v>36.445783132530124</c:v>
                </c:pt>
                <c:pt idx="182">
                  <c:v>36.646586345381529</c:v>
                </c:pt>
                <c:pt idx="183">
                  <c:v>36.847389558232933</c:v>
                </c:pt>
                <c:pt idx="184">
                  <c:v>37.048192771084338</c:v>
                </c:pt>
                <c:pt idx="185">
                  <c:v>37.248995983935743</c:v>
                </c:pt>
                <c:pt idx="186">
                  <c:v>37.449799196787154</c:v>
                </c:pt>
                <c:pt idx="187">
                  <c:v>37.650602409638559</c:v>
                </c:pt>
                <c:pt idx="188">
                  <c:v>37.851405622489963</c:v>
                </c:pt>
                <c:pt idx="189">
                  <c:v>38.052208835341368</c:v>
                </c:pt>
                <c:pt idx="190">
                  <c:v>38.253012048192772</c:v>
                </c:pt>
                <c:pt idx="191">
                  <c:v>38.453815261044177</c:v>
                </c:pt>
                <c:pt idx="192">
                  <c:v>38.654618473895582</c:v>
                </c:pt>
                <c:pt idx="193">
                  <c:v>38.855421686746993</c:v>
                </c:pt>
                <c:pt idx="194">
                  <c:v>39.056224899598398</c:v>
                </c:pt>
                <c:pt idx="195">
                  <c:v>39.257028112449802</c:v>
                </c:pt>
                <c:pt idx="196">
                  <c:v>39.457831325301207</c:v>
                </c:pt>
                <c:pt idx="197">
                  <c:v>39.658634538152612</c:v>
                </c:pt>
                <c:pt idx="198">
                  <c:v>39.859437751004016</c:v>
                </c:pt>
                <c:pt idx="199">
                  <c:v>40.060240963855428</c:v>
                </c:pt>
                <c:pt idx="200">
                  <c:v>40.261044176706832</c:v>
                </c:pt>
                <c:pt idx="201">
                  <c:v>40.461847389558237</c:v>
                </c:pt>
                <c:pt idx="202">
                  <c:v>40.662650602409641</c:v>
                </c:pt>
                <c:pt idx="203">
                  <c:v>40.863453815261046</c:v>
                </c:pt>
                <c:pt idx="204">
                  <c:v>41.064257028112451</c:v>
                </c:pt>
                <c:pt idx="205">
                  <c:v>41.265060240963855</c:v>
                </c:pt>
                <c:pt idx="206">
                  <c:v>41.465863453815267</c:v>
                </c:pt>
                <c:pt idx="207">
                  <c:v>41.666666666666671</c:v>
                </c:pt>
                <c:pt idx="208">
                  <c:v>41.867469879518076</c:v>
                </c:pt>
                <c:pt idx="209">
                  <c:v>42.068273092369481</c:v>
                </c:pt>
                <c:pt idx="210">
                  <c:v>42.269076305220885</c:v>
                </c:pt>
                <c:pt idx="211">
                  <c:v>42.46987951807229</c:v>
                </c:pt>
                <c:pt idx="212">
                  <c:v>42.670682730923694</c:v>
                </c:pt>
                <c:pt idx="213">
                  <c:v>42.871485943775106</c:v>
                </c:pt>
                <c:pt idx="214">
                  <c:v>43.07228915662651</c:v>
                </c:pt>
                <c:pt idx="215">
                  <c:v>43.273092369477915</c:v>
                </c:pt>
                <c:pt idx="216">
                  <c:v>43.47389558232932</c:v>
                </c:pt>
                <c:pt idx="217">
                  <c:v>43.674698795180724</c:v>
                </c:pt>
                <c:pt idx="218">
                  <c:v>43.875502008032129</c:v>
                </c:pt>
                <c:pt idx="219">
                  <c:v>44.07630522088354</c:v>
                </c:pt>
                <c:pt idx="220">
                  <c:v>44.277108433734945</c:v>
                </c:pt>
                <c:pt idx="221">
                  <c:v>44.47791164658635</c:v>
                </c:pt>
                <c:pt idx="222">
                  <c:v>44.678714859437754</c:v>
                </c:pt>
                <c:pt idx="223">
                  <c:v>44.879518072289159</c:v>
                </c:pt>
                <c:pt idx="224">
                  <c:v>45.080321285140563</c:v>
                </c:pt>
                <c:pt idx="225">
                  <c:v>45.281124497991968</c:v>
                </c:pt>
                <c:pt idx="226">
                  <c:v>45.481927710843379</c:v>
                </c:pt>
                <c:pt idx="227">
                  <c:v>45.682730923694784</c:v>
                </c:pt>
                <c:pt idx="228">
                  <c:v>45.883534136546189</c:v>
                </c:pt>
                <c:pt idx="229">
                  <c:v>46.084337349397593</c:v>
                </c:pt>
                <c:pt idx="230">
                  <c:v>46.285140562248998</c:v>
                </c:pt>
                <c:pt idx="231">
                  <c:v>46.485943775100402</c:v>
                </c:pt>
                <c:pt idx="232">
                  <c:v>46.686746987951807</c:v>
                </c:pt>
                <c:pt idx="233">
                  <c:v>46.887550200803219</c:v>
                </c:pt>
                <c:pt idx="234">
                  <c:v>47.088353413654623</c:v>
                </c:pt>
                <c:pt idx="235">
                  <c:v>47.289156626506028</c:v>
                </c:pt>
                <c:pt idx="236">
                  <c:v>47.489959839357432</c:v>
                </c:pt>
                <c:pt idx="237">
                  <c:v>47.690763052208837</c:v>
                </c:pt>
                <c:pt idx="238">
                  <c:v>47.891566265060241</c:v>
                </c:pt>
                <c:pt idx="239">
                  <c:v>48.092369477911646</c:v>
                </c:pt>
                <c:pt idx="240">
                  <c:v>48.293172690763058</c:v>
                </c:pt>
                <c:pt idx="241">
                  <c:v>48.493975903614462</c:v>
                </c:pt>
                <c:pt idx="242">
                  <c:v>48.694779116465867</c:v>
                </c:pt>
                <c:pt idx="243">
                  <c:v>48.895582329317271</c:v>
                </c:pt>
                <c:pt idx="244">
                  <c:v>49.096385542168676</c:v>
                </c:pt>
                <c:pt idx="245">
                  <c:v>49.29718875502008</c:v>
                </c:pt>
                <c:pt idx="246">
                  <c:v>49.497991967871492</c:v>
                </c:pt>
                <c:pt idx="247">
                  <c:v>49.698795180722897</c:v>
                </c:pt>
                <c:pt idx="248">
                  <c:v>49.899598393574301</c:v>
                </c:pt>
                <c:pt idx="249">
                  <c:v>50.100401606425706</c:v>
                </c:pt>
                <c:pt idx="250">
                  <c:v>50.30120481927711</c:v>
                </c:pt>
                <c:pt idx="251">
                  <c:v>50.502008032128515</c:v>
                </c:pt>
                <c:pt idx="252">
                  <c:v>50.70281124497992</c:v>
                </c:pt>
                <c:pt idx="253">
                  <c:v>50.903614457831331</c:v>
                </c:pt>
                <c:pt idx="254">
                  <c:v>51.104417670682736</c:v>
                </c:pt>
                <c:pt idx="255">
                  <c:v>51.30522088353414</c:v>
                </c:pt>
                <c:pt idx="256">
                  <c:v>51.506024096385545</c:v>
                </c:pt>
                <c:pt idx="257">
                  <c:v>51.706827309236949</c:v>
                </c:pt>
                <c:pt idx="258">
                  <c:v>51.907630522088354</c:v>
                </c:pt>
                <c:pt idx="259">
                  <c:v>52.108433734939759</c:v>
                </c:pt>
                <c:pt idx="260">
                  <c:v>52.30923694779117</c:v>
                </c:pt>
                <c:pt idx="261">
                  <c:v>52.510040160642575</c:v>
                </c:pt>
                <c:pt idx="262">
                  <c:v>52.710843373493979</c:v>
                </c:pt>
                <c:pt idx="263">
                  <c:v>52.911646586345384</c:v>
                </c:pt>
                <c:pt idx="264">
                  <c:v>53.112449799196789</c:v>
                </c:pt>
                <c:pt idx="265">
                  <c:v>53.313253012048193</c:v>
                </c:pt>
                <c:pt idx="266">
                  <c:v>53.514056224899598</c:v>
                </c:pt>
                <c:pt idx="267">
                  <c:v>53.714859437751009</c:v>
                </c:pt>
                <c:pt idx="268">
                  <c:v>53.915662650602414</c:v>
                </c:pt>
                <c:pt idx="269">
                  <c:v>54.116465863453818</c:v>
                </c:pt>
                <c:pt idx="270">
                  <c:v>54.317269076305223</c:v>
                </c:pt>
                <c:pt idx="271">
                  <c:v>54.518072289156628</c:v>
                </c:pt>
                <c:pt idx="272">
                  <c:v>54.718875502008032</c:v>
                </c:pt>
                <c:pt idx="273">
                  <c:v>54.919678714859444</c:v>
                </c:pt>
                <c:pt idx="274">
                  <c:v>55.120481927710848</c:v>
                </c:pt>
                <c:pt idx="275">
                  <c:v>55.321285140562253</c:v>
                </c:pt>
                <c:pt idx="276">
                  <c:v>55.522088353413658</c:v>
                </c:pt>
                <c:pt idx="277">
                  <c:v>55.722891566265062</c:v>
                </c:pt>
                <c:pt idx="278">
                  <c:v>55.923694779116467</c:v>
                </c:pt>
                <c:pt idx="279">
                  <c:v>56.124497991967871</c:v>
                </c:pt>
                <c:pt idx="280">
                  <c:v>56.325301204819283</c:v>
                </c:pt>
                <c:pt idx="281">
                  <c:v>56.526104417670687</c:v>
                </c:pt>
                <c:pt idx="282">
                  <c:v>56.726907630522092</c:v>
                </c:pt>
                <c:pt idx="283">
                  <c:v>56.927710843373497</c:v>
                </c:pt>
                <c:pt idx="284">
                  <c:v>57.128514056224901</c:v>
                </c:pt>
                <c:pt idx="285">
                  <c:v>57.329317269076306</c:v>
                </c:pt>
                <c:pt idx="286">
                  <c:v>57.53012048192771</c:v>
                </c:pt>
                <c:pt idx="287">
                  <c:v>57.730923694779122</c:v>
                </c:pt>
                <c:pt idx="288">
                  <c:v>57.931726907630527</c:v>
                </c:pt>
                <c:pt idx="289">
                  <c:v>58.132530120481931</c:v>
                </c:pt>
                <c:pt idx="290">
                  <c:v>58.333333333333336</c:v>
                </c:pt>
                <c:pt idx="291">
                  <c:v>58.53413654618474</c:v>
                </c:pt>
                <c:pt idx="292">
                  <c:v>58.734939759036145</c:v>
                </c:pt>
                <c:pt idx="293">
                  <c:v>58.935742971887549</c:v>
                </c:pt>
                <c:pt idx="294">
                  <c:v>59.136546184738961</c:v>
                </c:pt>
                <c:pt idx="295">
                  <c:v>59.337349397590366</c:v>
                </c:pt>
                <c:pt idx="296">
                  <c:v>59.53815261044177</c:v>
                </c:pt>
                <c:pt idx="297">
                  <c:v>59.738955823293175</c:v>
                </c:pt>
                <c:pt idx="298">
                  <c:v>59.939759036144579</c:v>
                </c:pt>
                <c:pt idx="299">
                  <c:v>60.140562248995984</c:v>
                </c:pt>
                <c:pt idx="300">
                  <c:v>60.341365461847396</c:v>
                </c:pt>
                <c:pt idx="301">
                  <c:v>60.5421686746988</c:v>
                </c:pt>
                <c:pt idx="302">
                  <c:v>60.742971887550205</c:v>
                </c:pt>
                <c:pt idx="303">
                  <c:v>60.943775100401609</c:v>
                </c:pt>
                <c:pt idx="304">
                  <c:v>61.144578313253014</c:v>
                </c:pt>
                <c:pt idx="305">
                  <c:v>61.345381526104418</c:v>
                </c:pt>
                <c:pt idx="306">
                  <c:v>61.546184738955823</c:v>
                </c:pt>
                <c:pt idx="307">
                  <c:v>61.746987951807235</c:v>
                </c:pt>
                <c:pt idx="308">
                  <c:v>61.947791164658639</c:v>
                </c:pt>
                <c:pt idx="309">
                  <c:v>62.148594377510044</c:v>
                </c:pt>
                <c:pt idx="310">
                  <c:v>62.349397590361448</c:v>
                </c:pt>
                <c:pt idx="311">
                  <c:v>62.550200803212853</c:v>
                </c:pt>
                <c:pt idx="312">
                  <c:v>62.751004016064257</c:v>
                </c:pt>
                <c:pt idx="313">
                  <c:v>62.951807228915662</c:v>
                </c:pt>
                <c:pt idx="314">
                  <c:v>63.152610441767074</c:v>
                </c:pt>
                <c:pt idx="315">
                  <c:v>63.353413654618478</c:v>
                </c:pt>
                <c:pt idx="316">
                  <c:v>63.554216867469883</c:v>
                </c:pt>
                <c:pt idx="317">
                  <c:v>63.755020080321287</c:v>
                </c:pt>
                <c:pt idx="318">
                  <c:v>63.955823293172692</c:v>
                </c:pt>
                <c:pt idx="319">
                  <c:v>64.156626506024097</c:v>
                </c:pt>
                <c:pt idx="320">
                  <c:v>64.357429718875508</c:v>
                </c:pt>
                <c:pt idx="321">
                  <c:v>64.558232931726906</c:v>
                </c:pt>
                <c:pt idx="322">
                  <c:v>64.759036144578317</c:v>
                </c:pt>
                <c:pt idx="323">
                  <c:v>64.959839357429715</c:v>
                </c:pt>
                <c:pt idx="324">
                  <c:v>65.160642570281126</c:v>
                </c:pt>
                <c:pt idx="325">
                  <c:v>65.361445783132538</c:v>
                </c:pt>
                <c:pt idx="326">
                  <c:v>65.562248995983936</c:v>
                </c:pt>
                <c:pt idx="327">
                  <c:v>65.763052208835347</c:v>
                </c:pt>
                <c:pt idx="328">
                  <c:v>65.963855421686745</c:v>
                </c:pt>
                <c:pt idx="329">
                  <c:v>66.164658634538156</c:v>
                </c:pt>
                <c:pt idx="330">
                  <c:v>66.365461847389554</c:v>
                </c:pt>
                <c:pt idx="331">
                  <c:v>66.566265060240966</c:v>
                </c:pt>
                <c:pt idx="332">
                  <c:v>66.767068273092377</c:v>
                </c:pt>
                <c:pt idx="333">
                  <c:v>66.967871485943775</c:v>
                </c:pt>
                <c:pt idx="334">
                  <c:v>67.168674698795186</c:v>
                </c:pt>
                <c:pt idx="335">
                  <c:v>67.369477911646584</c:v>
                </c:pt>
                <c:pt idx="336">
                  <c:v>67.570281124497996</c:v>
                </c:pt>
                <c:pt idx="337">
                  <c:v>67.771084337349407</c:v>
                </c:pt>
                <c:pt idx="338">
                  <c:v>67.971887550200805</c:v>
                </c:pt>
                <c:pt idx="339">
                  <c:v>68.172690763052216</c:v>
                </c:pt>
                <c:pt idx="340">
                  <c:v>68.373493975903614</c:v>
                </c:pt>
                <c:pt idx="341">
                  <c:v>68.574297188755025</c:v>
                </c:pt>
                <c:pt idx="342">
                  <c:v>68.775100401606423</c:v>
                </c:pt>
                <c:pt idx="343">
                  <c:v>68.975903614457835</c:v>
                </c:pt>
                <c:pt idx="344">
                  <c:v>69.176706827309246</c:v>
                </c:pt>
                <c:pt idx="345">
                  <c:v>69.377510040160644</c:v>
                </c:pt>
                <c:pt idx="346">
                  <c:v>69.578313253012055</c:v>
                </c:pt>
                <c:pt idx="347">
                  <c:v>69.779116465863453</c:v>
                </c:pt>
                <c:pt idx="348">
                  <c:v>69.979919678714865</c:v>
                </c:pt>
                <c:pt idx="349">
                  <c:v>70.180722891566262</c:v>
                </c:pt>
                <c:pt idx="350">
                  <c:v>70.381526104417674</c:v>
                </c:pt>
                <c:pt idx="351">
                  <c:v>70.582329317269085</c:v>
                </c:pt>
                <c:pt idx="352">
                  <c:v>70.783132530120483</c:v>
                </c:pt>
                <c:pt idx="353">
                  <c:v>70.983935742971894</c:v>
                </c:pt>
                <c:pt idx="354">
                  <c:v>71.184738955823292</c:v>
                </c:pt>
                <c:pt idx="355">
                  <c:v>71.385542168674704</c:v>
                </c:pt>
                <c:pt idx="356">
                  <c:v>71.586345381526101</c:v>
                </c:pt>
                <c:pt idx="357">
                  <c:v>71.787148594377513</c:v>
                </c:pt>
                <c:pt idx="358">
                  <c:v>71.987951807228924</c:v>
                </c:pt>
                <c:pt idx="359">
                  <c:v>72.188755020080322</c:v>
                </c:pt>
                <c:pt idx="360">
                  <c:v>72.389558232931734</c:v>
                </c:pt>
                <c:pt idx="361">
                  <c:v>72.590361445783131</c:v>
                </c:pt>
                <c:pt idx="362">
                  <c:v>72.791164658634543</c:v>
                </c:pt>
                <c:pt idx="363">
                  <c:v>72.99196787148594</c:v>
                </c:pt>
                <c:pt idx="364">
                  <c:v>73.192771084337352</c:v>
                </c:pt>
                <c:pt idx="365">
                  <c:v>73.393574297188763</c:v>
                </c:pt>
                <c:pt idx="366">
                  <c:v>73.594377510040161</c:v>
                </c:pt>
                <c:pt idx="367">
                  <c:v>73.795180722891573</c:v>
                </c:pt>
                <c:pt idx="368">
                  <c:v>73.99598393574297</c:v>
                </c:pt>
                <c:pt idx="369">
                  <c:v>74.196787148594382</c:v>
                </c:pt>
                <c:pt idx="370">
                  <c:v>74.397590361445779</c:v>
                </c:pt>
                <c:pt idx="371">
                  <c:v>74.598393574297191</c:v>
                </c:pt>
                <c:pt idx="372">
                  <c:v>74.799196787148603</c:v>
                </c:pt>
                <c:pt idx="373">
                  <c:v>75</c:v>
                </c:pt>
                <c:pt idx="374">
                  <c:v>75.200803212851412</c:v>
                </c:pt>
                <c:pt idx="375">
                  <c:v>75.401606425702809</c:v>
                </c:pt>
                <c:pt idx="376">
                  <c:v>75.602409638554221</c:v>
                </c:pt>
                <c:pt idx="377">
                  <c:v>75.803212851405618</c:v>
                </c:pt>
                <c:pt idx="378">
                  <c:v>76.00401606425703</c:v>
                </c:pt>
                <c:pt idx="379">
                  <c:v>76.204819277108442</c:v>
                </c:pt>
                <c:pt idx="380">
                  <c:v>76.405622489959839</c:v>
                </c:pt>
                <c:pt idx="381">
                  <c:v>76.606425702811251</c:v>
                </c:pt>
                <c:pt idx="382">
                  <c:v>76.807228915662648</c:v>
                </c:pt>
                <c:pt idx="383">
                  <c:v>77.00803212851406</c:v>
                </c:pt>
                <c:pt idx="384">
                  <c:v>77.208835341365457</c:v>
                </c:pt>
                <c:pt idx="385">
                  <c:v>77.409638554216869</c:v>
                </c:pt>
                <c:pt idx="386">
                  <c:v>77.610441767068281</c:v>
                </c:pt>
                <c:pt idx="387">
                  <c:v>77.811244979919678</c:v>
                </c:pt>
                <c:pt idx="388">
                  <c:v>78.01204819277109</c:v>
                </c:pt>
                <c:pt idx="389">
                  <c:v>78.212851405622487</c:v>
                </c:pt>
                <c:pt idx="390">
                  <c:v>78.413654618473899</c:v>
                </c:pt>
                <c:pt idx="391">
                  <c:v>78.614457831325311</c:v>
                </c:pt>
                <c:pt idx="392">
                  <c:v>78.815261044176708</c:v>
                </c:pt>
                <c:pt idx="393">
                  <c:v>79.01606425702812</c:v>
                </c:pt>
                <c:pt idx="394">
                  <c:v>79.216867469879517</c:v>
                </c:pt>
                <c:pt idx="395">
                  <c:v>79.417670682730929</c:v>
                </c:pt>
                <c:pt idx="396">
                  <c:v>79.618473895582326</c:v>
                </c:pt>
                <c:pt idx="397">
                  <c:v>79.819277108433738</c:v>
                </c:pt>
                <c:pt idx="398">
                  <c:v>80.02008032128515</c:v>
                </c:pt>
                <c:pt idx="399">
                  <c:v>80.220883534136547</c:v>
                </c:pt>
                <c:pt idx="400">
                  <c:v>80.421686746987959</c:v>
                </c:pt>
                <c:pt idx="401">
                  <c:v>80.622489959839356</c:v>
                </c:pt>
                <c:pt idx="402">
                  <c:v>80.823293172690768</c:v>
                </c:pt>
                <c:pt idx="403">
                  <c:v>81.024096385542165</c:v>
                </c:pt>
                <c:pt idx="404">
                  <c:v>81.224899598393577</c:v>
                </c:pt>
                <c:pt idx="405">
                  <c:v>81.425702811244989</c:v>
                </c:pt>
                <c:pt idx="406">
                  <c:v>81.626506024096386</c:v>
                </c:pt>
                <c:pt idx="407">
                  <c:v>81.827309236947798</c:v>
                </c:pt>
                <c:pt idx="408">
                  <c:v>82.028112449799195</c:v>
                </c:pt>
                <c:pt idx="409">
                  <c:v>82.228915662650607</c:v>
                </c:pt>
                <c:pt idx="410">
                  <c:v>82.429718875502004</c:v>
                </c:pt>
                <c:pt idx="411">
                  <c:v>82.630522088353416</c:v>
                </c:pt>
                <c:pt idx="412">
                  <c:v>82.831325301204828</c:v>
                </c:pt>
                <c:pt idx="413">
                  <c:v>83.032128514056225</c:v>
                </c:pt>
                <c:pt idx="414">
                  <c:v>83.232931726907637</c:v>
                </c:pt>
                <c:pt idx="415">
                  <c:v>83.433734939759034</c:v>
                </c:pt>
                <c:pt idx="416">
                  <c:v>83.634538152610446</c:v>
                </c:pt>
                <c:pt idx="417">
                  <c:v>83.835341365461844</c:v>
                </c:pt>
                <c:pt idx="418">
                  <c:v>84.036144578313255</c:v>
                </c:pt>
                <c:pt idx="419">
                  <c:v>84.236947791164667</c:v>
                </c:pt>
                <c:pt idx="420">
                  <c:v>84.437751004016064</c:v>
                </c:pt>
                <c:pt idx="421">
                  <c:v>84.638554216867476</c:v>
                </c:pt>
                <c:pt idx="422">
                  <c:v>84.839357429718874</c:v>
                </c:pt>
                <c:pt idx="423">
                  <c:v>85.040160642570285</c:v>
                </c:pt>
                <c:pt idx="424">
                  <c:v>85.240963855421683</c:v>
                </c:pt>
                <c:pt idx="425">
                  <c:v>85.441767068273094</c:v>
                </c:pt>
                <c:pt idx="426">
                  <c:v>85.642570281124506</c:v>
                </c:pt>
                <c:pt idx="427">
                  <c:v>85.843373493975903</c:v>
                </c:pt>
                <c:pt idx="428">
                  <c:v>86.044176706827315</c:v>
                </c:pt>
                <c:pt idx="429">
                  <c:v>86.244979919678713</c:v>
                </c:pt>
                <c:pt idx="430">
                  <c:v>86.445783132530124</c:v>
                </c:pt>
                <c:pt idx="431">
                  <c:v>86.646586345381522</c:v>
                </c:pt>
                <c:pt idx="432">
                  <c:v>86.847389558232933</c:v>
                </c:pt>
                <c:pt idx="433">
                  <c:v>87.048192771084345</c:v>
                </c:pt>
                <c:pt idx="434">
                  <c:v>87.248995983935743</c:v>
                </c:pt>
                <c:pt idx="435">
                  <c:v>87.449799196787154</c:v>
                </c:pt>
                <c:pt idx="436">
                  <c:v>87.650602409638552</c:v>
                </c:pt>
                <c:pt idx="437">
                  <c:v>87.851405622489963</c:v>
                </c:pt>
                <c:pt idx="438">
                  <c:v>88.052208835341375</c:v>
                </c:pt>
                <c:pt idx="439">
                  <c:v>88.253012048192772</c:v>
                </c:pt>
                <c:pt idx="440">
                  <c:v>88.453815261044184</c:v>
                </c:pt>
                <c:pt idx="441">
                  <c:v>88.654618473895582</c:v>
                </c:pt>
                <c:pt idx="442">
                  <c:v>88.855421686746993</c:v>
                </c:pt>
                <c:pt idx="443">
                  <c:v>89.056224899598391</c:v>
                </c:pt>
                <c:pt idx="444">
                  <c:v>89.257028112449802</c:v>
                </c:pt>
                <c:pt idx="445">
                  <c:v>89.457831325301214</c:v>
                </c:pt>
                <c:pt idx="446">
                  <c:v>89.658634538152612</c:v>
                </c:pt>
                <c:pt idx="447">
                  <c:v>89.859437751004023</c:v>
                </c:pt>
                <c:pt idx="448">
                  <c:v>90.060240963855421</c:v>
                </c:pt>
                <c:pt idx="449">
                  <c:v>90.261044176706832</c:v>
                </c:pt>
                <c:pt idx="450">
                  <c:v>90.46184738955823</c:v>
                </c:pt>
                <c:pt idx="451">
                  <c:v>90.662650602409641</c:v>
                </c:pt>
                <c:pt idx="452">
                  <c:v>90.863453815261053</c:v>
                </c:pt>
                <c:pt idx="453">
                  <c:v>91.064257028112451</c:v>
                </c:pt>
                <c:pt idx="454">
                  <c:v>91.265060240963862</c:v>
                </c:pt>
                <c:pt idx="455">
                  <c:v>91.46586345381526</c:v>
                </c:pt>
                <c:pt idx="456">
                  <c:v>91.666666666666671</c:v>
                </c:pt>
                <c:pt idx="457">
                  <c:v>91.867469879518069</c:v>
                </c:pt>
                <c:pt idx="458">
                  <c:v>92.068273092369481</c:v>
                </c:pt>
                <c:pt idx="459">
                  <c:v>92.269076305220892</c:v>
                </c:pt>
                <c:pt idx="460">
                  <c:v>92.46987951807229</c:v>
                </c:pt>
                <c:pt idx="461">
                  <c:v>92.670682730923701</c:v>
                </c:pt>
                <c:pt idx="462">
                  <c:v>92.871485943775099</c:v>
                </c:pt>
                <c:pt idx="463">
                  <c:v>93.07228915662651</c:v>
                </c:pt>
                <c:pt idx="464">
                  <c:v>93.273092369477908</c:v>
                </c:pt>
                <c:pt idx="465">
                  <c:v>93.47389558232932</c:v>
                </c:pt>
                <c:pt idx="466">
                  <c:v>93.674698795180731</c:v>
                </c:pt>
                <c:pt idx="467">
                  <c:v>93.875502008032129</c:v>
                </c:pt>
                <c:pt idx="468">
                  <c:v>94.07630522088354</c:v>
                </c:pt>
                <c:pt idx="469">
                  <c:v>94.277108433734938</c:v>
                </c:pt>
                <c:pt idx="470">
                  <c:v>94.47791164658635</c:v>
                </c:pt>
                <c:pt idx="471">
                  <c:v>94.678714859437747</c:v>
                </c:pt>
                <c:pt idx="472">
                  <c:v>94.879518072289159</c:v>
                </c:pt>
                <c:pt idx="473">
                  <c:v>95.08032128514057</c:v>
                </c:pt>
                <c:pt idx="474">
                  <c:v>95.281124497991968</c:v>
                </c:pt>
                <c:pt idx="475">
                  <c:v>95.481927710843379</c:v>
                </c:pt>
                <c:pt idx="476">
                  <c:v>95.682730923694777</c:v>
                </c:pt>
                <c:pt idx="477">
                  <c:v>95.883534136546189</c:v>
                </c:pt>
                <c:pt idx="478">
                  <c:v>96.084337349397586</c:v>
                </c:pt>
                <c:pt idx="479">
                  <c:v>96.285140562248998</c:v>
                </c:pt>
                <c:pt idx="480">
                  <c:v>96.485943775100409</c:v>
                </c:pt>
                <c:pt idx="481">
                  <c:v>96.686746987951807</c:v>
                </c:pt>
                <c:pt idx="482">
                  <c:v>96.887550200803219</c:v>
                </c:pt>
                <c:pt idx="483">
                  <c:v>97.088353413654616</c:v>
                </c:pt>
                <c:pt idx="484">
                  <c:v>97.289156626506028</c:v>
                </c:pt>
                <c:pt idx="485">
                  <c:v>97.489959839357425</c:v>
                </c:pt>
                <c:pt idx="486">
                  <c:v>97.690763052208837</c:v>
                </c:pt>
                <c:pt idx="487">
                  <c:v>97.891566265060248</c:v>
                </c:pt>
                <c:pt idx="488">
                  <c:v>98.092369477911646</c:v>
                </c:pt>
                <c:pt idx="489">
                  <c:v>98.293172690763058</c:v>
                </c:pt>
                <c:pt idx="490">
                  <c:v>98.493975903614455</c:v>
                </c:pt>
                <c:pt idx="491">
                  <c:v>98.694779116465867</c:v>
                </c:pt>
                <c:pt idx="492">
                  <c:v>98.895582329317278</c:v>
                </c:pt>
                <c:pt idx="493">
                  <c:v>99.096385542168676</c:v>
                </c:pt>
                <c:pt idx="494">
                  <c:v>99.297188755020088</c:v>
                </c:pt>
                <c:pt idx="495">
                  <c:v>99.497991967871485</c:v>
                </c:pt>
                <c:pt idx="496">
                  <c:v>99.698795180722897</c:v>
                </c:pt>
                <c:pt idx="497">
                  <c:v>99.899598393574294</c:v>
                </c:pt>
              </c:numCache>
            </c:numRef>
          </c:xVal>
          <c:yVal>
            <c:numRef>
              <c:f>regression!$G$25:$G$522</c:f>
              <c:numCache>
                <c:formatCode>General</c:formatCode>
                <c:ptCount val="4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CA-A74B-A41F-0CE15F57E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86031"/>
        <c:axId val="13537151"/>
      </c:scatterChart>
      <c:valAx>
        <c:axId val="134860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537151"/>
        <c:crosses val="autoZero"/>
        <c:crossBetween val="midCat"/>
      </c:valAx>
      <c:valAx>
        <c:axId val="1353715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48603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C69F9BCF-6C63-FF40-972B-12093415851C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C9837D71-1125-4C46-869E-FD52B30ED836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_xlchart.v1.4</cx:f>
      </cx:numDim>
    </cx:data>
  </cx:chartData>
  <cx:chart>
    <cx:title pos="t" align="ctr" overlay="0"/>
    <cx:plotArea>
      <cx:plotAreaRegion>
        <cx:series layoutId="boxWhisker" uniqueId="{DBAFE457-F0EF-9D4C-A8BB-8DBFC3E08018}">
          <cx:tx>
            <cx:txData>
              <cx:f>_xlchart.v1.3</cx:f>
              <cx:v>Fare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/>
    <cx:plotArea>
      <cx:plotAreaRegion>
        <cx:series layoutId="clusteredColumn" uniqueId="{C495FE05-5026-BD47-9CCA-93B80856CEBD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/>
    <cx:plotArea>
      <cx:plotAreaRegion>
        <cx:series layoutId="clusteredColumn" uniqueId="{AA77A102-3D83-2E4F-8F0A-F583BB1549AF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_xlchart.v1.7</cx:f>
      </cx:strDim>
      <cx:numDim type="val">
        <cx:f>_xlchart.v1.9</cx:f>
      </cx:numDim>
    </cx:data>
  </cx:chartData>
  <cx:chart>
    <cx:title pos="t" align="ctr" overlay="0">
      <cx:tx>
        <cx:txData>
          <cx:v>Boxplots Fare vs Gender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tx1"/>
              </a:solidFill>
            </a:defRPr>
          </a:pPr>
          <a:r>
            <a:rPr lang="en-US" sz="1400" b="0" i="0" u="none" strike="noStrike" baseline="0">
              <a:solidFill>
                <a:schemeClr val="tx1"/>
              </a:solidFill>
              <a:latin typeface="Calibri" panose="020F0502020204030204"/>
            </a:rPr>
            <a:t>Boxplots Fare vs Gender</a:t>
          </a:r>
        </a:p>
      </cx:txPr>
    </cx:title>
    <cx:plotArea>
      <cx:plotAreaRegion>
        <cx:series layoutId="boxWhisker" uniqueId="{37C9282F-2E9F-4048-B9C1-38FBB7829BB8}">
          <cx:tx>
            <cx:txData>
              <cx:f>_xlchart.v1.8</cx:f>
              <cx:v>Fare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400">
                <a:solidFill>
                  <a:schemeClr val="tx1"/>
                </a:solidFill>
              </a:defRPr>
            </a:pPr>
            <a:endParaRPr lang="en-US" sz="1400" b="0" i="0" u="none" strike="noStrike" baseline="0">
              <a:solidFill>
                <a:schemeClr val="tx1"/>
              </a:solidFill>
              <a:latin typeface="Calibri" panose="020F0502020204030204"/>
            </a:endParaRPr>
          </a:p>
        </cx:txPr>
      </cx:axis>
      <cx:axis id="1">
        <cx:valScaling/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400">
                <a:solidFill>
                  <a:schemeClr val="tx1"/>
                </a:solidFill>
              </a:defRPr>
            </a:pPr>
            <a:endParaRPr lang="en-US" sz="1400" b="0" i="0" u="none" strike="noStrike" baseline="0">
              <a:solidFill>
                <a:schemeClr val="tx1"/>
              </a:solidFill>
              <a:latin typeface="Calibri" panose="020F0502020204030204"/>
            </a:endParaRPr>
          </a:p>
        </cx:txPr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_xlchart.v1.10</cx:f>
      </cx:strDim>
      <cx:numDim type="val">
        <cx:f>_xlchart.v1.12</cx:f>
      </cx:numDim>
    </cx:data>
  </cx:chartData>
  <cx:chart>
    <cx:title pos="t" align="ctr" overlay="0">
      <cx:tx>
        <cx:txData>
          <cx:v>boxplots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boxplots</a:t>
          </a:r>
        </a:p>
      </cx:txPr>
    </cx:title>
    <cx:plotArea>
      <cx:plotAreaRegion>
        <cx:series layoutId="boxWhisker" uniqueId="{EA767C52-E61C-C54B-8C05-4F1428D04E1B}">
          <cx:tx>
            <cx:txData>
              <cx:f>_xlchart.v1.11</cx:f>
              <cx:v>Fare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_xlchart.v1.14</cx:f>
      </cx:numDim>
    </cx:data>
  </cx:chartData>
  <cx:chart>
    <cx:title pos="t" align="ctr" overlay="0">
      <cx:tx>
        <cx:txData>
          <cx:v>Passenger Age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Passenger Age Distribution</a:t>
          </a:r>
        </a:p>
      </cx:txPr>
    </cx:title>
    <cx:plotArea>
      <cx:plotAreaRegion>
        <cx:series layoutId="clusteredColumn" uniqueId="{391A975C-90FE-FC42-864C-199CF4D1724C}">
          <cx:tx>
            <cx:txData>
              <cx:f>_xlchart.v1.13</cx:f>
              <cx:v>Age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_xlchart.v1.18</cx:f>
      </cx:numDim>
    </cx:data>
  </cx:chartData>
  <cx:chart>
    <cx:title pos="t" align="ctr" overlay="0">
      <cx:tx>
        <cx:txData>
          <cx:v>Passenger Fare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Passenger Fare distribution</a:t>
          </a:r>
        </a:p>
      </cx:txPr>
    </cx:title>
    <cx:plotArea>
      <cx:plotAreaRegion>
        <cx:series layoutId="clusteredColumn" uniqueId="{F93A82D1-32E4-CD46-88F9-FC6DBB7B2B9A}">
          <cx:tx>
            <cx:txData>
              <cx:f>_xlchart.v1.17</cx:f>
              <cx:v>Fare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_xlchart.v1.16</cx:f>
      </cx:numDim>
    </cx:data>
  </cx:chartData>
  <cx:chart>
    <cx:title pos="t" align="ctr" overlay="0">
      <cx:tx>
        <cx:txData>
          <cx:v>Passenger Fare Log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Passenger Fare Log distribution</a:t>
          </a:r>
        </a:p>
      </cx:txPr>
    </cx:title>
    <cx:plotArea>
      <cx:plotAreaRegion>
        <cx:series layoutId="clusteredColumn" uniqueId="{D6C79AB1-95B8-3E4C-B917-900A3B7988FD}">
          <cx:tx>
            <cx:txData>
              <cx:f>_xlchart.v1.15</cx:f>
              <cx:v>Fare_log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_xlchart.v1.24</cx:f>
      </cx:numDim>
    </cx:data>
  </cx:chartData>
  <cx:chart>
    <cx:title pos="t" align="ctr" overlay="0"/>
    <cx:plotArea>
      <cx:plotAreaRegion>
        <cx:series layoutId="clusteredColumn" uniqueId="{CC24B467-97A7-4245-ADE8-B100BD759BCE}">
          <cx:tx>
            <cx:txData>
              <cx:f>_xlchart.v1.23</cx:f>
              <cx:v>Age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6.xml.rels><?xml version="1.0" encoding="UTF-8" standalone="yes"?>
<Relationships xmlns="http://schemas.openxmlformats.org/package/2006/relationships"><Relationship Id="rId2" Type="http://schemas.microsoft.com/office/2014/relationships/chartEx" Target="../charts/chartEx5.xml"/><Relationship Id="rId1" Type="http://schemas.microsoft.com/office/2014/relationships/chartEx" Target="../charts/chartEx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microsoft.com/office/2014/relationships/chartEx" Target="../charts/chartEx6.xml"/></Relationships>
</file>

<file path=xl/drawings/_rels/drawing9.xml.rels><?xml version="1.0" encoding="UTF-8" standalone="yes"?>
<Relationships xmlns="http://schemas.openxmlformats.org/package/2006/relationships"><Relationship Id="rId1" Type="http://schemas.microsoft.com/office/2014/relationships/chartEx" Target="../charts/chartEx7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3" Type="http://schemas.microsoft.com/office/2014/relationships/chartEx" Target="../charts/chartEx10.xml"/><Relationship Id="rId2" Type="http://schemas.microsoft.com/office/2014/relationships/chartEx" Target="../charts/chartEx9.xml"/><Relationship Id="rId1" Type="http://schemas.microsoft.com/office/2014/relationships/chartEx" Target="../charts/chartEx8.xml"/></Relationships>
</file>

<file path=xl/drawings/_rels/drawing12.xml.rels><?xml version="1.0" encoding="UTF-8" standalone="yes"?>
<Relationships xmlns="http://schemas.openxmlformats.org/package/2006/relationships"><Relationship Id="rId1" Type="http://schemas.microsoft.com/office/2014/relationships/chartEx" Target="../charts/chartEx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101600</xdr:colOff>
      <xdr:row>0</xdr:row>
      <xdr:rowOff>63500</xdr:rowOff>
    </xdr:from>
    <xdr:to>
      <xdr:col>18</xdr:col>
      <xdr:colOff>330200</xdr:colOff>
      <xdr:row>38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1618FE-30EB-4643-5BB7-A1E6F614BF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12700</xdr:colOff>
      <xdr:row>0</xdr:row>
      <xdr:rowOff>1</xdr:rowOff>
    </xdr:from>
    <xdr:to>
      <xdr:col>11</xdr:col>
      <xdr:colOff>651858</xdr:colOff>
      <xdr:row>16</xdr:row>
      <xdr:rowOff>84293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925954E-F0B7-251F-47DA-0DA7D201067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00400" y="1"/>
              <a:ext cx="6417658" cy="333549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826062</xdr:colOff>
      <xdr:row>18</xdr:row>
      <xdr:rowOff>0</xdr:rowOff>
    </xdr:from>
    <xdr:to>
      <xdr:col>12</xdr:col>
      <xdr:colOff>25400</xdr:colOff>
      <xdr:row>36</xdr:row>
      <xdr:rowOff>25400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393302D1-B72E-074E-86CB-7940F202F8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88262" y="3657600"/>
              <a:ext cx="6628838" cy="3683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326989</xdr:colOff>
      <xdr:row>1</xdr:row>
      <xdr:rowOff>187921</xdr:rowOff>
    </xdr:from>
    <xdr:to>
      <xdr:col>7</xdr:col>
      <xdr:colOff>762973</xdr:colOff>
      <xdr:row>15</xdr:row>
      <xdr:rowOff>69972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8EFA21-FC41-E4A5-0490-6055847040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553720</xdr:colOff>
      <xdr:row>7</xdr:row>
      <xdr:rowOff>121920</xdr:rowOff>
    </xdr:from>
    <xdr:to>
      <xdr:col>15</xdr:col>
      <xdr:colOff>396240</xdr:colOff>
      <xdr:row>34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0D8771-682B-FD0B-E18E-968D1AB094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88900</xdr:colOff>
      <xdr:row>3</xdr:row>
      <xdr:rowOff>12700</xdr:rowOff>
    </xdr:from>
    <xdr:to>
      <xdr:col>15</xdr:col>
      <xdr:colOff>165100</xdr:colOff>
      <xdr:row>37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DA04F042-C145-ED01-BDC8-9811D7EE901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30700" y="622300"/>
              <a:ext cx="8331200" cy="6896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393700</xdr:colOff>
      <xdr:row>37</xdr:row>
      <xdr:rowOff>139700</xdr:rowOff>
    </xdr:from>
    <xdr:to>
      <xdr:col>18</xdr:col>
      <xdr:colOff>247650</xdr:colOff>
      <xdr:row>78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FEF064D9-FE11-0E9A-4248-B089C449CA3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06900" y="7658100"/>
              <a:ext cx="10585450" cy="8343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120650</xdr:colOff>
      <xdr:row>0</xdr:row>
      <xdr:rowOff>0</xdr:rowOff>
    </xdr:from>
    <xdr:to>
      <xdr:col>17</xdr:col>
      <xdr:colOff>533400</xdr:colOff>
      <xdr:row>36</xdr:row>
      <xdr:rowOff>139700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041BDB0-EC20-9478-0630-5799953A828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08350" y="0"/>
              <a:ext cx="11144250" cy="745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558800</xdr:colOff>
      <xdr:row>1</xdr:row>
      <xdr:rowOff>114300</xdr:rowOff>
    </xdr:from>
    <xdr:to>
      <xdr:col>13</xdr:col>
      <xdr:colOff>609600</xdr:colOff>
      <xdr:row>40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4A1950-969A-DC64-D0F6-88D2338A39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482600</xdr:colOff>
      <xdr:row>2</xdr:row>
      <xdr:rowOff>139700</xdr:rowOff>
    </xdr:from>
    <xdr:to>
      <xdr:col>11</xdr:col>
      <xdr:colOff>120650</xdr:colOff>
      <xdr:row>24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C5395F6-A0D1-9E7C-9898-03884CF70E6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33600" y="546100"/>
              <a:ext cx="7067550" cy="4464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1</xdr:row>
      <xdr:rowOff>76200</xdr:rowOff>
    </xdr:from>
    <xdr:to>
      <xdr:col>13</xdr:col>
      <xdr:colOff>139700</xdr:colOff>
      <xdr:row>30</xdr:row>
      <xdr:rowOff>25400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007DB84-2C60-EC41-ABA2-F432CF73D64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14600" y="279400"/>
              <a:ext cx="8242300" cy="5842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279400</xdr:colOff>
      <xdr:row>1</xdr:row>
      <xdr:rowOff>63500</xdr:rowOff>
    </xdr:from>
    <xdr:to>
      <xdr:col>15</xdr:col>
      <xdr:colOff>406400</xdr:colOff>
      <xdr:row>16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B3D771-1271-85AC-4D1E-A3E7D23A56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254000</xdr:colOff>
      <xdr:row>17</xdr:row>
      <xdr:rowOff>38100</xdr:rowOff>
    </xdr:from>
    <xdr:to>
      <xdr:col>15</xdr:col>
      <xdr:colOff>406400</xdr:colOff>
      <xdr:row>33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F70C11-7E44-CAD4-6BC6-D2C2BA00CE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381000</xdr:colOff>
      <xdr:row>36</xdr:row>
      <xdr:rowOff>50800</xdr:rowOff>
    </xdr:from>
    <xdr:to>
      <xdr:col>15</xdr:col>
      <xdr:colOff>469900</xdr:colOff>
      <xdr:row>54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2BFE028-A6C4-D742-01F0-A9641A20F4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120650</xdr:colOff>
      <xdr:row>0</xdr:row>
      <xdr:rowOff>107950</xdr:rowOff>
    </xdr:from>
    <xdr:to>
      <xdr:col>10</xdr:col>
      <xdr:colOff>565150</xdr:colOff>
      <xdr:row>14</xdr:row>
      <xdr:rowOff>6350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F49969C-E5F2-0751-AF3D-FC0191D9A8B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33850" y="1079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0</xdr:colOff>
      <xdr:row>1</xdr:row>
      <xdr:rowOff>0</xdr:rowOff>
    </xdr:from>
    <xdr:to>
      <xdr:col>16</xdr:col>
      <xdr:colOff>444500</xdr:colOff>
      <xdr:row>14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78BB96C0-9078-3A46-A296-95ED40F330A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66200" y="2032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152400</xdr:colOff>
      <xdr:row>14</xdr:row>
      <xdr:rowOff>76200</xdr:rowOff>
    </xdr:from>
    <xdr:to>
      <xdr:col>10</xdr:col>
      <xdr:colOff>596900</xdr:colOff>
      <xdr:row>27</xdr:row>
      <xdr:rowOff>177800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A174FD19-E464-C55A-83A0-8E4C7A4777F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65600" y="29210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1</xdr:row>
      <xdr:rowOff>69850</xdr:rowOff>
    </xdr:from>
    <xdr:to>
      <xdr:col>7</xdr:col>
      <xdr:colOff>501650</xdr:colOff>
      <xdr:row>14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75144ABD-777E-009D-DAF1-3A57E1A547B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08150" y="2730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4739.523098726851" createdVersion="7" refreshedVersion="7" minRefreshableVersion="3" recordCount="892" xr:uid="{3314A228-3892-5D49-B78A-58EEE59DA6AD}">
  <cacheSource type="worksheet">
    <worksheetSource ref="A1:B1048576" sheet="Sheet1"/>
  </cacheSource>
  <cacheFields count="2">
    <cacheField name="Sex" numFmtId="0">
      <sharedItems containsBlank="1" count="3">
        <s v="male"/>
        <s v="female"/>
        <m/>
      </sharedItems>
    </cacheField>
    <cacheField name="Fare" numFmtId="2">
      <sharedItems containsString="0" containsBlank="1" containsNumber="1" minValue="0" maxValue="512.32920000000001" count="249">
        <n v="7.25"/>
        <n v="71.283299999999997"/>
        <n v="7.9249999999999998"/>
        <n v="53.1"/>
        <n v="8.0500000000000007"/>
        <n v="8.4582999999999995"/>
        <n v="51.862499999999997"/>
        <n v="21.074999999999999"/>
        <n v="11.1333"/>
        <n v="30.070799999999998"/>
        <n v="16.7"/>
        <n v="26.55"/>
        <n v="31.274999999999999"/>
        <n v="7.8541999999999996"/>
        <n v="16"/>
        <n v="29.125"/>
        <n v="13"/>
        <n v="18"/>
        <n v="7.2249999999999996"/>
        <n v="26"/>
        <n v="8.0291999999999994"/>
        <n v="35.5"/>
        <n v="31.387499999999999"/>
        <n v="263"/>
        <n v="7.8792"/>
        <n v="7.8958000000000004"/>
        <n v="27.720800000000001"/>
        <n v="146.52080000000001"/>
        <n v="7.75"/>
        <n v="10.5"/>
        <n v="82.1708"/>
        <n v="52"/>
        <n v="7.2291999999999996"/>
        <n v="11.2417"/>
        <n v="9.4749999999999996"/>
        <n v="21"/>
        <n v="41.5792"/>
        <n v="15.5"/>
        <n v="21.679200000000002"/>
        <n v="17.8"/>
        <n v="39.6875"/>
        <n v="7.8"/>
        <n v="76.729200000000006"/>
        <n v="61.979199999999999"/>
        <n v="27.75"/>
        <n v="46.9"/>
        <n v="80"/>
        <n v="83.474999999999994"/>
        <n v="27.9"/>
        <n v="15.245799999999999"/>
        <n v="8.1583000000000006"/>
        <n v="8.6624999999999996"/>
        <n v="73.5"/>
        <n v="14.4542"/>
        <n v="56.495800000000003"/>
        <n v="7.65"/>
        <n v="29"/>
        <n v="12.475"/>
        <n v="9"/>
        <n v="9.5"/>
        <n v="7.7874999999999996"/>
        <n v="47.1"/>
        <n v="15.85"/>
        <n v="34.375"/>
        <n v="61.174999999999997"/>
        <n v="20.574999999999999"/>
        <n v="34.654200000000003"/>
        <n v="63.3583"/>
        <n v="23"/>
        <n v="77.287499999999994"/>
        <n v="8.6541999999999994"/>
        <n v="7.7750000000000004"/>
        <n v="24.15"/>
        <n v="9.8249999999999993"/>
        <n v="14.458299999999999"/>
        <n v="247.52080000000001"/>
        <n v="7.1417000000000002"/>
        <n v="22.3583"/>
        <n v="6.9749999999999996"/>
        <n v="7.05"/>
        <n v="14.5"/>
        <n v="15.0458"/>
        <n v="26.283300000000001"/>
        <n v="9.2166999999999994"/>
        <n v="79.2"/>
        <n v="6.75"/>
        <n v="11.5"/>
        <n v="36.75"/>
        <n v="7.7957999999999998"/>
        <n v="12.525"/>
        <n v="66.599999999999994"/>
        <n v="7.3125"/>
        <n v="61.379199999999997"/>
        <n v="7.7332999999999998"/>
        <n v="69.55"/>
        <n v="16.100000000000001"/>
        <n v="15.75"/>
        <n v="20.524999999999999"/>
        <n v="55"/>
        <n v="25.925000000000001"/>
        <n v="33.5"/>
        <n v="30.695799999999998"/>
        <n v="25.466699999999999"/>
        <n v="28.712499999999999"/>
        <n v="0"/>
        <n v="15.05"/>
        <n v="39"/>
        <n v="22.024999999999999"/>
        <n v="50"/>
        <n v="8.4041999999999994"/>
        <n v="6.4958"/>
        <n v="10.4625"/>
        <n v="18.787500000000001"/>
        <n v="31"/>
        <n v="113.27500000000001"/>
        <n v="27"/>
        <n v="76.291700000000006"/>
        <n v="90"/>
        <n v="9.35"/>
        <n v="13.5"/>
        <n v="7.55"/>
        <n v="26.25"/>
        <n v="12.275"/>
        <n v="7.125"/>
        <n v="52.554200000000002"/>
        <n v="20.212499999999999"/>
        <n v="86.5"/>
        <n v="512.32920000000001"/>
        <n v="79.650000000000006"/>
        <n v="153.46250000000001"/>
        <n v="135.63329999999999"/>
        <n v="19.5"/>
        <n v="29.7"/>
        <n v="77.958299999999994"/>
        <n v="20.25"/>
        <n v="78.849999999999994"/>
        <n v="91.0792"/>
        <n v="12.875"/>
        <n v="8.85"/>
        <n v="151.55000000000001"/>
        <n v="30.5"/>
        <n v="23.25"/>
        <n v="12.35"/>
        <n v="110.88330000000001"/>
        <n v="108.9"/>
        <n v="24"/>
        <n v="56.929200000000002"/>
        <n v="83.158299999999997"/>
        <n v="262.375"/>
        <n v="14"/>
        <n v="164.86670000000001"/>
        <n v="134.5"/>
        <n v="6.2374999999999998"/>
        <n v="57.979199999999999"/>
        <n v="28.5"/>
        <n v="133.65"/>
        <n v="15.9"/>
        <n v="9.2249999999999996"/>
        <n v="35"/>
        <n v="75.25"/>
        <n v="69.3"/>
        <n v="55.441699999999997"/>
        <n v="211.5"/>
        <n v="4.0125000000000002"/>
        <n v="227.52500000000001"/>
        <n v="15.7417"/>
        <n v="7.7291999999999996"/>
        <n v="12"/>
        <n v="120"/>
        <n v="12.65"/>
        <n v="18.75"/>
        <n v="6.8582999999999998"/>
        <n v="32.5"/>
        <n v="7.875"/>
        <n v="14.4"/>
        <n v="55.9"/>
        <n v="8.1125000000000007"/>
        <n v="81.8583"/>
        <n v="19.258299999999998"/>
        <n v="19.966699999999999"/>
        <n v="89.104200000000006"/>
        <n v="38.5"/>
        <n v="7.7249999999999996"/>
        <n v="13.791700000000001"/>
        <n v="9.8375000000000004"/>
        <n v="7.0457999999999998"/>
        <n v="7.5208000000000004"/>
        <n v="12.2875"/>
        <n v="9.5875000000000004"/>
        <n v="49.504199999999997"/>
        <n v="78.2667"/>
        <n v="15.1"/>
        <n v="7.6292"/>
        <n v="22.524999999999999"/>
        <n v="26.287500000000001"/>
        <n v="59.4"/>
        <n v="7.4958"/>
        <n v="34.020800000000001"/>
        <n v="93.5"/>
        <n v="221.7792"/>
        <n v="106.425"/>
        <n v="49.5"/>
        <n v="71"/>
        <n v="13.862500000000001"/>
        <n v="7.8292000000000002"/>
        <n v="39.6"/>
        <n v="17.399999999999999"/>
        <n v="51.479199999999999"/>
        <n v="26.387499999999999"/>
        <n v="30"/>
        <n v="40.125"/>
        <n v="8.7125000000000004"/>
        <n v="15"/>
        <n v="33"/>
        <n v="42.4"/>
        <n v="15.55"/>
        <n v="65"/>
        <n v="32.320799999999998"/>
        <n v="7.0541999999999998"/>
        <n v="8.4332999999999991"/>
        <n v="25.587499999999999"/>
        <n v="9.8416999999999994"/>
        <n v="8.1374999999999993"/>
        <n v="10.1708"/>
        <n v="211.33750000000001"/>
        <n v="57"/>
        <n v="13.416700000000001"/>
        <n v="7.7416999999999998"/>
        <n v="9.4832999999999998"/>
        <n v="7.7374999999999998"/>
        <n v="8.3625000000000007"/>
        <n v="23.45"/>
        <n v="25.929200000000002"/>
        <n v="8.6832999999999991"/>
        <n v="8.5167000000000002"/>
        <n v="7.8875000000000002"/>
        <n v="37.004199999999997"/>
        <n v="6.45"/>
        <n v="6.95"/>
        <n v="8.3000000000000007"/>
        <n v="6.4375"/>
        <n v="39.4"/>
        <n v="14.1083"/>
        <n v="13.8583"/>
        <n v="50.495800000000003"/>
        <n v="5"/>
        <n v="9.8458000000000006"/>
        <n v="10.5167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u Zhang" refreshedDate="45107.586800462966" createdVersion="8" refreshedVersion="8" minRefreshableVersion="3" recordCount="892" xr:uid="{74D17FF1-DBA4-9E4C-9A3B-FE16ECFB67BD}">
  <cacheSource type="worksheet">
    <worksheetSource ref="A1:B1048576" sheet="t2"/>
  </cacheSource>
  <cacheFields count="2">
    <cacheField name="Sex" numFmtId="0">
      <sharedItems containsBlank="1" count="3">
        <s v="male"/>
        <s v="female"/>
        <m/>
      </sharedItems>
    </cacheField>
    <cacheField name="Fare" numFmtId="2">
      <sharedItems containsString="0" containsBlank="1" containsNumber="1" minValue="0" maxValue="512.32920000000001" count="249">
        <n v="7.25"/>
        <n v="71.283299999999997"/>
        <n v="7.9249999999999998"/>
        <n v="53.1"/>
        <n v="8.0500000000000007"/>
        <n v="8.4582999999999995"/>
        <n v="51.862499999999997"/>
        <n v="21.074999999999999"/>
        <n v="11.1333"/>
        <n v="30.070799999999998"/>
        <n v="16.7"/>
        <n v="26.55"/>
        <n v="31.274999999999999"/>
        <n v="7.8541999999999996"/>
        <n v="16"/>
        <n v="29.125"/>
        <n v="13"/>
        <n v="18"/>
        <n v="7.2249999999999996"/>
        <n v="26"/>
        <n v="8.0291999999999994"/>
        <n v="35.5"/>
        <n v="31.387499999999999"/>
        <n v="263"/>
        <n v="7.8792"/>
        <n v="7.8958000000000004"/>
        <n v="27.720800000000001"/>
        <n v="146.52080000000001"/>
        <n v="7.75"/>
        <n v="10.5"/>
        <n v="82.1708"/>
        <n v="52"/>
        <n v="7.2291999999999996"/>
        <n v="11.2417"/>
        <n v="9.4749999999999996"/>
        <n v="21"/>
        <n v="41.5792"/>
        <n v="15.5"/>
        <n v="21.679200000000002"/>
        <n v="17.8"/>
        <n v="39.6875"/>
        <n v="7.8"/>
        <n v="76.729200000000006"/>
        <n v="61.979199999999999"/>
        <n v="27.75"/>
        <n v="46.9"/>
        <n v="80"/>
        <n v="83.474999999999994"/>
        <n v="27.9"/>
        <n v="15.245799999999999"/>
        <n v="8.1583000000000006"/>
        <n v="8.6624999999999996"/>
        <n v="73.5"/>
        <n v="14.4542"/>
        <n v="56.495800000000003"/>
        <n v="7.65"/>
        <n v="29"/>
        <n v="12.475"/>
        <n v="9"/>
        <n v="9.5"/>
        <n v="7.7874999999999996"/>
        <n v="47.1"/>
        <n v="15.85"/>
        <n v="34.375"/>
        <n v="61.174999999999997"/>
        <n v="20.574999999999999"/>
        <n v="34.654200000000003"/>
        <n v="63.3583"/>
        <n v="23"/>
        <n v="77.287499999999994"/>
        <n v="8.6541999999999994"/>
        <n v="7.7750000000000004"/>
        <n v="24.15"/>
        <n v="9.8249999999999993"/>
        <n v="14.458299999999999"/>
        <n v="247.52080000000001"/>
        <n v="7.1417000000000002"/>
        <n v="22.3583"/>
        <n v="6.9749999999999996"/>
        <n v="7.05"/>
        <n v="14.5"/>
        <n v="15.0458"/>
        <n v="26.283300000000001"/>
        <n v="9.2166999999999994"/>
        <n v="79.2"/>
        <n v="6.75"/>
        <n v="11.5"/>
        <n v="36.75"/>
        <n v="7.7957999999999998"/>
        <n v="12.525"/>
        <n v="66.599999999999994"/>
        <n v="7.3125"/>
        <n v="61.379199999999997"/>
        <n v="7.7332999999999998"/>
        <n v="69.55"/>
        <n v="16.100000000000001"/>
        <n v="15.75"/>
        <n v="20.524999999999999"/>
        <n v="55"/>
        <n v="25.925000000000001"/>
        <n v="33.5"/>
        <n v="30.695799999999998"/>
        <n v="25.466699999999999"/>
        <n v="28.712499999999999"/>
        <n v="0"/>
        <n v="15.05"/>
        <n v="39"/>
        <n v="22.024999999999999"/>
        <n v="50"/>
        <n v="8.4041999999999994"/>
        <n v="6.4958"/>
        <n v="10.4625"/>
        <n v="18.787500000000001"/>
        <n v="31"/>
        <n v="113.27500000000001"/>
        <n v="27"/>
        <n v="76.291700000000006"/>
        <n v="90"/>
        <n v="9.35"/>
        <n v="13.5"/>
        <n v="7.55"/>
        <n v="26.25"/>
        <n v="12.275"/>
        <n v="7.125"/>
        <n v="52.554200000000002"/>
        <n v="20.212499999999999"/>
        <n v="86.5"/>
        <n v="512.32920000000001"/>
        <n v="79.650000000000006"/>
        <n v="153.46250000000001"/>
        <n v="135.63329999999999"/>
        <n v="19.5"/>
        <n v="29.7"/>
        <n v="77.958299999999994"/>
        <n v="20.25"/>
        <n v="78.849999999999994"/>
        <n v="91.0792"/>
        <n v="12.875"/>
        <n v="8.85"/>
        <n v="151.55000000000001"/>
        <n v="30.5"/>
        <n v="23.25"/>
        <n v="12.35"/>
        <n v="110.88330000000001"/>
        <n v="108.9"/>
        <n v="24"/>
        <n v="56.929200000000002"/>
        <n v="83.158299999999997"/>
        <n v="262.375"/>
        <n v="14"/>
        <n v="164.86670000000001"/>
        <n v="134.5"/>
        <n v="6.2374999999999998"/>
        <n v="57.979199999999999"/>
        <n v="28.5"/>
        <n v="133.65"/>
        <n v="15.9"/>
        <n v="9.2249999999999996"/>
        <n v="35"/>
        <n v="75.25"/>
        <n v="69.3"/>
        <n v="55.441699999999997"/>
        <n v="211.5"/>
        <n v="4.0125000000000002"/>
        <n v="227.52500000000001"/>
        <n v="15.7417"/>
        <n v="7.7291999999999996"/>
        <n v="12"/>
        <n v="120"/>
        <n v="12.65"/>
        <n v="18.75"/>
        <n v="6.8582999999999998"/>
        <n v="32.5"/>
        <n v="7.875"/>
        <n v="14.4"/>
        <n v="55.9"/>
        <n v="8.1125000000000007"/>
        <n v="81.8583"/>
        <n v="19.258299999999998"/>
        <n v="19.966699999999999"/>
        <n v="89.104200000000006"/>
        <n v="38.5"/>
        <n v="7.7249999999999996"/>
        <n v="13.791700000000001"/>
        <n v="9.8375000000000004"/>
        <n v="7.0457999999999998"/>
        <n v="7.5208000000000004"/>
        <n v="12.2875"/>
        <n v="9.5875000000000004"/>
        <n v="49.504199999999997"/>
        <n v="78.2667"/>
        <n v="15.1"/>
        <n v="7.6292"/>
        <n v="22.524999999999999"/>
        <n v="26.287500000000001"/>
        <n v="59.4"/>
        <n v="7.4958"/>
        <n v="34.020800000000001"/>
        <n v="93.5"/>
        <n v="221.7792"/>
        <n v="106.425"/>
        <n v="49.5"/>
        <n v="71"/>
        <n v="13.862500000000001"/>
        <n v="7.8292000000000002"/>
        <n v="39.6"/>
        <n v="17.399999999999999"/>
        <n v="51.479199999999999"/>
        <n v="26.387499999999999"/>
        <n v="30"/>
        <n v="40.125"/>
        <n v="8.7125000000000004"/>
        <n v="15"/>
        <n v="33"/>
        <n v="42.4"/>
        <n v="15.55"/>
        <n v="65"/>
        <n v="32.320799999999998"/>
        <n v="7.0541999999999998"/>
        <n v="8.4332999999999991"/>
        <n v="25.587499999999999"/>
        <n v="9.8416999999999994"/>
        <n v="8.1374999999999993"/>
        <n v="10.1708"/>
        <n v="211.33750000000001"/>
        <n v="57"/>
        <n v="13.416700000000001"/>
        <n v="7.7416999999999998"/>
        <n v="9.4832999999999998"/>
        <n v="7.7374999999999998"/>
        <n v="8.3625000000000007"/>
        <n v="23.45"/>
        <n v="25.929200000000002"/>
        <n v="8.6832999999999991"/>
        <n v="8.5167000000000002"/>
        <n v="7.8875000000000002"/>
        <n v="37.004199999999997"/>
        <n v="6.45"/>
        <n v="6.95"/>
        <n v="8.3000000000000007"/>
        <n v="6.4375"/>
        <n v="39.4"/>
        <n v="14.1083"/>
        <n v="13.8583"/>
        <n v="50.495800000000003"/>
        <n v="5"/>
        <n v="9.8458000000000006"/>
        <n v="10.5167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u Zhang" refreshedDate="45107.61953113426" createdVersion="8" refreshedVersion="8" minRefreshableVersion="3" recordCount="892" xr:uid="{D8221234-C93F-C146-B13E-E4570B2D4FAB}">
  <cacheSource type="worksheet">
    <worksheetSource ref="A1:A1048576" sheet="t3"/>
  </cacheSource>
  <cacheFields count="3">
    <cacheField name="Pclass" numFmtId="0">
      <sharedItems containsString="0" containsBlank="1" containsNumber="1" containsInteger="1" minValue="1" maxValue="3" count="4">
        <n v="3"/>
        <n v="1"/>
        <n v="2"/>
        <m/>
      </sharedItems>
    </cacheField>
    <cacheField name="Sex" numFmtId="0">
      <sharedItems containsBlank="1" count="3">
        <s v="male"/>
        <s v="female"/>
        <m/>
      </sharedItems>
    </cacheField>
    <cacheField name="Fare" numFmtId="2">
      <sharedItems containsString="0" containsBlank="1" containsNumber="1" minValue="0" maxValue="512.3292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2">
  <r>
    <x v="0"/>
    <x v="0"/>
  </r>
  <r>
    <x v="1"/>
    <x v="1"/>
  </r>
  <r>
    <x v="1"/>
    <x v="2"/>
  </r>
  <r>
    <x v="1"/>
    <x v="3"/>
  </r>
  <r>
    <x v="0"/>
    <x v="4"/>
  </r>
  <r>
    <x v="0"/>
    <x v="5"/>
  </r>
  <r>
    <x v="0"/>
    <x v="6"/>
  </r>
  <r>
    <x v="0"/>
    <x v="7"/>
  </r>
  <r>
    <x v="1"/>
    <x v="8"/>
  </r>
  <r>
    <x v="1"/>
    <x v="9"/>
  </r>
  <r>
    <x v="1"/>
    <x v="10"/>
  </r>
  <r>
    <x v="1"/>
    <x v="11"/>
  </r>
  <r>
    <x v="0"/>
    <x v="4"/>
  </r>
  <r>
    <x v="0"/>
    <x v="12"/>
  </r>
  <r>
    <x v="1"/>
    <x v="13"/>
  </r>
  <r>
    <x v="1"/>
    <x v="14"/>
  </r>
  <r>
    <x v="0"/>
    <x v="15"/>
  </r>
  <r>
    <x v="0"/>
    <x v="16"/>
  </r>
  <r>
    <x v="1"/>
    <x v="17"/>
  </r>
  <r>
    <x v="1"/>
    <x v="18"/>
  </r>
  <r>
    <x v="0"/>
    <x v="19"/>
  </r>
  <r>
    <x v="0"/>
    <x v="16"/>
  </r>
  <r>
    <x v="1"/>
    <x v="20"/>
  </r>
  <r>
    <x v="0"/>
    <x v="21"/>
  </r>
  <r>
    <x v="1"/>
    <x v="7"/>
  </r>
  <r>
    <x v="1"/>
    <x v="22"/>
  </r>
  <r>
    <x v="0"/>
    <x v="18"/>
  </r>
  <r>
    <x v="0"/>
    <x v="23"/>
  </r>
  <r>
    <x v="1"/>
    <x v="24"/>
  </r>
  <r>
    <x v="0"/>
    <x v="25"/>
  </r>
  <r>
    <x v="0"/>
    <x v="26"/>
  </r>
  <r>
    <x v="1"/>
    <x v="27"/>
  </r>
  <r>
    <x v="1"/>
    <x v="28"/>
  </r>
  <r>
    <x v="0"/>
    <x v="29"/>
  </r>
  <r>
    <x v="0"/>
    <x v="30"/>
  </r>
  <r>
    <x v="0"/>
    <x v="31"/>
  </r>
  <r>
    <x v="0"/>
    <x v="32"/>
  </r>
  <r>
    <x v="0"/>
    <x v="4"/>
  </r>
  <r>
    <x v="1"/>
    <x v="17"/>
  </r>
  <r>
    <x v="1"/>
    <x v="33"/>
  </r>
  <r>
    <x v="1"/>
    <x v="34"/>
  </r>
  <r>
    <x v="1"/>
    <x v="35"/>
  </r>
  <r>
    <x v="0"/>
    <x v="25"/>
  </r>
  <r>
    <x v="1"/>
    <x v="36"/>
  </r>
  <r>
    <x v="1"/>
    <x v="24"/>
  </r>
  <r>
    <x v="0"/>
    <x v="4"/>
  </r>
  <r>
    <x v="0"/>
    <x v="37"/>
  </r>
  <r>
    <x v="1"/>
    <x v="28"/>
  </r>
  <r>
    <x v="0"/>
    <x v="38"/>
  </r>
  <r>
    <x v="1"/>
    <x v="39"/>
  </r>
  <r>
    <x v="0"/>
    <x v="40"/>
  </r>
  <r>
    <x v="0"/>
    <x v="41"/>
  </r>
  <r>
    <x v="1"/>
    <x v="42"/>
  </r>
  <r>
    <x v="1"/>
    <x v="19"/>
  </r>
  <r>
    <x v="0"/>
    <x v="43"/>
  </r>
  <r>
    <x v="0"/>
    <x v="21"/>
  </r>
  <r>
    <x v="1"/>
    <x v="29"/>
  </r>
  <r>
    <x v="0"/>
    <x v="32"/>
  </r>
  <r>
    <x v="1"/>
    <x v="44"/>
  </r>
  <r>
    <x v="0"/>
    <x v="45"/>
  </r>
  <r>
    <x v="0"/>
    <x v="32"/>
  </r>
  <r>
    <x v="1"/>
    <x v="46"/>
  </r>
  <r>
    <x v="0"/>
    <x v="47"/>
  </r>
  <r>
    <x v="0"/>
    <x v="48"/>
  </r>
  <r>
    <x v="0"/>
    <x v="26"/>
  </r>
  <r>
    <x v="0"/>
    <x v="49"/>
  </r>
  <r>
    <x v="1"/>
    <x v="29"/>
  </r>
  <r>
    <x v="0"/>
    <x v="50"/>
  </r>
  <r>
    <x v="1"/>
    <x v="2"/>
  </r>
  <r>
    <x v="0"/>
    <x v="51"/>
  </r>
  <r>
    <x v="0"/>
    <x v="29"/>
  </r>
  <r>
    <x v="1"/>
    <x v="45"/>
  </r>
  <r>
    <x v="0"/>
    <x v="52"/>
  </r>
  <r>
    <x v="0"/>
    <x v="53"/>
  </r>
  <r>
    <x v="0"/>
    <x v="54"/>
  </r>
  <r>
    <x v="0"/>
    <x v="55"/>
  </r>
  <r>
    <x v="0"/>
    <x v="25"/>
  </r>
  <r>
    <x v="0"/>
    <x v="4"/>
  </r>
  <r>
    <x v="0"/>
    <x v="56"/>
  </r>
  <r>
    <x v="1"/>
    <x v="57"/>
  </r>
  <r>
    <x v="0"/>
    <x v="58"/>
  </r>
  <r>
    <x v="0"/>
    <x v="59"/>
  </r>
  <r>
    <x v="1"/>
    <x v="60"/>
  </r>
  <r>
    <x v="0"/>
    <x v="61"/>
  </r>
  <r>
    <x v="1"/>
    <x v="29"/>
  </r>
  <r>
    <x v="1"/>
    <x v="62"/>
  </r>
  <r>
    <x v="0"/>
    <x v="63"/>
  </r>
  <r>
    <x v="0"/>
    <x v="4"/>
  </r>
  <r>
    <x v="1"/>
    <x v="23"/>
  </r>
  <r>
    <x v="0"/>
    <x v="4"/>
  </r>
  <r>
    <x v="0"/>
    <x v="4"/>
  </r>
  <r>
    <x v="0"/>
    <x v="13"/>
  </r>
  <r>
    <x v="0"/>
    <x v="64"/>
  </r>
  <r>
    <x v="0"/>
    <x v="65"/>
  </r>
  <r>
    <x v="0"/>
    <x v="0"/>
  </r>
  <r>
    <x v="0"/>
    <x v="4"/>
  </r>
  <r>
    <x v="0"/>
    <x v="66"/>
  </r>
  <r>
    <x v="0"/>
    <x v="67"/>
  </r>
  <r>
    <x v="1"/>
    <x v="68"/>
  </r>
  <r>
    <x v="0"/>
    <x v="19"/>
  </r>
  <r>
    <x v="1"/>
    <x v="25"/>
  </r>
  <r>
    <x v="0"/>
    <x v="25"/>
  </r>
  <r>
    <x v="0"/>
    <x v="69"/>
  </r>
  <r>
    <x v="0"/>
    <x v="70"/>
  </r>
  <r>
    <x v="0"/>
    <x v="2"/>
  </r>
  <r>
    <x v="0"/>
    <x v="25"/>
  </r>
  <r>
    <x v="1"/>
    <x v="55"/>
  </r>
  <r>
    <x v="0"/>
    <x v="71"/>
  </r>
  <r>
    <x v="0"/>
    <x v="25"/>
  </r>
  <r>
    <x v="1"/>
    <x v="72"/>
  </r>
  <r>
    <x v="0"/>
    <x v="31"/>
  </r>
  <r>
    <x v="1"/>
    <x v="53"/>
  </r>
  <r>
    <x v="0"/>
    <x v="4"/>
  </r>
  <r>
    <x v="1"/>
    <x v="73"/>
  </r>
  <r>
    <x v="1"/>
    <x v="74"/>
  </r>
  <r>
    <x v="0"/>
    <x v="2"/>
  </r>
  <r>
    <x v="0"/>
    <x v="28"/>
  </r>
  <r>
    <x v="0"/>
    <x v="35"/>
  </r>
  <r>
    <x v="0"/>
    <x v="75"/>
  </r>
  <r>
    <x v="1"/>
    <x v="12"/>
  </r>
  <r>
    <x v="0"/>
    <x v="52"/>
  </r>
  <r>
    <x v="0"/>
    <x v="4"/>
  </r>
  <r>
    <x v="0"/>
    <x v="9"/>
  </r>
  <r>
    <x v="1"/>
    <x v="16"/>
  </r>
  <r>
    <x v="0"/>
    <x v="69"/>
  </r>
  <r>
    <x v="0"/>
    <x v="33"/>
  </r>
  <r>
    <x v="0"/>
    <x v="28"/>
  </r>
  <r>
    <x v="0"/>
    <x v="76"/>
  </r>
  <r>
    <x v="1"/>
    <x v="77"/>
  </r>
  <r>
    <x v="0"/>
    <x v="78"/>
  </r>
  <r>
    <x v="0"/>
    <x v="25"/>
  </r>
  <r>
    <x v="0"/>
    <x v="79"/>
  </r>
  <r>
    <x v="1"/>
    <x v="80"/>
  </r>
  <r>
    <x v="1"/>
    <x v="19"/>
  </r>
  <r>
    <x v="0"/>
    <x v="16"/>
  </r>
  <r>
    <x v="0"/>
    <x v="81"/>
  </r>
  <r>
    <x v="1"/>
    <x v="82"/>
  </r>
  <r>
    <x v="0"/>
    <x v="3"/>
  </r>
  <r>
    <x v="0"/>
    <x v="83"/>
  </r>
  <r>
    <x v="0"/>
    <x v="84"/>
  </r>
  <r>
    <x v="1"/>
    <x v="49"/>
  </r>
  <r>
    <x v="1"/>
    <x v="28"/>
  </r>
  <r>
    <x v="1"/>
    <x v="62"/>
  </r>
  <r>
    <x v="0"/>
    <x v="85"/>
  </r>
  <r>
    <x v="0"/>
    <x v="86"/>
  </r>
  <r>
    <x v="0"/>
    <x v="87"/>
  </r>
  <r>
    <x v="0"/>
    <x v="88"/>
  </r>
  <r>
    <x v="1"/>
    <x v="63"/>
  </r>
  <r>
    <x v="0"/>
    <x v="19"/>
  </r>
  <r>
    <x v="0"/>
    <x v="16"/>
  </r>
  <r>
    <x v="0"/>
    <x v="89"/>
  </r>
  <r>
    <x v="1"/>
    <x v="90"/>
  </r>
  <r>
    <x v="0"/>
    <x v="4"/>
  </r>
  <r>
    <x v="0"/>
    <x v="80"/>
  </r>
  <r>
    <x v="0"/>
    <x v="91"/>
  </r>
  <r>
    <x v="0"/>
    <x v="92"/>
  </r>
  <r>
    <x v="1"/>
    <x v="93"/>
  </r>
  <r>
    <x v="0"/>
    <x v="4"/>
  </r>
  <r>
    <x v="0"/>
    <x v="51"/>
  </r>
  <r>
    <x v="0"/>
    <x v="94"/>
  </r>
  <r>
    <x v="0"/>
    <x v="95"/>
  </r>
  <r>
    <x v="1"/>
    <x v="96"/>
  </r>
  <r>
    <x v="0"/>
    <x v="71"/>
  </r>
  <r>
    <x v="0"/>
    <x v="51"/>
  </r>
  <r>
    <x v="0"/>
    <x v="40"/>
  </r>
  <r>
    <x v="0"/>
    <x v="97"/>
  </r>
  <r>
    <x v="1"/>
    <x v="98"/>
  </r>
  <r>
    <x v="1"/>
    <x v="48"/>
  </r>
  <r>
    <x v="0"/>
    <x v="99"/>
  </r>
  <r>
    <x v="0"/>
    <x v="54"/>
  </r>
  <r>
    <x v="0"/>
    <x v="100"/>
  </r>
  <r>
    <x v="0"/>
    <x v="15"/>
  </r>
  <r>
    <x v="1"/>
    <x v="8"/>
  </r>
  <r>
    <x v="0"/>
    <x v="2"/>
  </r>
  <r>
    <x v="0"/>
    <x v="101"/>
  </r>
  <r>
    <x v="0"/>
    <x v="13"/>
  </r>
  <r>
    <x v="0"/>
    <x v="102"/>
  </r>
  <r>
    <x v="1"/>
    <x v="103"/>
  </r>
  <r>
    <x v="0"/>
    <x v="16"/>
  </r>
  <r>
    <x v="0"/>
    <x v="104"/>
  </r>
  <r>
    <x v="1"/>
    <x v="94"/>
  </r>
  <r>
    <x v="0"/>
    <x v="105"/>
  </r>
  <r>
    <x v="0"/>
    <x v="22"/>
  </r>
  <r>
    <x v="0"/>
    <x v="106"/>
  </r>
  <r>
    <x v="1"/>
    <x v="107"/>
  </r>
  <r>
    <x v="0"/>
    <x v="108"/>
  </r>
  <r>
    <x v="1"/>
    <x v="37"/>
  </r>
  <r>
    <x v="0"/>
    <x v="11"/>
  </r>
  <r>
    <x v="0"/>
    <x v="37"/>
  </r>
  <r>
    <x v="0"/>
    <x v="25"/>
  </r>
  <r>
    <x v="1"/>
    <x v="16"/>
  </r>
  <r>
    <x v="0"/>
    <x v="16"/>
  </r>
  <r>
    <x v="1"/>
    <x v="13"/>
  </r>
  <r>
    <x v="0"/>
    <x v="19"/>
  </r>
  <r>
    <x v="1"/>
    <x v="26"/>
  </r>
  <r>
    <x v="1"/>
    <x v="27"/>
  </r>
  <r>
    <x v="0"/>
    <x v="28"/>
  </r>
  <r>
    <x v="0"/>
    <x v="109"/>
  </r>
  <r>
    <x v="1"/>
    <x v="28"/>
  </r>
  <r>
    <x v="1"/>
    <x v="16"/>
  </r>
  <r>
    <x v="0"/>
    <x v="59"/>
  </r>
  <r>
    <x v="0"/>
    <x v="94"/>
  </r>
  <r>
    <x v="0"/>
    <x v="110"/>
  </r>
  <r>
    <x v="0"/>
    <x v="18"/>
  </r>
  <r>
    <x v="0"/>
    <x v="4"/>
  </r>
  <r>
    <x v="1"/>
    <x v="111"/>
  </r>
  <r>
    <x v="0"/>
    <x v="62"/>
  </r>
  <r>
    <x v="0"/>
    <x v="112"/>
  </r>
  <r>
    <x v="1"/>
    <x v="28"/>
  </r>
  <r>
    <x v="0"/>
    <x v="113"/>
  </r>
  <r>
    <x v="0"/>
    <x v="79"/>
  </r>
  <r>
    <x v="1"/>
    <x v="35"/>
  </r>
  <r>
    <x v="0"/>
    <x v="0"/>
  </r>
  <r>
    <x v="0"/>
    <x v="16"/>
  </r>
  <r>
    <x v="0"/>
    <x v="28"/>
  </r>
  <r>
    <x v="1"/>
    <x v="114"/>
  </r>
  <r>
    <x v="1"/>
    <x v="2"/>
  </r>
  <r>
    <x v="0"/>
    <x v="115"/>
  </r>
  <r>
    <x v="1"/>
    <x v="116"/>
  </r>
  <r>
    <x v="0"/>
    <x v="29"/>
  </r>
  <r>
    <x v="0"/>
    <x v="4"/>
  </r>
  <r>
    <x v="0"/>
    <x v="16"/>
  </r>
  <r>
    <x v="0"/>
    <x v="4"/>
  </r>
  <r>
    <x v="0"/>
    <x v="25"/>
  </r>
  <r>
    <x v="0"/>
    <x v="117"/>
  </r>
  <r>
    <x v="0"/>
    <x v="118"/>
  </r>
  <r>
    <x v="0"/>
    <x v="29"/>
  </r>
  <r>
    <x v="0"/>
    <x v="0"/>
  </r>
  <r>
    <x v="0"/>
    <x v="16"/>
  </r>
  <r>
    <x v="1"/>
    <x v="102"/>
  </r>
  <r>
    <x v="1"/>
    <x v="47"/>
  </r>
  <r>
    <x v="0"/>
    <x v="71"/>
  </r>
  <r>
    <x v="0"/>
    <x v="119"/>
  </r>
  <r>
    <x v="1"/>
    <x v="22"/>
  </r>
  <r>
    <x v="0"/>
    <x v="29"/>
  </r>
  <r>
    <x v="1"/>
    <x v="120"/>
  </r>
  <r>
    <x v="0"/>
    <x v="19"/>
  </r>
  <r>
    <x v="1"/>
    <x v="121"/>
  </r>
  <r>
    <x v="0"/>
    <x v="29"/>
  </r>
  <r>
    <x v="0"/>
    <x v="122"/>
  </r>
  <r>
    <x v="1"/>
    <x v="53"/>
  </r>
  <r>
    <x v="1"/>
    <x v="37"/>
  </r>
  <r>
    <x v="0"/>
    <x v="29"/>
  </r>
  <r>
    <x v="0"/>
    <x v="123"/>
  </r>
  <r>
    <x v="0"/>
    <x v="18"/>
  </r>
  <r>
    <x v="0"/>
    <x v="117"/>
  </r>
  <r>
    <x v="1"/>
    <x v="71"/>
  </r>
  <r>
    <x v="1"/>
    <x v="80"/>
  </r>
  <r>
    <x v="0"/>
    <x v="124"/>
  </r>
  <r>
    <x v="0"/>
    <x v="19"/>
  </r>
  <r>
    <x v="0"/>
    <x v="0"/>
  </r>
  <r>
    <x v="1"/>
    <x v="111"/>
  </r>
  <r>
    <x v="0"/>
    <x v="11"/>
  </r>
  <r>
    <x v="0"/>
    <x v="95"/>
  </r>
  <r>
    <x v="1"/>
    <x v="125"/>
  </r>
  <r>
    <x v="1"/>
    <x v="49"/>
  </r>
  <r>
    <x v="1"/>
    <x v="84"/>
  </r>
  <r>
    <x v="1"/>
    <x v="126"/>
  </r>
  <r>
    <x v="1"/>
    <x v="127"/>
  </r>
  <r>
    <x v="1"/>
    <x v="19"/>
  </r>
  <r>
    <x v="0"/>
    <x v="28"/>
  </r>
  <r>
    <x v="0"/>
    <x v="22"/>
  </r>
  <r>
    <x v="0"/>
    <x v="128"/>
  </r>
  <r>
    <x v="0"/>
    <x v="104"/>
  </r>
  <r>
    <x v="1"/>
    <x v="28"/>
  </r>
  <r>
    <x v="0"/>
    <x v="29"/>
  </r>
  <r>
    <x v="0"/>
    <x v="40"/>
  </r>
  <r>
    <x v="0"/>
    <x v="71"/>
  </r>
  <r>
    <x v="1"/>
    <x v="129"/>
  </r>
  <r>
    <x v="1"/>
    <x v="130"/>
  </r>
  <r>
    <x v="0"/>
    <x v="113"/>
  </r>
  <r>
    <x v="0"/>
    <x v="104"/>
  </r>
  <r>
    <x v="1"/>
    <x v="131"/>
  </r>
  <r>
    <x v="0"/>
    <x v="132"/>
  </r>
  <r>
    <x v="1"/>
    <x v="28"/>
  </r>
  <r>
    <x v="1"/>
    <x v="133"/>
  </r>
  <r>
    <x v="1"/>
    <x v="28"/>
  </r>
  <r>
    <x v="0"/>
    <x v="104"/>
  </r>
  <r>
    <x v="0"/>
    <x v="15"/>
  </r>
  <r>
    <x v="1"/>
    <x v="134"/>
  </r>
  <r>
    <x v="0"/>
    <x v="28"/>
  </r>
  <r>
    <x v="0"/>
    <x v="13"/>
  </r>
  <r>
    <x v="0"/>
    <x v="59"/>
  </r>
  <r>
    <x v="0"/>
    <x v="4"/>
  </r>
  <r>
    <x v="0"/>
    <x v="19"/>
  </r>
  <r>
    <x v="0"/>
    <x v="51"/>
  </r>
  <r>
    <x v="0"/>
    <x v="59"/>
  </r>
  <r>
    <x v="0"/>
    <x v="25"/>
  </r>
  <r>
    <x v="0"/>
    <x v="16"/>
  </r>
  <r>
    <x v="1"/>
    <x v="28"/>
  </r>
  <r>
    <x v="1"/>
    <x v="135"/>
  </r>
  <r>
    <x v="1"/>
    <x v="136"/>
  </r>
  <r>
    <x v="0"/>
    <x v="137"/>
  </r>
  <r>
    <x v="1"/>
    <x v="138"/>
  </r>
  <r>
    <x v="0"/>
    <x v="25"/>
  </r>
  <r>
    <x v="0"/>
    <x v="26"/>
  </r>
  <r>
    <x v="0"/>
    <x v="32"/>
  </r>
  <r>
    <x v="1"/>
    <x v="139"/>
  </r>
  <r>
    <x v="0"/>
    <x v="140"/>
  </r>
  <r>
    <x v="1"/>
    <x v="75"/>
  </r>
  <r>
    <x v="1"/>
    <x v="28"/>
  </r>
  <r>
    <x v="0"/>
    <x v="141"/>
  </r>
  <r>
    <x v="0"/>
    <x v="104"/>
  </r>
  <r>
    <x v="1"/>
    <x v="142"/>
  </r>
  <r>
    <x v="0"/>
    <x v="4"/>
  </r>
  <r>
    <x v="0"/>
    <x v="139"/>
  </r>
  <r>
    <x v="1"/>
    <x v="143"/>
  </r>
  <r>
    <x v="1"/>
    <x v="144"/>
  </r>
  <r>
    <x v="0"/>
    <x v="145"/>
  </r>
  <r>
    <x v="1"/>
    <x v="146"/>
  </r>
  <r>
    <x v="1"/>
    <x v="147"/>
  </r>
  <r>
    <x v="1"/>
    <x v="148"/>
  </r>
  <r>
    <x v="1"/>
    <x v="19"/>
  </r>
  <r>
    <x v="0"/>
    <x v="25"/>
  </r>
  <r>
    <x v="0"/>
    <x v="121"/>
  </r>
  <r>
    <x v="1"/>
    <x v="13"/>
  </r>
  <r>
    <x v="1"/>
    <x v="19"/>
  </r>
  <r>
    <x v="0"/>
    <x v="149"/>
  </r>
  <r>
    <x v="1"/>
    <x v="150"/>
  </r>
  <r>
    <x v="1"/>
    <x v="151"/>
  </r>
  <r>
    <x v="0"/>
    <x v="0"/>
  </r>
  <r>
    <x v="0"/>
    <x v="25"/>
  </r>
  <r>
    <x v="1"/>
    <x v="142"/>
  </r>
  <r>
    <x v="1"/>
    <x v="56"/>
  </r>
  <r>
    <x v="0"/>
    <x v="94"/>
  </r>
  <r>
    <x v="1"/>
    <x v="130"/>
  </r>
  <r>
    <x v="0"/>
    <x v="152"/>
  </r>
  <r>
    <x v="1"/>
    <x v="16"/>
  </r>
  <r>
    <x v="1"/>
    <x v="97"/>
  </r>
  <r>
    <x v="1"/>
    <x v="153"/>
  </r>
  <r>
    <x v="1"/>
    <x v="141"/>
  </r>
  <r>
    <x v="0"/>
    <x v="154"/>
  </r>
  <r>
    <x v="0"/>
    <x v="129"/>
  </r>
  <r>
    <x v="0"/>
    <x v="17"/>
  </r>
  <r>
    <x v="1"/>
    <x v="155"/>
  </r>
  <r>
    <x v="0"/>
    <x v="25"/>
  </r>
  <r>
    <x v="0"/>
    <x v="90"/>
  </r>
  <r>
    <x v="1"/>
    <x v="151"/>
  </r>
  <r>
    <x v="0"/>
    <x v="4"/>
  </r>
  <r>
    <x v="0"/>
    <x v="21"/>
  </r>
  <r>
    <x v="0"/>
    <x v="19"/>
  </r>
  <r>
    <x v="1"/>
    <x v="23"/>
  </r>
  <r>
    <x v="0"/>
    <x v="16"/>
  </r>
  <r>
    <x v="0"/>
    <x v="16"/>
  </r>
  <r>
    <x v="0"/>
    <x v="16"/>
  </r>
  <r>
    <x v="1"/>
    <x v="16"/>
  </r>
  <r>
    <x v="1"/>
    <x v="16"/>
  </r>
  <r>
    <x v="1"/>
    <x v="95"/>
  </r>
  <r>
    <x v="0"/>
    <x v="156"/>
  </r>
  <r>
    <x v="0"/>
    <x v="51"/>
  </r>
  <r>
    <x v="0"/>
    <x v="157"/>
  </r>
  <r>
    <x v="0"/>
    <x v="158"/>
  </r>
  <r>
    <x v="0"/>
    <x v="32"/>
  </r>
  <r>
    <x v="0"/>
    <x v="39"/>
  </r>
  <r>
    <x v="0"/>
    <x v="18"/>
  </r>
  <r>
    <x v="0"/>
    <x v="59"/>
  </r>
  <r>
    <x v="1"/>
    <x v="98"/>
  </r>
  <r>
    <x v="1"/>
    <x v="16"/>
  </r>
  <r>
    <x v="1"/>
    <x v="24"/>
  </r>
  <r>
    <x v="1"/>
    <x v="24"/>
  </r>
  <r>
    <x v="0"/>
    <x v="48"/>
  </r>
  <r>
    <x v="0"/>
    <x v="26"/>
  </r>
  <r>
    <x v="1"/>
    <x v="53"/>
  </r>
  <r>
    <x v="0"/>
    <x v="79"/>
  </r>
  <r>
    <x v="0"/>
    <x v="37"/>
  </r>
  <r>
    <x v="0"/>
    <x v="0"/>
  </r>
  <r>
    <x v="1"/>
    <x v="159"/>
  </r>
  <r>
    <x v="1"/>
    <x v="32"/>
  </r>
  <r>
    <x v="1"/>
    <x v="28"/>
  </r>
  <r>
    <x v="1"/>
    <x v="160"/>
  </r>
  <r>
    <x v="0"/>
    <x v="161"/>
  </r>
  <r>
    <x v="0"/>
    <x v="110"/>
  </r>
  <r>
    <x v="0"/>
    <x v="4"/>
  </r>
  <r>
    <x v="0"/>
    <x v="130"/>
  </r>
  <r>
    <x v="1"/>
    <x v="7"/>
  </r>
  <r>
    <x v="1"/>
    <x v="30"/>
  </r>
  <r>
    <x v="1"/>
    <x v="0"/>
  </r>
  <r>
    <x v="0"/>
    <x v="162"/>
  </r>
  <r>
    <x v="0"/>
    <x v="163"/>
  </r>
  <r>
    <x v="0"/>
    <x v="71"/>
  </r>
  <r>
    <x v="1"/>
    <x v="164"/>
  </r>
  <r>
    <x v="1"/>
    <x v="165"/>
  </r>
  <r>
    <x v="0"/>
    <x v="2"/>
  </r>
  <r>
    <x v="1"/>
    <x v="31"/>
  </r>
  <r>
    <x v="0"/>
    <x v="25"/>
  </r>
  <r>
    <x v="0"/>
    <x v="52"/>
  </r>
  <r>
    <x v="0"/>
    <x v="45"/>
  </r>
  <r>
    <x v="1"/>
    <x v="16"/>
  </r>
  <r>
    <x v="0"/>
    <x v="166"/>
  </r>
  <r>
    <x v="1"/>
    <x v="167"/>
  </r>
  <r>
    <x v="0"/>
    <x v="168"/>
  </r>
  <r>
    <x v="0"/>
    <x v="88"/>
  </r>
  <r>
    <x v="0"/>
    <x v="2"/>
  </r>
  <r>
    <x v="1"/>
    <x v="114"/>
  </r>
  <r>
    <x v="1"/>
    <x v="10"/>
  </r>
  <r>
    <x v="0"/>
    <x v="88"/>
  </r>
  <r>
    <x v="1"/>
    <x v="13"/>
  </r>
  <r>
    <x v="0"/>
    <x v="19"/>
  </r>
  <r>
    <x v="0"/>
    <x v="29"/>
  </r>
  <r>
    <x v="1"/>
    <x v="169"/>
  </r>
  <r>
    <x v="0"/>
    <x v="2"/>
  </r>
  <r>
    <x v="0"/>
    <x v="4"/>
  </r>
  <r>
    <x v="1"/>
    <x v="73"/>
  </r>
  <r>
    <x v="0"/>
    <x v="62"/>
  </r>
  <r>
    <x v="1"/>
    <x v="51"/>
  </r>
  <r>
    <x v="0"/>
    <x v="35"/>
  </r>
  <r>
    <x v="0"/>
    <x v="28"/>
  </r>
  <r>
    <x v="0"/>
    <x v="170"/>
  </r>
  <r>
    <x v="0"/>
    <x v="71"/>
  </r>
  <r>
    <x v="1"/>
    <x v="102"/>
  </r>
  <r>
    <x v="0"/>
    <x v="25"/>
  </r>
  <r>
    <x v="0"/>
    <x v="171"/>
  </r>
  <r>
    <x v="1"/>
    <x v="117"/>
  </r>
  <r>
    <x v="0"/>
    <x v="104"/>
  </r>
  <r>
    <x v="0"/>
    <x v="2"/>
  </r>
  <r>
    <x v="1"/>
    <x v="4"/>
  </r>
  <r>
    <x v="1"/>
    <x v="172"/>
  </r>
  <r>
    <x v="1"/>
    <x v="16"/>
  </r>
  <r>
    <x v="0"/>
    <x v="16"/>
  </r>
  <r>
    <x v="1"/>
    <x v="72"/>
  </r>
  <r>
    <x v="0"/>
    <x v="25"/>
  </r>
  <r>
    <x v="0"/>
    <x v="93"/>
  </r>
  <r>
    <x v="0"/>
    <x v="173"/>
  </r>
  <r>
    <x v="1"/>
    <x v="174"/>
  </r>
  <r>
    <x v="0"/>
    <x v="125"/>
  </r>
  <r>
    <x v="0"/>
    <x v="0"/>
  </r>
  <r>
    <x v="1"/>
    <x v="19"/>
  </r>
  <r>
    <x v="1"/>
    <x v="19"/>
  </r>
  <r>
    <x v="0"/>
    <x v="28"/>
  </r>
  <r>
    <x v="0"/>
    <x v="4"/>
  </r>
  <r>
    <x v="0"/>
    <x v="11"/>
  </r>
  <r>
    <x v="1"/>
    <x v="95"/>
  </r>
  <r>
    <x v="1"/>
    <x v="19"/>
  </r>
  <r>
    <x v="0"/>
    <x v="123"/>
  </r>
  <r>
    <x v="0"/>
    <x v="175"/>
  </r>
  <r>
    <x v="1"/>
    <x v="168"/>
  </r>
  <r>
    <x v="1"/>
    <x v="63"/>
  </r>
  <r>
    <x v="1"/>
    <x v="170"/>
  </r>
  <r>
    <x v="0"/>
    <x v="23"/>
  </r>
  <r>
    <x v="0"/>
    <x v="29"/>
  </r>
  <r>
    <x v="1"/>
    <x v="121"/>
  </r>
  <r>
    <x v="0"/>
    <x v="59"/>
  </r>
  <r>
    <x v="0"/>
    <x v="71"/>
  </r>
  <r>
    <x v="1"/>
    <x v="16"/>
  </r>
  <r>
    <x v="0"/>
    <x v="176"/>
  </r>
  <r>
    <x v="0"/>
    <x v="177"/>
  </r>
  <r>
    <x v="1"/>
    <x v="131"/>
  </r>
  <r>
    <x v="0"/>
    <x v="11"/>
  </r>
  <r>
    <x v="1"/>
    <x v="178"/>
  </r>
  <r>
    <x v="0"/>
    <x v="140"/>
  </r>
  <r>
    <x v="0"/>
    <x v="44"/>
  </r>
  <r>
    <x v="0"/>
    <x v="179"/>
  </r>
  <r>
    <x v="0"/>
    <x v="44"/>
  </r>
  <r>
    <x v="0"/>
    <x v="180"/>
  </r>
  <r>
    <x v="0"/>
    <x v="4"/>
  </r>
  <r>
    <x v="0"/>
    <x v="25"/>
  </r>
  <r>
    <x v="0"/>
    <x v="11"/>
  </r>
  <r>
    <x v="1"/>
    <x v="6"/>
  </r>
  <r>
    <x v="1"/>
    <x v="29"/>
  </r>
  <r>
    <x v="0"/>
    <x v="28"/>
  </r>
  <r>
    <x v="0"/>
    <x v="11"/>
  </r>
  <r>
    <x v="0"/>
    <x v="4"/>
  </r>
  <r>
    <x v="0"/>
    <x v="181"/>
  </r>
  <r>
    <x v="0"/>
    <x v="16"/>
  </r>
  <r>
    <x v="0"/>
    <x v="4"/>
  </r>
  <r>
    <x v="0"/>
    <x v="79"/>
  </r>
  <r>
    <x v="0"/>
    <x v="104"/>
  </r>
  <r>
    <x v="0"/>
    <x v="11"/>
  </r>
  <r>
    <x v="0"/>
    <x v="182"/>
  </r>
  <r>
    <x v="1"/>
    <x v="178"/>
  </r>
  <r>
    <x v="0"/>
    <x v="0"/>
  </r>
  <r>
    <x v="0"/>
    <x v="51"/>
  </r>
  <r>
    <x v="1"/>
    <x v="44"/>
  </r>
  <r>
    <x v="1"/>
    <x v="183"/>
  </r>
  <r>
    <x v="1"/>
    <x v="184"/>
  </r>
  <r>
    <x v="0"/>
    <x v="31"/>
  </r>
  <r>
    <x v="0"/>
    <x v="35"/>
  </r>
  <r>
    <x v="0"/>
    <x v="185"/>
  </r>
  <r>
    <x v="0"/>
    <x v="186"/>
  </r>
  <r>
    <x v="1"/>
    <x v="187"/>
  </r>
  <r>
    <x v="0"/>
    <x v="45"/>
  </r>
  <r>
    <x v="0"/>
    <x v="104"/>
  </r>
  <r>
    <x v="0"/>
    <x v="4"/>
  </r>
  <r>
    <x v="1"/>
    <x v="188"/>
  </r>
  <r>
    <x v="0"/>
    <x v="136"/>
  </r>
  <r>
    <x v="1"/>
    <x v="102"/>
  </r>
  <r>
    <x v="1"/>
    <x v="117"/>
  </r>
  <r>
    <x v="0"/>
    <x v="132"/>
  </r>
  <r>
    <x v="0"/>
    <x v="4"/>
  </r>
  <r>
    <x v="0"/>
    <x v="156"/>
  </r>
  <r>
    <x v="0"/>
    <x v="179"/>
  </r>
  <r>
    <x v="0"/>
    <x v="0"/>
  </r>
  <r>
    <x v="0"/>
    <x v="140"/>
  </r>
  <r>
    <x v="0"/>
    <x v="189"/>
  </r>
  <r>
    <x v="0"/>
    <x v="4"/>
  </r>
  <r>
    <x v="0"/>
    <x v="74"/>
  </r>
  <r>
    <x v="1"/>
    <x v="190"/>
  </r>
  <r>
    <x v="0"/>
    <x v="191"/>
  </r>
  <r>
    <x v="1"/>
    <x v="139"/>
  </r>
  <r>
    <x v="0"/>
    <x v="88"/>
  </r>
  <r>
    <x v="0"/>
    <x v="51"/>
  </r>
  <r>
    <x v="1"/>
    <x v="28"/>
  </r>
  <r>
    <x v="1"/>
    <x v="192"/>
  </r>
  <r>
    <x v="1"/>
    <x v="188"/>
  </r>
  <r>
    <x v="1"/>
    <x v="126"/>
  </r>
  <r>
    <x v="0"/>
    <x v="144"/>
  </r>
  <r>
    <x v="1"/>
    <x v="19"/>
  </r>
  <r>
    <x v="0"/>
    <x v="11"/>
  </r>
  <r>
    <x v="0"/>
    <x v="193"/>
  </r>
  <r>
    <x v="0"/>
    <x v="54"/>
  </r>
  <r>
    <x v="0"/>
    <x v="28"/>
  </r>
  <r>
    <x v="0"/>
    <x v="4"/>
  </r>
  <r>
    <x v="0"/>
    <x v="194"/>
  </r>
  <r>
    <x v="1"/>
    <x v="195"/>
  </r>
  <r>
    <x v="0"/>
    <x v="196"/>
  </r>
  <r>
    <x v="0"/>
    <x v="197"/>
  </r>
  <r>
    <x v="1"/>
    <x v="29"/>
  </r>
  <r>
    <x v="0"/>
    <x v="72"/>
  </r>
  <r>
    <x v="1"/>
    <x v="19"/>
  </r>
  <r>
    <x v="0"/>
    <x v="25"/>
  </r>
  <r>
    <x v="1"/>
    <x v="198"/>
  </r>
  <r>
    <x v="0"/>
    <x v="25"/>
  </r>
  <r>
    <x v="0"/>
    <x v="18"/>
  </r>
  <r>
    <x v="1"/>
    <x v="153"/>
  </r>
  <r>
    <x v="0"/>
    <x v="32"/>
  </r>
  <r>
    <x v="0"/>
    <x v="28"/>
  </r>
  <r>
    <x v="1"/>
    <x v="29"/>
  </r>
  <r>
    <x v="0"/>
    <x v="199"/>
  </r>
  <r>
    <x v="0"/>
    <x v="2"/>
  </r>
  <r>
    <x v="0"/>
    <x v="86"/>
  </r>
  <r>
    <x v="1"/>
    <x v="19"/>
  </r>
  <r>
    <x v="0"/>
    <x v="32"/>
  </r>
  <r>
    <x v="0"/>
    <x v="32"/>
  </r>
  <r>
    <x v="1"/>
    <x v="77"/>
  </r>
  <r>
    <x v="1"/>
    <x v="51"/>
  </r>
  <r>
    <x v="1"/>
    <x v="121"/>
  </r>
  <r>
    <x v="0"/>
    <x v="11"/>
  </r>
  <r>
    <x v="1"/>
    <x v="200"/>
  </r>
  <r>
    <x v="0"/>
    <x v="80"/>
  </r>
  <r>
    <x v="1"/>
    <x v="201"/>
  </r>
  <r>
    <x v="1"/>
    <x v="202"/>
  </r>
  <r>
    <x v="1"/>
    <x v="12"/>
  </r>
  <r>
    <x v="1"/>
    <x v="12"/>
  </r>
  <r>
    <x v="0"/>
    <x v="19"/>
  </r>
  <r>
    <x v="0"/>
    <x v="200"/>
  </r>
  <r>
    <x v="0"/>
    <x v="19"/>
  </r>
  <r>
    <x v="1"/>
    <x v="19"/>
  </r>
  <r>
    <x v="0"/>
    <x v="203"/>
  </r>
  <r>
    <x v="0"/>
    <x v="97"/>
  </r>
  <r>
    <x v="0"/>
    <x v="87"/>
  </r>
  <r>
    <x v="0"/>
    <x v="143"/>
  </r>
  <r>
    <x v="0"/>
    <x v="19"/>
  </r>
  <r>
    <x v="0"/>
    <x v="204"/>
  </r>
  <r>
    <x v="0"/>
    <x v="18"/>
  </r>
  <r>
    <x v="1"/>
    <x v="71"/>
  </r>
  <r>
    <x v="0"/>
    <x v="11"/>
  </r>
  <r>
    <x v="1"/>
    <x v="205"/>
  </r>
  <r>
    <x v="0"/>
    <x v="164"/>
  </r>
  <r>
    <x v="1"/>
    <x v="128"/>
  </r>
  <r>
    <x v="1"/>
    <x v="206"/>
  </r>
  <r>
    <x v="0"/>
    <x v="28"/>
  </r>
  <r>
    <x v="0"/>
    <x v="25"/>
  </r>
  <r>
    <x v="0"/>
    <x v="119"/>
  </r>
  <r>
    <x v="0"/>
    <x v="4"/>
  </r>
  <r>
    <x v="1"/>
    <x v="4"/>
  </r>
  <r>
    <x v="0"/>
    <x v="72"/>
  </r>
  <r>
    <x v="0"/>
    <x v="25"/>
  </r>
  <r>
    <x v="1"/>
    <x v="7"/>
  </r>
  <r>
    <x v="0"/>
    <x v="32"/>
  </r>
  <r>
    <x v="0"/>
    <x v="13"/>
  </r>
  <r>
    <x v="0"/>
    <x v="29"/>
  </r>
  <r>
    <x v="1"/>
    <x v="207"/>
  </r>
  <r>
    <x v="0"/>
    <x v="208"/>
  </r>
  <r>
    <x v="1"/>
    <x v="28"/>
  </r>
  <r>
    <x v="0"/>
    <x v="4"/>
  </r>
  <r>
    <x v="0"/>
    <x v="80"/>
  </r>
  <r>
    <x v="1"/>
    <x v="16"/>
  </r>
  <r>
    <x v="1"/>
    <x v="175"/>
  </r>
  <r>
    <x v="1"/>
    <x v="74"/>
  </r>
  <r>
    <x v="0"/>
    <x v="2"/>
  </r>
  <r>
    <x v="1"/>
    <x v="209"/>
  </r>
  <r>
    <x v="1"/>
    <x v="143"/>
  </r>
  <r>
    <x v="0"/>
    <x v="19"/>
  </r>
  <r>
    <x v="0"/>
    <x v="210"/>
  </r>
  <r>
    <x v="0"/>
    <x v="211"/>
  </r>
  <r>
    <x v="1"/>
    <x v="128"/>
  </r>
  <r>
    <x v="0"/>
    <x v="212"/>
  </r>
  <r>
    <x v="0"/>
    <x v="84"/>
  </r>
  <r>
    <x v="0"/>
    <x v="4"/>
  </r>
  <r>
    <x v="0"/>
    <x v="4"/>
  </r>
  <r>
    <x v="0"/>
    <x v="123"/>
  </r>
  <r>
    <x v="1"/>
    <x v="190"/>
  </r>
  <r>
    <x v="0"/>
    <x v="0"/>
  </r>
  <r>
    <x v="1"/>
    <x v="28"/>
  </r>
  <r>
    <x v="0"/>
    <x v="19"/>
  </r>
  <r>
    <x v="0"/>
    <x v="72"/>
  </r>
  <r>
    <x v="1"/>
    <x v="213"/>
  </r>
  <r>
    <x v="0"/>
    <x v="104"/>
  </r>
  <r>
    <x v="0"/>
    <x v="18"/>
  </r>
  <r>
    <x v="0"/>
    <x v="146"/>
  </r>
  <r>
    <x v="1"/>
    <x v="115"/>
  </r>
  <r>
    <x v="0"/>
    <x v="25"/>
  </r>
  <r>
    <x v="0"/>
    <x v="214"/>
  </r>
  <r>
    <x v="0"/>
    <x v="4"/>
  </r>
  <r>
    <x v="0"/>
    <x v="11"/>
  </r>
  <r>
    <x v="0"/>
    <x v="215"/>
  </r>
  <r>
    <x v="0"/>
    <x v="25"/>
  </r>
  <r>
    <x v="0"/>
    <x v="140"/>
  </r>
  <r>
    <x v="1"/>
    <x v="36"/>
  </r>
  <r>
    <x v="1"/>
    <x v="129"/>
  </r>
  <r>
    <x v="1"/>
    <x v="12"/>
  </r>
  <r>
    <x v="0"/>
    <x v="79"/>
  </r>
  <r>
    <x v="1"/>
    <x v="37"/>
  </r>
  <r>
    <x v="0"/>
    <x v="28"/>
  </r>
  <r>
    <x v="0"/>
    <x v="4"/>
  </r>
  <r>
    <x v="1"/>
    <x v="216"/>
  </r>
  <r>
    <x v="0"/>
    <x v="174"/>
  </r>
  <r>
    <x v="1"/>
    <x v="95"/>
  </r>
  <r>
    <x v="1"/>
    <x v="106"/>
  </r>
  <r>
    <x v="0"/>
    <x v="29"/>
  </r>
  <r>
    <x v="0"/>
    <x v="53"/>
  </r>
  <r>
    <x v="0"/>
    <x v="124"/>
  </r>
  <r>
    <x v="0"/>
    <x v="165"/>
  </r>
  <r>
    <x v="0"/>
    <x v="13"/>
  </r>
  <r>
    <x v="0"/>
    <x v="95"/>
  </r>
  <r>
    <x v="0"/>
    <x v="217"/>
  </r>
  <r>
    <x v="0"/>
    <x v="142"/>
  </r>
  <r>
    <x v="1"/>
    <x v="133"/>
  </r>
  <r>
    <x v="0"/>
    <x v="25"/>
  </r>
  <r>
    <x v="0"/>
    <x v="93"/>
  </r>
  <r>
    <x v="0"/>
    <x v="209"/>
  </r>
  <r>
    <x v="0"/>
    <x v="218"/>
  </r>
  <r>
    <x v="0"/>
    <x v="140"/>
  </r>
  <r>
    <x v="0"/>
    <x v="104"/>
  </r>
  <r>
    <x v="1"/>
    <x v="48"/>
  </r>
  <r>
    <x v="1"/>
    <x v="16"/>
  </r>
  <r>
    <x v="0"/>
    <x v="2"/>
  </r>
  <r>
    <x v="0"/>
    <x v="121"/>
  </r>
  <r>
    <x v="1"/>
    <x v="40"/>
  </r>
  <r>
    <x v="0"/>
    <x v="95"/>
  </r>
  <r>
    <x v="0"/>
    <x v="13"/>
  </r>
  <r>
    <x v="1"/>
    <x v="160"/>
  </r>
  <r>
    <x v="1"/>
    <x v="48"/>
  </r>
  <r>
    <x v="0"/>
    <x v="54"/>
  </r>
  <r>
    <x v="1"/>
    <x v="178"/>
  </r>
  <r>
    <x v="0"/>
    <x v="42"/>
  </r>
  <r>
    <x v="0"/>
    <x v="25"/>
  </r>
  <r>
    <x v="0"/>
    <x v="21"/>
  </r>
  <r>
    <x v="0"/>
    <x v="120"/>
  </r>
  <r>
    <x v="1"/>
    <x v="120"/>
  </r>
  <r>
    <x v="0"/>
    <x v="25"/>
  </r>
  <r>
    <x v="1"/>
    <x v="68"/>
  </r>
  <r>
    <x v="0"/>
    <x v="219"/>
  </r>
  <r>
    <x v="1"/>
    <x v="204"/>
  </r>
  <r>
    <x v="1"/>
    <x v="85"/>
  </r>
  <r>
    <x v="0"/>
    <x v="52"/>
  </r>
  <r>
    <x v="0"/>
    <x v="25"/>
  </r>
  <r>
    <x v="1"/>
    <x v="37"/>
  </r>
  <r>
    <x v="0"/>
    <x v="16"/>
  </r>
  <r>
    <x v="0"/>
    <x v="114"/>
  </r>
  <r>
    <x v="0"/>
    <x v="155"/>
  </r>
  <r>
    <x v="0"/>
    <x v="18"/>
  </r>
  <r>
    <x v="0"/>
    <x v="220"/>
  </r>
  <r>
    <x v="0"/>
    <x v="196"/>
  </r>
  <r>
    <x v="0"/>
    <x v="2"/>
  </r>
  <r>
    <x v="0"/>
    <x v="52"/>
  </r>
  <r>
    <x v="0"/>
    <x v="16"/>
  </r>
  <r>
    <x v="0"/>
    <x v="71"/>
  </r>
  <r>
    <x v="0"/>
    <x v="4"/>
  </r>
  <r>
    <x v="1"/>
    <x v="31"/>
  </r>
  <r>
    <x v="1"/>
    <x v="106"/>
  </r>
  <r>
    <x v="0"/>
    <x v="31"/>
  </r>
  <r>
    <x v="0"/>
    <x v="29"/>
  </r>
  <r>
    <x v="0"/>
    <x v="16"/>
  </r>
  <r>
    <x v="0"/>
    <x v="104"/>
  </r>
  <r>
    <x v="0"/>
    <x v="71"/>
  </r>
  <r>
    <x v="0"/>
    <x v="4"/>
  </r>
  <r>
    <x v="1"/>
    <x v="221"/>
  </r>
  <r>
    <x v="1"/>
    <x v="45"/>
  </r>
  <r>
    <x v="0"/>
    <x v="127"/>
  </r>
  <r>
    <x v="1"/>
    <x v="222"/>
  </r>
  <r>
    <x v="0"/>
    <x v="42"/>
  </r>
  <r>
    <x v="0"/>
    <x v="157"/>
  </r>
  <r>
    <x v="0"/>
    <x v="45"/>
  </r>
  <r>
    <x v="0"/>
    <x v="106"/>
  </r>
  <r>
    <x v="0"/>
    <x v="36"/>
  </r>
  <r>
    <x v="0"/>
    <x v="40"/>
  </r>
  <r>
    <x v="0"/>
    <x v="223"/>
  </r>
  <r>
    <x v="0"/>
    <x v="88"/>
  </r>
  <r>
    <x v="1"/>
    <x v="224"/>
  </r>
  <r>
    <x v="0"/>
    <x v="225"/>
  </r>
  <r>
    <x v="1"/>
    <x v="226"/>
  </r>
  <r>
    <x v="0"/>
    <x v="54"/>
  </r>
  <r>
    <x v="0"/>
    <x v="18"/>
  </r>
  <r>
    <x v="0"/>
    <x v="11"/>
  </r>
  <r>
    <x v="0"/>
    <x v="119"/>
  </r>
  <r>
    <x v="0"/>
    <x v="4"/>
  </r>
  <r>
    <x v="1"/>
    <x v="93"/>
  </r>
  <r>
    <x v="0"/>
    <x v="143"/>
  </r>
  <r>
    <x v="0"/>
    <x v="55"/>
  </r>
  <r>
    <x v="1"/>
    <x v="164"/>
  </r>
  <r>
    <x v="0"/>
    <x v="194"/>
  </r>
  <r>
    <x v="1"/>
    <x v="53"/>
  </r>
  <r>
    <x v="0"/>
    <x v="227"/>
  </r>
  <r>
    <x v="0"/>
    <x v="13"/>
  </r>
  <r>
    <x v="0"/>
    <x v="19"/>
  </r>
  <r>
    <x v="1"/>
    <x v="119"/>
  </r>
  <r>
    <x v="0"/>
    <x v="194"/>
  </r>
  <r>
    <x v="1"/>
    <x v="139"/>
  </r>
  <r>
    <x v="0"/>
    <x v="49"/>
  </r>
  <r>
    <x v="1"/>
    <x v="189"/>
  </r>
  <r>
    <x v="0"/>
    <x v="11"/>
  </r>
  <r>
    <x v="0"/>
    <x v="31"/>
  </r>
  <r>
    <x v="0"/>
    <x v="228"/>
  </r>
  <r>
    <x v="0"/>
    <x v="16"/>
  </r>
  <r>
    <x v="0"/>
    <x v="55"/>
  </r>
  <r>
    <x v="1"/>
    <x v="164"/>
  </r>
  <r>
    <x v="1"/>
    <x v="29"/>
  </r>
  <r>
    <x v="0"/>
    <x v="37"/>
  </r>
  <r>
    <x v="0"/>
    <x v="71"/>
  </r>
  <r>
    <x v="1"/>
    <x v="213"/>
  </r>
  <r>
    <x v="0"/>
    <x v="218"/>
  </r>
  <r>
    <x v="0"/>
    <x v="16"/>
  </r>
  <r>
    <x v="0"/>
    <x v="16"/>
  </r>
  <r>
    <x v="0"/>
    <x v="3"/>
  </r>
  <r>
    <x v="0"/>
    <x v="51"/>
  </r>
  <r>
    <x v="1"/>
    <x v="35"/>
  </r>
  <r>
    <x v="1"/>
    <x v="229"/>
  </r>
  <r>
    <x v="0"/>
    <x v="19"/>
  </r>
  <r>
    <x v="1"/>
    <x v="2"/>
  </r>
  <r>
    <x v="1"/>
    <x v="224"/>
  </r>
  <r>
    <x v="0"/>
    <x v="112"/>
  </r>
  <r>
    <x v="0"/>
    <x v="104"/>
  </r>
  <r>
    <x v="0"/>
    <x v="16"/>
  </r>
  <r>
    <x v="0"/>
    <x v="16"/>
  </r>
  <r>
    <x v="0"/>
    <x v="95"/>
  </r>
  <r>
    <x v="1"/>
    <x v="63"/>
  </r>
  <r>
    <x v="0"/>
    <x v="127"/>
  </r>
  <r>
    <x v="0"/>
    <x v="25"/>
  </r>
  <r>
    <x v="0"/>
    <x v="25"/>
  </r>
  <r>
    <x v="0"/>
    <x v="209"/>
  </r>
  <r>
    <x v="0"/>
    <x v="135"/>
  </r>
  <r>
    <x v="1"/>
    <x v="148"/>
  </r>
  <r>
    <x v="0"/>
    <x v="95"/>
  </r>
  <r>
    <x v="0"/>
    <x v="2"/>
  </r>
  <r>
    <x v="0"/>
    <x v="202"/>
  </r>
  <r>
    <x v="0"/>
    <x v="134"/>
  </r>
  <r>
    <x v="1"/>
    <x v="16"/>
  </r>
  <r>
    <x v="0"/>
    <x v="3"/>
  </r>
  <r>
    <x v="0"/>
    <x v="28"/>
  </r>
  <r>
    <x v="1"/>
    <x v="68"/>
  </r>
  <r>
    <x v="0"/>
    <x v="57"/>
  </r>
  <r>
    <x v="0"/>
    <x v="59"/>
  </r>
  <r>
    <x v="0"/>
    <x v="25"/>
  </r>
  <r>
    <x v="1"/>
    <x v="216"/>
  </r>
  <r>
    <x v="0"/>
    <x v="80"/>
  </r>
  <r>
    <x v="0"/>
    <x v="88"/>
  </r>
  <r>
    <x v="0"/>
    <x v="86"/>
  </r>
  <r>
    <x v="0"/>
    <x v="4"/>
  </r>
  <r>
    <x v="1"/>
    <x v="126"/>
  </r>
  <r>
    <x v="0"/>
    <x v="80"/>
  </r>
  <r>
    <x v="0"/>
    <x v="123"/>
  </r>
  <r>
    <x v="0"/>
    <x v="32"/>
  </r>
  <r>
    <x v="1"/>
    <x v="168"/>
  </r>
  <r>
    <x v="0"/>
    <x v="71"/>
  </r>
  <r>
    <x v="1"/>
    <x v="133"/>
  </r>
  <r>
    <x v="0"/>
    <x v="205"/>
  </r>
  <r>
    <x v="1"/>
    <x v="28"/>
  </r>
  <r>
    <x v="0"/>
    <x v="72"/>
  </r>
  <r>
    <x v="0"/>
    <x v="230"/>
  </r>
  <r>
    <x v="0"/>
    <x v="59"/>
  </r>
  <r>
    <x v="0"/>
    <x v="13"/>
  </r>
  <r>
    <x v="1"/>
    <x v="29"/>
  </r>
  <r>
    <x v="0"/>
    <x v="18"/>
  </r>
  <r>
    <x v="1"/>
    <x v="68"/>
  </r>
  <r>
    <x v="0"/>
    <x v="28"/>
  </r>
  <r>
    <x v="0"/>
    <x v="28"/>
  </r>
  <r>
    <x v="1"/>
    <x v="57"/>
  </r>
  <r>
    <x v="0"/>
    <x v="229"/>
  </r>
  <r>
    <x v="1"/>
    <x v="224"/>
  </r>
  <r>
    <x v="1"/>
    <x v="32"/>
  </r>
  <r>
    <x v="1"/>
    <x v="225"/>
  </r>
  <r>
    <x v="0"/>
    <x v="209"/>
  </r>
  <r>
    <x v="0"/>
    <x v="231"/>
  </r>
  <r>
    <x v="0"/>
    <x v="79"/>
  </r>
  <r>
    <x v="0"/>
    <x v="0"/>
  </r>
  <r>
    <x v="1"/>
    <x v="196"/>
  </r>
  <r>
    <x v="0"/>
    <x v="15"/>
  </r>
  <r>
    <x v="0"/>
    <x v="65"/>
  </r>
  <r>
    <x v="0"/>
    <x v="84"/>
  </r>
  <r>
    <x v="0"/>
    <x v="28"/>
  </r>
  <r>
    <x v="0"/>
    <x v="19"/>
  </r>
  <r>
    <x v="1"/>
    <x v="94"/>
  </r>
  <r>
    <x v="0"/>
    <x v="101"/>
  </r>
  <r>
    <x v="0"/>
    <x v="25"/>
  </r>
  <r>
    <x v="0"/>
    <x v="16"/>
  </r>
  <r>
    <x v="1"/>
    <x v="232"/>
  </r>
  <r>
    <x v="1"/>
    <x v="233"/>
  </r>
  <r>
    <x v="0"/>
    <x v="32"/>
  </r>
  <r>
    <x v="1"/>
    <x v="72"/>
  </r>
  <r>
    <x v="0"/>
    <x v="16"/>
  </r>
  <r>
    <x v="1"/>
    <x v="121"/>
  </r>
  <r>
    <x v="0"/>
    <x v="168"/>
  </r>
  <r>
    <x v="0"/>
    <x v="234"/>
  </r>
  <r>
    <x v="0"/>
    <x v="78"/>
  </r>
  <r>
    <x v="0"/>
    <x v="71"/>
  </r>
  <r>
    <x v="0"/>
    <x v="104"/>
  </r>
  <r>
    <x v="1"/>
    <x v="71"/>
  </r>
  <r>
    <x v="0"/>
    <x v="16"/>
  </r>
  <r>
    <x v="1"/>
    <x v="3"/>
  </r>
  <r>
    <x v="0"/>
    <x v="235"/>
  </r>
  <r>
    <x v="0"/>
    <x v="72"/>
  </r>
  <r>
    <x v="0"/>
    <x v="29"/>
  </r>
  <r>
    <x v="1"/>
    <x v="12"/>
  </r>
  <r>
    <x v="0"/>
    <x v="4"/>
  </r>
  <r>
    <x v="0"/>
    <x v="104"/>
  </r>
  <r>
    <x v="1"/>
    <x v="2"/>
  </r>
  <r>
    <x v="0"/>
    <x v="236"/>
  </r>
  <r>
    <x v="0"/>
    <x v="237"/>
  </r>
  <r>
    <x v="0"/>
    <x v="48"/>
  </r>
  <r>
    <x v="1"/>
    <x v="198"/>
  </r>
  <r>
    <x v="0"/>
    <x v="51"/>
  </r>
  <r>
    <x v="0"/>
    <x v="104"/>
  </r>
  <r>
    <x v="1"/>
    <x v="57"/>
  </r>
  <r>
    <x v="0"/>
    <x v="40"/>
  </r>
  <r>
    <x v="0"/>
    <x v="238"/>
  </r>
  <r>
    <x v="0"/>
    <x v="54"/>
  </r>
  <r>
    <x v="0"/>
    <x v="236"/>
  </r>
  <r>
    <x v="0"/>
    <x v="28"/>
  </r>
  <r>
    <x v="1"/>
    <x v="46"/>
  </r>
  <r>
    <x v="1"/>
    <x v="53"/>
  </r>
  <r>
    <x v="0"/>
    <x v="170"/>
  </r>
  <r>
    <x v="0"/>
    <x v="32"/>
  </r>
  <r>
    <x v="0"/>
    <x v="13"/>
  </r>
  <r>
    <x v="0"/>
    <x v="239"/>
  </r>
  <r>
    <x v="1"/>
    <x v="147"/>
  </r>
  <r>
    <x v="0"/>
    <x v="51"/>
  </r>
  <r>
    <x v="0"/>
    <x v="4"/>
  </r>
  <r>
    <x v="0"/>
    <x v="54"/>
  </r>
  <r>
    <x v="0"/>
    <x v="132"/>
  </r>
  <r>
    <x v="0"/>
    <x v="2"/>
  </r>
  <r>
    <x v="0"/>
    <x v="29"/>
  </r>
  <r>
    <x v="1"/>
    <x v="113"/>
  </r>
  <r>
    <x v="0"/>
    <x v="240"/>
  </r>
  <r>
    <x v="0"/>
    <x v="51"/>
  </r>
  <r>
    <x v="0"/>
    <x v="120"/>
  </r>
  <r>
    <x v="0"/>
    <x v="94"/>
  </r>
  <r>
    <x v="0"/>
    <x v="25"/>
  </r>
  <r>
    <x v="0"/>
    <x v="213"/>
  </r>
  <r>
    <x v="1"/>
    <x v="180"/>
  </r>
  <r>
    <x v="0"/>
    <x v="12"/>
  </r>
  <r>
    <x v="0"/>
    <x v="71"/>
  </r>
  <r>
    <x v="1"/>
    <x v="49"/>
  </r>
  <r>
    <x v="1"/>
    <x v="241"/>
  </r>
  <r>
    <x v="1"/>
    <x v="19"/>
  </r>
  <r>
    <x v="1"/>
    <x v="118"/>
  </r>
  <r>
    <x v="1"/>
    <x v="150"/>
  </r>
  <r>
    <x v="0"/>
    <x v="11"/>
  </r>
  <r>
    <x v="1"/>
    <x v="178"/>
  </r>
  <r>
    <x v="0"/>
    <x v="32"/>
  </r>
  <r>
    <x v="0"/>
    <x v="242"/>
  </r>
  <r>
    <x v="0"/>
    <x v="86"/>
  </r>
  <r>
    <x v="1"/>
    <x v="232"/>
  </r>
  <r>
    <x v="1"/>
    <x v="94"/>
  </r>
  <r>
    <x v="0"/>
    <x v="16"/>
  </r>
  <r>
    <x v="1"/>
    <x v="16"/>
  </r>
  <r>
    <x v="1"/>
    <x v="243"/>
  </r>
  <r>
    <x v="0"/>
    <x v="244"/>
  </r>
  <r>
    <x v="0"/>
    <x v="59"/>
  </r>
  <r>
    <x v="0"/>
    <x v="8"/>
  </r>
  <r>
    <x v="0"/>
    <x v="25"/>
  </r>
  <r>
    <x v="1"/>
    <x v="124"/>
  </r>
  <r>
    <x v="0"/>
    <x v="245"/>
  </r>
  <r>
    <x v="0"/>
    <x v="58"/>
  </r>
  <r>
    <x v="1"/>
    <x v="145"/>
  </r>
  <r>
    <x v="1"/>
    <x v="18"/>
  </r>
  <r>
    <x v="0"/>
    <x v="246"/>
  </r>
  <r>
    <x v="0"/>
    <x v="25"/>
  </r>
  <r>
    <x v="0"/>
    <x v="25"/>
  </r>
  <r>
    <x v="1"/>
    <x v="147"/>
  </r>
  <r>
    <x v="1"/>
    <x v="19"/>
  </r>
  <r>
    <x v="0"/>
    <x v="25"/>
  </r>
  <r>
    <x v="1"/>
    <x v="247"/>
  </r>
  <r>
    <x v="0"/>
    <x v="29"/>
  </r>
  <r>
    <x v="0"/>
    <x v="79"/>
  </r>
  <r>
    <x v="1"/>
    <x v="15"/>
  </r>
  <r>
    <x v="0"/>
    <x v="16"/>
  </r>
  <r>
    <x v="1"/>
    <x v="209"/>
  </r>
  <r>
    <x v="1"/>
    <x v="231"/>
  </r>
  <r>
    <x v="0"/>
    <x v="209"/>
  </r>
  <r>
    <x v="0"/>
    <x v="28"/>
  </r>
  <r>
    <x v="2"/>
    <x v="24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2">
  <r>
    <x v="0"/>
    <x v="0"/>
  </r>
  <r>
    <x v="1"/>
    <x v="1"/>
  </r>
  <r>
    <x v="1"/>
    <x v="2"/>
  </r>
  <r>
    <x v="1"/>
    <x v="3"/>
  </r>
  <r>
    <x v="0"/>
    <x v="4"/>
  </r>
  <r>
    <x v="0"/>
    <x v="5"/>
  </r>
  <r>
    <x v="0"/>
    <x v="6"/>
  </r>
  <r>
    <x v="0"/>
    <x v="7"/>
  </r>
  <r>
    <x v="1"/>
    <x v="8"/>
  </r>
  <r>
    <x v="1"/>
    <x v="9"/>
  </r>
  <r>
    <x v="1"/>
    <x v="10"/>
  </r>
  <r>
    <x v="1"/>
    <x v="11"/>
  </r>
  <r>
    <x v="0"/>
    <x v="4"/>
  </r>
  <r>
    <x v="0"/>
    <x v="12"/>
  </r>
  <r>
    <x v="1"/>
    <x v="13"/>
  </r>
  <r>
    <x v="1"/>
    <x v="14"/>
  </r>
  <r>
    <x v="0"/>
    <x v="15"/>
  </r>
  <r>
    <x v="0"/>
    <x v="16"/>
  </r>
  <r>
    <x v="1"/>
    <x v="17"/>
  </r>
  <r>
    <x v="1"/>
    <x v="18"/>
  </r>
  <r>
    <x v="0"/>
    <x v="19"/>
  </r>
  <r>
    <x v="0"/>
    <x v="16"/>
  </r>
  <r>
    <x v="1"/>
    <x v="20"/>
  </r>
  <r>
    <x v="0"/>
    <x v="21"/>
  </r>
  <r>
    <x v="1"/>
    <x v="7"/>
  </r>
  <r>
    <x v="1"/>
    <x v="22"/>
  </r>
  <r>
    <x v="0"/>
    <x v="18"/>
  </r>
  <r>
    <x v="0"/>
    <x v="23"/>
  </r>
  <r>
    <x v="1"/>
    <x v="24"/>
  </r>
  <r>
    <x v="0"/>
    <x v="25"/>
  </r>
  <r>
    <x v="0"/>
    <x v="26"/>
  </r>
  <r>
    <x v="1"/>
    <x v="27"/>
  </r>
  <r>
    <x v="1"/>
    <x v="28"/>
  </r>
  <r>
    <x v="0"/>
    <x v="29"/>
  </r>
  <r>
    <x v="0"/>
    <x v="30"/>
  </r>
  <r>
    <x v="0"/>
    <x v="31"/>
  </r>
  <r>
    <x v="0"/>
    <x v="32"/>
  </r>
  <r>
    <x v="0"/>
    <x v="4"/>
  </r>
  <r>
    <x v="1"/>
    <x v="17"/>
  </r>
  <r>
    <x v="1"/>
    <x v="33"/>
  </r>
  <r>
    <x v="1"/>
    <x v="34"/>
  </r>
  <r>
    <x v="1"/>
    <x v="35"/>
  </r>
  <r>
    <x v="0"/>
    <x v="25"/>
  </r>
  <r>
    <x v="1"/>
    <x v="36"/>
  </r>
  <r>
    <x v="1"/>
    <x v="24"/>
  </r>
  <r>
    <x v="0"/>
    <x v="4"/>
  </r>
  <r>
    <x v="0"/>
    <x v="37"/>
  </r>
  <r>
    <x v="1"/>
    <x v="28"/>
  </r>
  <r>
    <x v="0"/>
    <x v="38"/>
  </r>
  <r>
    <x v="1"/>
    <x v="39"/>
  </r>
  <r>
    <x v="0"/>
    <x v="40"/>
  </r>
  <r>
    <x v="0"/>
    <x v="41"/>
  </r>
  <r>
    <x v="1"/>
    <x v="42"/>
  </r>
  <r>
    <x v="1"/>
    <x v="19"/>
  </r>
  <r>
    <x v="0"/>
    <x v="43"/>
  </r>
  <r>
    <x v="0"/>
    <x v="21"/>
  </r>
  <r>
    <x v="1"/>
    <x v="29"/>
  </r>
  <r>
    <x v="0"/>
    <x v="32"/>
  </r>
  <r>
    <x v="1"/>
    <x v="44"/>
  </r>
  <r>
    <x v="0"/>
    <x v="45"/>
  </r>
  <r>
    <x v="0"/>
    <x v="32"/>
  </r>
  <r>
    <x v="1"/>
    <x v="46"/>
  </r>
  <r>
    <x v="0"/>
    <x v="47"/>
  </r>
  <r>
    <x v="0"/>
    <x v="48"/>
  </r>
  <r>
    <x v="0"/>
    <x v="26"/>
  </r>
  <r>
    <x v="0"/>
    <x v="49"/>
  </r>
  <r>
    <x v="1"/>
    <x v="29"/>
  </r>
  <r>
    <x v="0"/>
    <x v="50"/>
  </r>
  <r>
    <x v="1"/>
    <x v="2"/>
  </r>
  <r>
    <x v="0"/>
    <x v="51"/>
  </r>
  <r>
    <x v="0"/>
    <x v="29"/>
  </r>
  <r>
    <x v="1"/>
    <x v="45"/>
  </r>
  <r>
    <x v="0"/>
    <x v="52"/>
  </r>
  <r>
    <x v="0"/>
    <x v="53"/>
  </r>
  <r>
    <x v="0"/>
    <x v="54"/>
  </r>
  <r>
    <x v="0"/>
    <x v="55"/>
  </r>
  <r>
    <x v="0"/>
    <x v="25"/>
  </r>
  <r>
    <x v="0"/>
    <x v="4"/>
  </r>
  <r>
    <x v="0"/>
    <x v="56"/>
  </r>
  <r>
    <x v="1"/>
    <x v="57"/>
  </r>
  <r>
    <x v="0"/>
    <x v="58"/>
  </r>
  <r>
    <x v="0"/>
    <x v="59"/>
  </r>
  <r>
    <x v="1"/>
    <x v="60"/>
  </r>
  <r>
    <x v="0"/>
    <x v="61"/>
  </r>
  <r>
    <x v="1"/>
    <x v="29"/>
  </r>
  <r>
    <x v="1"/>
    <x v="62"/>
  </r>
  <r>
    <x v="0"/>
    <x v="63"/>
  </r>
  <r>
    <x v="0"/>
    <x v="4"/>
  </r>
  <r>
    <x v="1"/>
    <x v="23"/>
  </r>
  <r>
    <x v="0"/>
    <x v="4"/>
  </r>
  <r>
    <x v="0"/>
    <x v="4"/>
  </r>
  <r>
    <x v="0"/>
    <x v="13"/>
  </r>
  <r>
    <x v="0"/>
    <x v="64"/>
  </r>
  <r>
    <x v="0"/>
    <x v="65"/>
  </r>
  <r>
    <x v="0"/>
    <x v="0"/>
  </r>
  <r>
    <x v="0"/>
    <x v="4"/>
  </r>
  <r>
    <x v="0"/>
    <x v="66"/>
  </r>
  <r>
    <x v="0"/>
    <x v="67"/>
  </r>
  <r>
    <x v="1"/>
    <x v="68"/>
  </r>
  <r>
    <x v="0"/>
    <x v="19"/>
  </r>
  <r>
    <x v="1"/>
    <x v="25"/>
  </r>
  <r>
    <x v="0"/>
    <x v="25"/>
  </r>
  <r>
    <x v="0"/>
    <x v="69"/>
  </r>
  <r>
    <x v="0"/>
    <x v="70"/>
  </r>
  <r>
    <x v="0"/>
    <x v="2"/>
  </r>
  <r>
    <x v="0"/>
    <x v="25"/>
  </r>
  <r>
    <x v="1"/>
    <x v="55"/>
  </r>
  <r>
    <x v="0"/>
    <x v="71"/>
  </r>
  <r>
    <x v="0"/>
    <x v="25"/>
  </r>
  <r>
    <x v="1"/>
    <x v="72"/>
  </r>
  <r>
    <x v="0"/>
    <x v="31"/>
  </r>
  <r>
    <x v="1"/>
    <x v="53"/>
  </r>
  <r>
    <x v="0"/>
    <x v="4"/>
  </r>
  <r>
    <x v="1"/>
    <x v="73"/>
  </r>
  <r>
    <x v="1"/>
    <x v="74"/>
  </r>
  <r>
    <x v="0"/>
    <x v="2"/>
  </r>
  <r>
    <x v="0"/>
    <x v="28"/>
  </r>
  <r>
    <x v="0"/>
    <x v="35"/>
  </r>
  <r>
    <x v="0"/>
    <x v="75"/>
  </r>
  <r>
    <x v="1"/>
    <x v="12"/>
  </r>
  <r>
    <x v="0"/>
    <x v="52"/>
  </r>
  <r>
    <x v="0"/>
    <x v="4"/>
  </r>
  <r>
    <x v="0"/>
    <x v="9"/>
  </r>
  <r>
    <x v="1"/>
    <x v="16"/>
  </r>
  <r>
    <x v="0"/>
    <x v="69"/>
  </r>
  <r>
    <x v="0"/>
    <x v="33"/>
  </r>
  <r>
    <x v="0"/>
    <x v="28"/>
  </r>
  <r>
    <x v="0"/>
    <x v="76"/>
  </r>
  <r>
    <x v="1"/>
    <x v="77"/>
  </r>
  <r>
    <x v="0"/>
    <x v="78"/>
  </r>
  <r>
    <x v="0"/>
    <x v="25"/>
  </r>
  <r>
    <x v="0"/>
    <x v="79"/>
  </r>
  <r>
    <x v="1"/>
    <x v="80"/>
  </r>
  <r>
    <x v="1"/>
    <x v="19"/>
  </r>
  <r>
    <x v="0"/>
    <x v="16"/>
  </r>
  <r>
    <x v="0"/>
    <x v="81"/>
  </r>
  <r>
    <x v="1"/>
    <x v="82"/>
  </r>
  <r>
    <x v="0"/>
    <x v="3"/>
  </r>
  <r>
    <x v="0"/>
    <x v="83"/>
  </r>
  <r>
    <x v="0"/>
    <x v="84"/>
  </r>
  <r>
    <x v="1"/>
    <x v="49"/>
  </r>
  <r>
    <x v="1"/>
    <x v="28"/>
  </r>
  <r>
    <x v="1"/>
    <x v="62"/>
  </r>
  <r>
    <x v="0"/>
    <x v="85"/>
  </r>
  <r>
    <x v="0"/>
    <x v="86"/>
  </r>
  <r>
    <x v="0"/>
    <x v="87"/>
  </r>
  <r>
    <x v="0"/>
    <x v="88"/>
  </r>
  <r>
    <x v="1"/>
    <x v="63"/>
  </r>
  <r>
    <x v="0"/>
    <x v="19"/>
  </r>
  <r>
    <x v="0"/>
    <x v="16"/>
  </r>
  <r>
    <x v="0"/>
    <x v="89"/>
  </r>
  <r>
    <x v="1"/>
    <x v="90"/>
  </r>
  <r>
    <x v="0"/>
    <x v="4"/>
  </r>
  <r>
    <x v="0"/>
    <x v="80"/>
  </r>
  <r>
    <x v="0"/>
    <x v="91"/>
  </r>
  <r>
    <x v="0"/>
    <x v="92"/>
  </r>
  <r>
    <x v="1"/>
    <x v="93"/>
  </r>
  <r>
    <x v="0"/>
    <x v="4"/>
  </r>
  <r>
    <x v="0"/>
    <x v="51"/>
  </r>
  <r>
    <x v="0"/>
    <x v="94"/>
  </r>
  <r>
    <x v="0"/>
    <x v="95"/>
  </r>
  <r>
    <x v="1"/>
    <x v="96"/>
  </r>
  <r>
    <x v="0"/>
    <x v="71"/>
  </r>
  <r>
    <x v="0"/>
    <x v="51"/>
  </r>
  <r>
    <x v="0"/>
    <x v="40"/>
  </r>
  <r>
    <x v="0"/>
    <x v="97"/>
  </r>
  <r>
    <x v="1"/>
    <x v="98"/>
  </r>
  <r>
    <x v="1"/>
    <x v="48"/>
  </r>
  <r>
    <x v="0"/>
    <x v="99"/>
  </r>
  <r>
    <x v="0"/>
    <x v="54"/>
  </r>
  <r>
    <x v="0"/>
    <x v="100"/>
  </r>
  <r>
    <x v="0"/>
    <x v="15"/>
  </r>
  <r>
    <x v="1"/>
    <x v="8"/>
  </r>
  <r>
    <x v="0"/>
    <x v="2"/>
  </r>
  <r>
    <x v="0"/>
    <x v="101"/>
  </r>
  <r>
    <x v="0"/>
    <x v="13"/>
  </r>
  <r>
    <x v="0"/>
    <x v="102"/>
  </r>
  <r>
    <x v="1"/>
    <x v="103"/>
  </r>
  <r>
    <x v="0"/>
    <x v="16"/>
  </r>
  <r>
    <x v="0"/>
    <x v="104"/>
  </r>
  <r>
    <x v="1"/>
    <x v="94"/>
  </r>
  <r>
    <x v="0"/>
    <x v="105"/>
  </r>
  <r>
    <x v="0"/>
    <x v="22"/>
  </r>
  <r>
    <x v="0"/>
    <x v="106"/>
  </r>
  <r>
    <x v="1"/>
    <x v="107"/>
  </r>
  <r>
    <x v="0"/>
    <x v="108"/>
  </r>
  <r>
    <x v="1"/>
    <x v="37"/>
  </r>
  <r>
    <x v="0"/>
    <x v="11"/>
  </r>
  <r>
    <x v="0"/>
    <x v="37"/>
  </r>
  <r>
    <x v="0"/>
    <x v="25"/>
  </r>
  <r>
    <x v="1"/>
    <x v="16"/>
  </r>
  <r>
    <x v="0"/>
    <x v="16"/>
  </r>
  <r>
    <x v="1"/>
    <x v="13"/>
  </r>
  <r>
    <x v="0"/>
    <x v="19"/>
  </r>
  <r>
    <x v="1"/>
    <x v="26"/>
  </r>
  <r>
    <x v="1"/>
    <x v="27"/>
  </r>
  <r>
    <x v="0"/>
    <x v="28"/>
  </r>
  <r>
    <x v="0"/>
    <x v="109"/>
  </r>
  <r>
    <x v="1"/>
    <x v="28"/>
  </r>
  <r>
    <x v="1"/>
    <x v="16"/>
  </r>
  <r>
    <x v="0"/>
    <x v="59"/>
  </r>
  <r>
    <x v="0"/>
    <x v="94"/>
  </r>
  <r>
    <x v="0"/>
    <x v="110"/>
  </r>
  <r>
    <x v="0"/>
    <x v="18"/>
  </r>
  <r>
    <x v="0"/>
    <x v="4"/>
  </r>
  <r>
    <x v="1"/>
    <x v="111"/>
  </r>
  <r>
    <x v="0"/>
    <x v="62"/>
  </r>
  <r>
    <x v="0"/>
    <x v="112"/>
  </r>
  <r>
    <x v="1"/>
    <x v="28"/>
  </r>
  <r>
    <x v="0"/>
    <x v="113"/>
  </r>
  <r>
    <x v="0"/>
    <x v="79"/>
  </r>
  <r>
    <x v="1"/>
    <x v="35"/>
  </r>
  <r>
    <x v="0"/>
    <x v="0"/>
  </r>
  <r>
    <x v="0"/>
    <x v="16"/>
  </r>
  <r>
    <x v="0"/>
    <x v="28"/>
  </r>
  <r>
    <x v="1"/>
    <x v="114"/>
  </r>
  <r>
    <x v="1"/>
    <x v="2"/>
  </r>
  <r>
    <x v="0"/>
    <x v="115"/>
  </r>
  <r>
    <x v="1"/>
    <x v="116"/>
  </r>
  <r>
    <x v="0"/>
    <x v="29"/>
  </r>
  <r>
    <x v="0"/>
    <x v="4"/>
  </r>
  <r>
    <x v="0"/>
    <x v="16"/>
  </r>
  <r>
    <x v="0"/>
    <x v="4"/>
  </r>
  <r>
    <x v="0"/>
    <x v="25"/>
  </r>
  <r>
    <x v="0"/>
    <x v="117"/>
  </r>
  <r>
    <x v="0"/>
    <x v="118"/>
  </r>
  <r>
    <x v="0"/>
    <x v="29"/>
  </r>
  <r>
    <x v="0"/>
    <x v="0"/>
  </r>
  <r>
    <x v="0"/>
    <x v="16"/>
  </r>
  <r>
    <x v="1"/>
    <x v="102"/>
  </r>
  <r>
    <x v="1"/>
    <x v="47"/>
  </r>
  <r>
    <x v="0"/>
    <x v="71"/>
  </r>
  <r>
    <x v="0"/>
    <x v="119"/>
  </r>
  <r>
    <x v="1"/>
    <x v="22"/>
  </r>
  <r>
    <x v="0"/>
    <x v="29"/>
  </r>
  <r>
    <x v="1"/>
    <x v="120"/>
  </r>
  <r>
    <x v="0"/>
    <x v="19"/>
  </r>
  <r>
    <x v="1"/>
    <x v="121"/>
  </r>
  <r>
    <x v="0"/>
    <x v="29"/>
  </r>
  <r>
    <x v="0"/>
    <x v="122"/>
  </r>
  <r>
    <x v="1"/>
    <x v="53"/>
  </r>
  <r>
    <x v="1"/>
    <x v="37"/>
  </r>
  <r>
    <x v="0"/>
    <x v="29"/>
  </r>
  <r>
    <x v="0"/>
    <x v="123"/>
  </r>
  <r>
    <x v="0"/>
    <x v="18"/>
  </r>
  <r>
    <x v="0"/>
    <x v="117"/>
  </r>
  <r>
    <x v="1"/>
    <x v="71"/>
  </r>
  <r>
    <x v="1"/>
    <x v="80"/>
  </r>
  <r>
    <x v="0"/>
    <x v="124"/>
  </r>
  <r>
    <x v="0"/>
    <x v="19"/>
  </r>
  <r>
    <x v="0"/>
    <x v="0"/>
  </r>
  <r>
    <x v="1"/>
    <x v="111"/>
  </r>
  <r>
    <x v="0"/>
    <x v="11"/>
  </r>
  <r>
    <x v="0"/>
    <x v="95"/>
  </r>
  <r>
    <x v="1"/>
    <x v="125"/>
  </r>
  <r>
    <x v="1"/>
    <x v="49"/>
  </r>
  <r>
    <x v="1"/>
    <x v="84"/>
  </r>
  <r>
    <x v="1"/>
    <x v="126"/>
  </r>
  <r>
    <x v="1"/>
    <x v="127"/>
  </r>
  <r>
    <x v="1"/>
    <x v="19"/>
  </r>
  <r>
    <x v="0"/>
    <x v="28"/>
  </r>
  <r>
    <x v="0"/>
    <x v="22"/>
  </r>
  <r>
    <x v="0"/>
    <x v="128"/>
  </r>
  <r>
    <x v="0"/>
    <x v="104"/>
  </r>
  <r>
    <x v="1"/>
    <x v="28"/>
  </r>
  <r>
    <x v="0"/>
    <x v="29"/>
  </r>
  <r>
    <x v="0"/>
    <x v="40"/>
  </r>
  <r>
    <x v="0"/>
    <x v="71"/>
  </r>
  <r>
    <x v="1"/>
    <x v="129"/>
  </r>
  <r>
    <x v="1"/>
    <x v="130"/>
  </r>
  <r>
    <x v="0"/>
    <x v="113"/>
  </r>
  <r>
    <x v="0"/>
    <x v="104"/>
  </r>
  <r>
    <x v="1"/>
    <x v="131"/>
  </r>
  <r>
    <x v="0"/>
    <x v="132"/>
  </r>
  <r>
    <x v="1"/>
    <x v="28"/>
  </r>
  <r>
    <x v="1"/>
    <x v="133"/>
  </r>
  <r>
    <x v="1"/>
    <x v="28"/>
  </r>
  <r>
    <x v="0"/>
    <x v="104"/>
  </r>
  <r>
    <x v="0"/>
    <x v="15"/>
  </r>
  <r>
    <x v="1"/>
    <x v="134"/>
  </r>
  <r>
    <x v="0"/>
    <x v="28"/>
  </r>
  <r>
    <x v="0"/>
    <x v="13"/>
  </r>
  <r>
    <x v="0"/>
    <x v="59"/>
  </r>
  <r>
    <x v="0"/>
    <x v="4"/>
  </r>
  <r>
    <x v="0"/>
    <x v="19"/>
  </r>
  <r>
    <x v="0"/>
    <x v="51"/>
  </r>
  <r>
    <x v="0"/>
    <x v="59"/>
  </r>
  <r>
    <x v="0"/>
    <x v="25"/>
  </r>
  <r>
    <x v="0"/>
    <x v="16"/>
  </r>
  <r>
    <x v="1"/>
    <x v="28"/>
  </r>
  <r>
    <x v="1"/>
    <x v="135"/>
  </r>
  <r>
    <x v="1"/>
    <x v="136"/>
  </r>
  <r>
    <x v="0"/>
    <x v="137"/>
  </r>
  <r>
    <x v="1"/>
    <x v="138"/>
  </r>
  <r>
    <x v="0"/>
    <x v="25"/>
  </r>
  <r>
    <x v="0"/>
    <x v="26"/>
  </r>
  <r>
    <x v="0"/>
    <x v="32"/>
  </r>
  <r>
    <x v="1"/>
    <x v="139"/>
  </r>
  <r>
    <x v="0"/>
    <x v="140"/>
  </r>
  <r>
    <x v="1"/>
    <x v="75"/>
  </r>
  <r>
    <x v="1"/>
    <x v="28"/>
  </r>
  <r>
    <x v="0"/>
    <x v="141"/>
  </r>
  <r>
    <x v="0"/>
    <x v="104"/>
  </r>
  <r>
    <x v="1"/>
    <x v="142"/>
  </r>
  <r>
    <x v="0"/>
    <x v="4"/>
  </r>
  <r>
    <x v="0"/>
    <x v="139"/>
  </r>
  <r>
    <x v="1"/>
    <x v="143"/>
  </r>
  <r>
    <x v="1"/>
    <x v="144"/>
  </r>
  <r>
    <x v="0"/>
    <x v="145"/>
  </r>
  <r>
    <x v="1"/>
    <x v="146"/>
  </r>
  <r>
    <x v="1"/>
    <x v="147"/>
  </r>
  <r>
    <x v="1"/>
    <x v="148"/>
  </r>
  <r>
    <x v="1"/>
    <x v="19"/>
  </r>
  <r>
    <x v="0"/>
    <x v="25"/>
  </r>
  <r>
    <x v="0"/>
    <x v="121"/>
  </r>
  <r>
    <x v="1"/>
    <x v="13"/>
  </r>
  <r>
    <x v="1"/>
    <x v="19"/>
  </r>
  <r>
    <x v="0"/>
    <x v="149"/>
  </r>
  <r>
    <x v="1"/>
    <x v="150"/>
  </r>
  <r>
    <x v="1"/>
    <x v="151"/>
  </r>
  <r>
    <x v="0"/>
    <x v="0"/>
  </r>
  <r>
    <x v="0"/>
    <x v="25"/>
  </r>
  <r>
    <x v="1"/>
    <x v="142"/>
  </r>
  <r>
    <x v="1"/>
    <x v="56"/>
  </r>
  <r>
    <x v="0"/>
    <x v="94"/>
  </r>
  <r>
    <x v="1"/>
    <x v="130"/>
  </r>
  <r>
    <x v="0"/>
    <x v="152"/>
  </r>
  <r>
    <x v="1"/>
    <x v="16"/>
  </r>
  <r>
    <x v="1"/>
    <x v="97"/>
  </r>
  <r>
    <x v="1"/>
    <x v="153"/>
  </r>
  <r>
    <x v="1"/>
    <x v="141"/>
  </r>
  <r>
    <x v="0"/>
    <x v="154"/>
  </r>
  <r>
    <x v="0"/>
    <x v="129"/>
  </r>
  <r>
    <x v="0"/>
    <x v="17"/>
  </r>
  <r>
    <x v="1"/>
    <x v="155"/>
  </r>
  <r>
    <x v="0"/>
    <x v="25"/>
  </r>
  <r>
    <x v="0"/>
    <x v="90"/>
  </r>
  <r>
    <x v="1"/>
    <x v="151"/>
  </r>
  <r>
    <x v="0"/>
    <x v="4"/>
  </r>
  <r>
    <x v="0"/>
    <x v="21"/>
  </r>
  <r>
    <x v="0"/>
    <x v="19"/>
  </r>
  <r>
    <x v="1"/>
    <x v="23"/>
  </r>
  <r>
    <x v="0"/>
    <x v="16"/>
  </r>
  <r>
    <x v="0"/>
    <x v="16"/>
  </r>
  <r>
    <x v="0"/>
    <x v="16"/>
  </r>
  <r>
    <x v="1"/>
    <x v="16"/>
  </r>
  <r>
    <x v="1"/>
    <x v="16"/>
  </r>
  <r>
    <x v="1"/>
    <x v="95"/>
  </r>
  <r>
    <x v="0"/>
    <x v="156"/>
  </r>
  <r>
    <x v="0"/>
    <x v="51"/>
  </r>
  <r>
    <x v="0"/>
    <x v="157"/>
  </r>
  <r>
    <x v="0"/>
    <x v="158"/>
  </r>
  <r>
    <x v="0"/>
    <x v="32"/>
  </r>
  <r>
    <x v="0"/>
    <x v="39"/>
  </r>
  <r>
    <x v="0"/>
    <x v="18"/>
  </r>
  <r>
    <x v="0"/>
    <x v="59"/>
  </r>
  <r>
    <x v="1"/>
    <x v="98"/>
  </r>
  <r>
    <x v="1"/>
    <x v="16"/>
  </r>
  <r>
    <x v="1"/>
    <x v="24"/>
  </r>
  <r>
    <x v="1"/>
    <x v="24"/>
  </r>
  <r>
    <x v="0"/>
    <x v="48"/>
  </r>
  <r>
    <x v="0"/>
    <x v="26"/>
  </r>
  <r>
    <x v="1"/>
    <x v="53"/>
  </r>
  <r>
    <x v="0"/>
    <x v="79"/>
  </r>
  <r>
    <x v="0"/>
    <x v="37"/>
  </r>
  <r>
    <x v="0"/>
    <x v="0"/>
  </r>
  <r>
    <x v="1"/>
    <x v="159"/>
  </r>
  <r>
    <x v="1"/>
    <x v="32"/>
  </r>
  <r>
    <x v="1"/>
    <x v="28"/>
  </r>
  <r>
    <x v="1"/>
    <x v="160"/>
  </r>
  <r>
    <x v="0"/>
    <x v="161"/>
  </r>
  <r>
    <x v="0"/>
    <x v="110"/>
  </r>
  <r>
    <x v="0"/>
    <x v="4"/>
  </r>
  <r>
    <x v="0"/>
    <x v="130"/>
  </r>
  <r>
    <x v="1"/>
    <x v="7"/>
  </r>
  <r>
    <x v="1"/>
    <x v="30"/>
  </r>
  <r>
    <x v="1"/>
    <x v="0"/>
  </r>
  <r>
    <x v="0"/>
    <x v="162"/>
  </r>
  <r>
    <x v="0"/>
    <x v="163"/>
  </r>
  <r>
    <x v="0"/>
    <x v="71"/>
  </r>
  <r>
    <x v="1"/>
    <x v="164"/>
  </r>
  <r>
    <x v="1"/>
    <x v="165"/>
  </r>
  <r>
    <x v="0"/>
    <x v="2"/>
  </r>
  <r>
    <x v="1"/>
    <x v="31"/>
  </r>
  <r>
    <x v="0"/>
    <x v="25"/>
  </r>
  <r>
    <x v="0"/>
    <x v="52"/>
  </r>
  <r>
    <x v="0"/>
    <x v="45"/>
  </r>
  <r>
    <x v="1"/>
    <x v="16"/>
  </r>
  <r>
    <x v="0"/>
    <x v="166"/>
  </r>
  <r>
    <x v="1"/>
    <x v="167"/>
  </r>
  <r>
    <x v="0"/>
    <x v="168"/>
  </r>
  <r>
    <x v="0"/>
    <x v="88"/>
  </r>
  <r>
    <x v="0"/>
    <x v="2"/>
  </r>
  <r>
    <x v="1"/>
    <x v="114"/>
  </r>
  <r>
    <x v="1"/>
    <x v="10"/>
  </r>
  <r>
    <x v="0"/>
    <x v="88"/>
  </r>
  <r>
    <x v="1"/>
    <x v="13"/>
  </r>
  <r>
    <x v="0"/>
    <x v="19"/>
  </r>
  <r>
    <x v="0"/>
    <x v="29"/>
  </r>
  <r>
    <x v="1"/>
    <x v="169"/>
  </r>
  <r>
    <x v="0"/>
    <x v="2"/>
  </r>
  <r>
    <x v="0"/>
    <x v="4"/>
  </r>
  <r>
    <x v="1"/>
    <x v="73"/>
  </r>
  <r>
    <x v="0"/>
    <x v="62"/>
  </r>
  <r>
    <x v="1"/>
    <x v="51"/>
  </r>
  <r>
    <x v="0"/>
    <x v="35"/>
  </r>
  <r>
    <x v="0"/>
    <x v="28"/>
  </r>
  <r>
    <x v="0"/>
    <x v="170"/>
  </r>
  <r>
    <x v="0"/>
    <x v="71"/>
  </r>
  <r>
    <x v="1"/>
    <x v="102"/>
  </r>
  <r>
    <x v="0"/>
    <x v="25"/>
  </r>
  <r>
    <x v="0"/>
    <x v="171"/>
  </r>
  <r>
    <x v="1"/>
    <x v="117"/>
  </r>
  <r>
    <x v="0"/>
    <x v="104"/>
  </r>
  <r>
    <x v="0"/>
    <x v="2"/>
  </r>
  <r>
    <x v="1"/>
    <x v="4"/>
  </r>
  <r>
    <x v="1"/>
    <x v="172"/>
  </r>
  <r>
    <x v="1"/>
    <x v="16"/>
  </r>
  <r>
    <x v="0"/>
    <x v="16"/>
  </r>
  <r>
    <x v="1"/>
    <x v="72"/>
  </r>
  <r>
    <x v="0"/>
    <x v="25"/>
  </r>
  <r>
    <x v="0"/>
    <x v="93"/>
  </r>
  <r>
    <x v="0"/>
    <x v="173"/>
  </r>
  <r>
    <x v="1"/>
    <x v="174"/>
  </r>
  <r>
    <x v="0"/>
    <x v="125"/>
  </r>
  <r>
    <x v="0"/>
    <x v="0"/>
  </r>
  <r>
    <x v="1"/>
    <x v="19"/>
  </r>
  <r>
    <x v="1"/>
    <x v="19"/>
  </r>
  <r>
    <x v="0"/>
    <x v="28"/>
  </r>
  <r>
    <x v="0"/>
    <x v="4"/>
  </r>
  <r>
    <x v="0"/>
    <x v="11"/>
  </r>
  <r>
    <x v="1"/>
    <x v="95"/>
  </r>
  <r>
    <x v="1"/>
    <x v="19"/>
  </r>
  <r>
    <x v="0"/>
    <x v="123"/>
  </r>
  <r>
    <x v="0"/>
    <x v="175"/>
  </r>
  <r>
    <x v="1"/>
    <x v="168"/>
  </r>
  <r>
    <x v="1"/>
    <x v="63"/>
  </r>
  <r>
    <x v="1"/>
    <x v="170"/>
  </r>
  <r>
    <x v="0"/>
    <x v="23"/>
  </r>
  <r>
    <x v="0"/>
    <x v="29"/>
  </r>
  <r>
    <x v="1"/>
    <x v="121"/>
  </r>
  <r>
    <x v="0"/>
    <x v="59"/>
  </r>
  <r>
    <x v="0"/>
    <x v="71"/>
  </r>
  <r>
    <x v="1"/>
    <x v="16"/>
  </r>
  <r>
    <x v="0"/>
    <x v="176"/>
  </r>
  <r>
    <x v="0"/>
    <x v="177"/>
  </r>
  <r>
    <x v="1"/>
    <x v="131"/>
  </r>
  <r>
    <x v="0"/>
    <x v="11"/>
  </r>
  <r>
    <x v="1"/>
    <x v="178"/>
  </r>
  <r>
    <x v="0"/>
    <x v="140"/>
  </r>
  <r>
    <x v="0"/>
    <x v="44"/>
  </r>
  <r>
    <x v="0"/>
    <x v="179"/>
  </r>
  <r>
    <x v="0"/>
    <x v="44"/>
  </r>
  <r>
    <x v="0"/>
    <x v="180"/>
  </r>
  <r>
    <x v="0"/>
    <x v="4"/>
  </r>
  <r>
    <x v="0"/>
    <x v="25"/>
  </r>
  <r>
    <x v="0"/>
    <x v="11"/>
  </r>
  <r>
    <x v="1"/>
    <x v="6"/>
  </r>
  <r>
    <x v="1"/>
    <x v="29"/>
  </r>
  <r>
    <x v="0"/>
    <x v="28"/>
  </r>
  <r>
    <x v="0"/>
    <x v="11"/>
  </r>
  <r>
    <x v="0"/>
    <x v="4"/>
  </r>
  <r>
    <x v="0"/>
    <x v="181"/>
  </r>
  <r>
    <x v="0"/>
    <x v="16"/>
  </r>
  <r>
    <x v="0"/>
    <x v="4"/>
  </r>
  <r>
    <x v="0"/>
    <x v="79"/>
  </r>
  <r>
    <x v="0"/>
    <x v="104"/>
  </r>
  <r>
    <x v="0"/>
    <x v="11"/>
  </r>
  <r>
    <x v="0"/>
    <x v="182"/>
  </r>
  <r>
    <x v="1"/>
    <x v="178"/>
  </r>
  <r>
    <x v="0"/>
    <x v="0"/>
  </r>
  <r>
    <x v="0"/>
    <x v="51"/>
  </r>
  <r>
    <x v="1"/>
    <x v="44"/>
  </r>
  <r>
    <x v="1"/>
    <x v="183"/>
  </r>
  <r>
    <x v="1"/>
    <x v="184"/>
  </r>
  <r>
    <x v="0"/>
    <x v="31"/>
  </r>
  <r>
    <x v="0"/>
    <x v="35"/>
  </r>
  <r>
    <x v="0"/>
    <x v="185"/>
  </r>
  <r>
    <x v="0"/>
    <x v="186"/>
  </r>
  <r>
    <x v="1"/>
    <x v="187"/>
  </r>
  <r>
    <x v="0"/>
    <x v="45"/>
  </r>
  <r>
    <x v="0"/>
    <x v="104"/>
  </r>
  <r>
    <x v="0"/>
    <x v="4"/>
  </r>
  <r>
    <x v="1"/>
    <x v="188"/>
  </r>
  <r>
    <x v="0"/>
    <x v="136"/>
  </r>
  <r>
    <x v="1"/>
    <x v="102"/>
  </r>
  <r>
    <x v="1"/>
    <x v="117"/>
  </r>
  <r>
    <x v="0"/>
    <x v="132"/>
  </r>
  <r>
    <x v="0"/>
    <x v="4"/>
  </r>
  <r>
    <x v="0"/>
    <x v="156"/>
  </r>
  <r>
    <x v="0"/>
    <x v="179"/>
  </r>
  <r>
    <x v="0"/>
    <x v="0"/>
  </r>
  <r>
    <x v="0"/>
    <x v="140"/>
  </r>
  <r>
    <x v="0"/>
    <x v="189"/>
  </r>
  <r>
    <x v="0"/>
    <x v="4"/>
  </r>
  <r>
    <x v="0"/>
    <x v="74"/>
  </r>
  <r>
    <x v="1"/>
    <x v="190"/>
  </r>
  <r>
    <x v="0"/>
    <x v="191"/>
  </r>
  <r>
    <x v="1"/>
    <x v="139"/>
  </r>
  <r>
    <x v="0"/>
    <x v="88"/>
  </r>
  <r>
    <x v="0"/>
    <x v="51"/>
  </r>
  <r>
    <x v="1"/>
    <x v="28"/>
  </r>
  <r>
    <x v="1"/>
    <x v="192"/>
  </r>
  <r>
    <x v="1"/>
    <x v="188"/>
  </r>
  <r>
    <x v="1"/>
    <x v="126"/>
  </r>
  <r>
    <x v="0"/>
    <x v="144"/>
  </r>
  <r>
    <x v="1"/>
    <x v="19"/>
  </r>
  <r>
    <x v="0"/>
    <x v="11"/>
  </r>
  <r>
    <x v="0"/>
    <x v="193"/>
  </r>
  <r>
    <x v="0"/>
    <x v="54"/>
  </r>
  <r>
    <x v="0"/>
    <x v="28"/>
  </r>
  <r>
    <x v="0"/>
    <x v="4"/>
  </r>
  <r>
    <x v="0"/>
    <x v="194"/>
  </r>
  <r>
    <x v="1"/>
    <x v="195"/>
  </r>
  <r>
    <x v="0"/>
    <x v="196"/>
  </r>
  <r>
    <x v="0"/>
    <x v="197"/>
  </r>
  <r>
    <x v="1"/>
    <x v="29"/>
  </r>
  <r>
    <x v="0"/>
    <x v="72"/>
  </r>
  <r>
    <x v="1"/>
    <x v="19"/>
  </r>
  <r>
    <x v="0"/>
    <x v="25"/>
  </r>
  <r>
    <x v="1"/>
    <x v="198"/>
  </r>
  <r>
    <x v="0"/>
    <x v="25"/>
  </r>
  <r>
    <x v="0"/>
    <x v="18"/>
  </r>
  <r>
    <x v="1"/>
    <x v="153"/>
  </r>
  <r>
    <x v="0"/>
    <x v="32"/>
  </r>
  <r>
    <x v="0"/>
    <x v="28"/>
  </r>
  <r>
    <x v="1"/>
    <x v="29"/>
  </r>
  <r>
    <x v="0"/>
    <x v="199"/>
  </r>
  <r>
    <x v="0"/>
    <x v="2"/>
  </r>
  <r>
    <x v="0"/>
    <x v="86"/>
  </r>
  <r>
    <x v="1"/>
    <x v="19"/>
  </r>
  <r>
    <x v="0"/>
    <x v="32"/>
  </r>
  <r>
    <x v="0"/>
    <x v="32"/>
  </r>
  <r>
    <x v="1"/>
    <x v="77"/>
  </r>
  <r>
    <x v="1"/>
    <x v="51"/>
  </r>
  <r>
    <x v="1"/>
    <x v="121"/>
  </r>
  <r>
    <x v="0"/>
    <x v="11"/>
  </r>
  <r>
    <x v="1"/>
    <x v="200"/>
  </r>
  <r>
    <x v="0"/>
    <x v="80"/>
  </r>
  <r>
    <x v="1"/>
    <x v="201"/>
  </r>
  <r>
    <x v="1"/>
    <x v="202"/>
  </r>
  <r>
    <x v="1"/>
    <x v="12"/>
  </r>
  <r>
    <x v="1"/>
    <x v="12"/>
  </r>
  <r>
    <x v="0"/>
    <x v="19"/>
  </r>
  <r>
    <x v="0"/>
    <x v="200"/>
  </r>
  <r>
    <x v="0"/>
    <x v="19"/>
  </r>
  <r>
    <x v="1"/>
    <x v="19"/>
  </r>
  <r>
    <x v="0"/>
    <x v="203"/>
  </r>
  <r>
    <x v="0"/>
    <x v="97"/>
  </r>
  <r>
    <x v="0"/>
    <x v="87"/>
  </r>
  <r>
    <x v="0"/>
    <x v="143"/>
  </r>
  <r>
    <x v="0"/>
    <x v="19"/>
  </r>
  <r>
    <x v="0"/>
    <x v="204"/>
  </r>
  <r>
    <x v="0"/>
    <x v="18"/>
  </r>
  <r>
    <x v="1"/>
    <x v="71"/>
  </r>
  <r>
    <x v="0"/>
    <x v="11"/>
  </r>
  <r>
    <x v="1"/>
    <x v="205"/>
  </r>
  <r>
    <x v="0"/>
    <x v="164"/>
  </r>
  <r>
    <x v="1"/>
    <x v="128"/>
  </r>
  <r>
    <x v="1"/>
    <x v="206"/>
  </r>
  <r>
    <x v="0"/>
    <x v="28"/>
  </r>
  <r>
    <x v="0"/>
    <x v="25"/>
  </r>
  <r>
    <x v="0"/>
    <x v="119"/>
  </r>
  <r>
    <x v="0"/>
    <x v="4"/>
  </r>
  <r>
    <x v="1"/>
    <x v="4"/>
  </r>
  <r>
    <x v="0"/>
    <x v="72"/>
  </r>
  <r>
    <x v="0"/>
    <x v="25"/>
  </r>
  <r>
    <x v="1"/>
    <x v="7"/>
  </r>
  <r>
    <x v="0"/>
    <x v="32"/>
  </r>
  <r>
    <x v="0"/>
    <x v="13"/>
  </r>
  <r>
    <x v="0"/>
    <x v="29"/>
  </r>
  <r>
    <x v="1"/>
    <x v="207"/>
  </r>
  <r>
    <x v="0"/>
    <x v="208"/>
  </r>
  <r>
    <x v="1"/>
    <x v="28"/>
  </r>
  <r>
    <x v="0"/>
    <x v="4"/>
  </r>
  <r>
    <x v="0"/>
    <x v="80"/>
  </r>
  <r>
    <x v="1"/>
    <x v="16"/>
  </r>
  <r>
    <x v="1"/>
    <x v="175"/>
  </r>
  <r>
    <x v="1"/>
    <x v="74"/>
  </r>
  <r>
    <x v="0"/>
    <x v="2"/>
  </r>
  <r>
    <x v="1"/>
    <x v="209"/>
  </r>
  <r>
    <x v="1"/>
    <x v="143"/>
  </r>
  <r>
    <x v="0"/>
    <x v="19"/>
  </r>
  <r>
    <x v="0"/>
    <x v="210"/>
  </r>
  <r>
    <x v="0"/>
    <x v="211"/>
  </r>
  <r>
    <x v="1"/>
    <x v="128"/>
  </r>
  <r>
    <x v="0"/>
    <x v="212"/>
  </r>
  <r>
    <x v="0"/>
    <x v="84"/>
  </r>
  <r>
    <x v="0"/>
    <x v="4"/>
  </r>
  <r>
    <x v="0"/>
    <x v="4"/>
  </r>
  <r>
    <x v="0"/>
    <x v="123"/>
  </r>
  <r>
    <x v="1"/>
    <x v="190"/>
  </r>
  <r>
    <x v="0"/>
    <x v="0"/>
  </r>
  <r>
    <x v="1"/>
    <x v="28"/>
  </r>
  <r>
    <x v="0"/>
    <x v="19"/>
  </r>
  <r>
    <x v="0"/>
    <x v="72"/>
  </r>
  <r>
    <x v="1"/>
    <x v="213"/>
  </r>
  <r>
    <x v="0"/>
    <x v="104"/>
  </r>
  <r>
    <x v="0"/>
    <x v="18"/>
  </r>
  <r>
    <x v="0"/>
    <x v="146"/>
  </r>
  <r>
    <x v="1"/>
    <x v="115"/>
  </r>
  <r>
    <x v="0"/>
    <x v="25"/>
  </r>
  <r>
    <x v="0"/>
    <x v="214"/>
  </r>
  <r>
    <x v="0"/>
    <x v="4"/>
  </r>
  <r>
    <x v="0"/>
    <x v="11"/>
  </r>
  <r>
    <x v="0"/>
    <x v="215"/>
  </r>
  <r>
    <x v="0"/>
    <x v="25"/>
  </r>
  <r>
    <x v="0"/>
    <x v="140"/>
  </r>
  <r>
    <x v="1"/>
    <x v="36"/>
  </r>
  <r>
    <x v="1"/>
    <x v="129"/>
  </r>
  <r>
    <x v="1"/>
    <x v="12"/>
  </r>
  <r>
    <x v="0"/>
    <x v="79"/>
  </r>
  <r>
    <x v="1"/>
    <x v="37"/>
  </r>
  <r>
    <x v="0"/>
    <x v="28"/>
  </r>
  <r>
    <x v="0"/>
    <x v="4"/>
  </r>
  <r>
    <x v="1"/>
    <x v="216"/>
  </r>
  <r>
    <x v="0"/>
    <x v="174"/>
  </r>
  <r>
    <x v="1"/>
    <x v="95"/>
  </r>
  <r>
    <x v="1"/>
    <x v="106"/>
  </r>
  <r>
    <x v="0"/>
    <x v="29"/>
  </r>
  <r>
    <x v="0"/>
    <x v="53"/>
  </r>
  <r>
    <x v="0"/>
    <x v="124"/>
  </r>
  <r>
    <x v="0"/>
    <x v="165"/>
  </r>
  <r>
    <x v="0"/>
    <x v="13"/>
  </r>
  <r>
    <x v="0"/>
    <x v="95"/>
  </r>
  <r>
    <x v="0"/>
    <x v="217"/>
  </r>
  <r>
    <x v="0"/>
    <x v="142"/>
  </r>
  <r>
    <x v="1"/>
    <x v="133"/>
  </r>
  <r>
    <x v="0"/>
    <x v="25"/>
  </r>
  <r>
    <x v="0"/>
    <x v="93"/>
  </r>
  <r>
    <x v="0"/>
    <x v="209"/>
  </r>
  <r>
    <x v="0"/>
    <x v="218"/>
  </r>
  <r>
    <x v="0"/>
    <x v="140"/>
  </r>
  <r>
    <x v="0"/>
    <x v="104"/>
  </r>
  <r>
    <x v="1"/>
    <x v="48"/>
  </r>
  <r>
    <x v="1"/>
    <x v="16"/>
  </r>
  <r>
    <x v="0"/>
    <x v="2"/>
  </r>
  <r>
    <x v="0"/>
    <x v="121"/>
  </r>
  <r>
    <x v="1"/>
    <x v="40"/>
  </r>
  <r>
    <x v="0"/>
    <x v="95"/>
  </r>
  <r>
    <x v="0"/>
    <x v="13"/>
  </r>
  <r>
    <x v="1"/>
    <x v="160"/>
  </r>
  <r>
    <x v="1"/>
    <x v="48"/>
  </r>
  <r>
    <x v="0"/>
    <x v="54"/>
  </r>
  <r>
    <x v="1"/>
    <x v="178"/>
  </r>
  <r>
    <x v="0"/>
    <x v="42"/>
  </r>
  <r>
    <x v="0"/>
    <x v="25"/>
  </r>
  <r>
    <x v="0"/>
    <x v="21"/>
  </r>
  <r>
    <x v="0"/>
    <x v="120"/>
  </r>
  <r>
    <x v="1"/>
    <x v="120"/>
  </r>
  <r>
    <x v="0"/>
    <x v="25"/>
  </r>
  <r>
    <x v="1"/>
    <x v="68"/>
  </r>
  <r>
    <x v="0"/>
    <x v="219"/>
  </r>
  <r>
    <x v="1"/>
    <x v="204"/>
  </r>
  <r>
    <x v="1"/>
    <x v="85"/>
  </r>
  <r>
    <x v="0"/>
    <x v="52"/>
  </r>
  <r>
    <x v="0"/>
    <x v="25"/>
  </r>
  <r>
    <x v="1"/>
    <x v="37"/>
  </r>
  <r>
    <x v="0"/>
    <x v="16"/>
  </r>
  <r>
    <x v="0"/>
    <x v="114"/>
  </r>
  <r>
    <x v="0"/>
    <x v="155"/>
  </r>
  <r>
    <x v="0"/>
    <x v="18"/>
  </r>
  <r>
    <x v="0"/>
    <x v="220"/>
  </r>
  <r>
    <x v="0"/>
    <x v="196"/>
  </r>
  <r>
    <x v="0"/>
    <x v="2"/>
  </r>
  <r>
    <x v="0"/>
    <x v="52"/>
  </r>
  <r>
    <x v="0"/>
    <x v="16"/>
  </r>
  <r>
    <x v="0"/>
    <x v="71"/>
  </r>
  <r>
    <x v="0"/>
    <x v="4"/>
  </r>
  <r>
    <x v="1"/>
    <x v="31"/>
  </r>
  <r>
    <x v="1"/>
    <x v="106"/>
  </r>
  <r>
    <x v="0"/>
    <x v="31"/>
  </r>
  <r>
    <x v="0"/>
    <x v="29"/>
  </r>
  <r>
    <x v="0"/>
    <x v="16"/>
  </r>
  <r>
    <x v="0"/>
    <x v="104"/>
  </r>
  <r>
    <x v="0"/>
    <x v="71"/>
  </r>
  <r>
    <x v="0"/>
    <x v="4"/>
  </r>
  <r>
    <x v="1"/>
    <x v="221"/>
  </r>
  <r>
    <x v="1"/>
    <x v="45"/>
  </r>
  <r>
    <x v="0"/>
    <x v="127"/>
  </r>
  <r>
    <x v="1"/>
    <x v="222"/>
  </r>
  <r>
    <x v="0"/>
    <x v="42"/>
  </r>
  <r>
    <x v="0"/>
    <x v="157"/>
  </r>
  <r>
    <x v="0"/>
    <x v="45"/>
  </r>
  <r>
    <x v="0"/>
    <x v="106"/>
  </r>
  <r>
    <x v="0"/>
    <x v="36"/>
  </r>
  <r>
    <x v="0"/>
    <x v="40"/>
  </r>
  <r>
    <x v="0"/>
    <x v="223"/>
  </r>
  <r>
    <x v="0"/>
    <x v="88"/>
  </r>
  <r>
    <x v="1"/>
    <x v="224"/>
  </r>
  <r>
    <x v="0"/>
    <x v="225"/>
  </r>
  <r>
    <x v="1"/>
    <x v="226"/>
  </r>
  <r>
    <x v="0"/>
    <x v="54"/>
  </r>
  <r>
    <x v="0"/>
    <x v="18"/>
  </r>
  <r>
    <x v="0"/>
    <x v="11"/>
  </r>
  <r>
    <x v="0"/>
    <x v="119"/>
  </r>
  <r>
    <x v="0"/>
    <x v="4"/>
  </r>
  <r>
    <x v="1"/>
    <x v="93"/>
  </r>
  <r>
    <x v="0"/>
    <x v="143"/>
  </r>
  <r>
    <x v="0"/>
    <x v="55"/>
  </r>
  <r>
    <x v="1"/>
    <x v="164"/>
  </r>
  <r>
    <x v="0"/>
    <x v="194"/>
  </r>
  <r>
    <x v="1"/>
    <x v="53"/>
  </r>
  <r>
    <x v="0"/>
    <x v="227"/>
  </r>
  <r>
    <x v="0"/>
    <x v="13"/>
  </r>
  <r>
    <x v="0"/>
    <x v="19"/>
  </r>
  <r>
    <x v="1"/>
    <x v="119"/>
  </r>
  <r>
    <x v="0"/>
    <x v="194"/>
  </r>
  <r>
    <x v="1"/>
    <x v="139"/>
  </r>
  <r>
    <x v="0"/>
    <x v="49"/>
  </r>
  <r>
    <x v="1"/>
    <x v="189"/>
  </r>
  <r>
    <x v="0"/>
    <x v="11"/>
  </r>
  <r>
    <x v="0"/>
    <x v="31"/>
  </r>
  <r>
    <x v="0"/>
    <x v="228"/>
  </r>
  <r>
    <x v="0"/>
    <x v="16"/>
  </r>
  <r>
    <x v="0"/>
    <x v="55"/>
  </r>
  <r>
    <x v="1"/>
    <x v="164"/>
  </r>
  <r>
    <x v="1"/>
    <x v="29"/>
  </r>
  <r>
    <x v="0"/>
    <x v="37"/>
  </r>
  <r>
    <x v="0"/>
    <x v="71"/>
  </r>
  <r>
    <x v="1"/>
    <x v="213"/>
  </r>
  <r>
    <x v="0"/>
    <x v="218"/>
  </r>
  <r>
    <x v="0"/>
    <x v="16"/>
  </r>
  <r>
    <x v="0"/>
    <x v="16"/>
  </r>
  <r>
    <x v="0"/>
    <x v="3"/>
  </r>
  <r>
    <x v="0"/>
    <x v="51"/>
  </r>
  <r>
    <x v="1"/>
    <x v="35"/>
  </r>
  <r>
    <x v="1"/>
    <x v="229"/>
  </r>
  <r>
    <x v="0"/>
    <x v="19"/>
  </r>
  <r>
    <x v="1"/>
    <x v="2"/>
  </r>
  <r>
    <x v="1"/>
    <x v="224"/>
  </r>
  <r>
    <x v="0"/>
    <x v="112"/>
  </r>
  <r>
    <x v="0"/>
    <x v="104"/>
  </r>
  <r>
    <x v="0"/>
    <x v="16"/>
  </r>
  <r>
    <x v="0"/>
    <x v="16"/>
  </r>
  <r>
    <x v="0"/>
    <x v="95"/>
  </r>
  <r>
    <x v="1"/>
    <x v="63"/>
  </r>
  <r>
    <x v="0"/>
    <x v="127"/>
  </r>
  <r>
    <x v="0"/>
    <x v="25"/>
  </r>
  <r>
    <x v="0"/>
    <x v="25"/>
  </r>
  <r>
    <x v="0"/>
    <x v="209"/>
  </r>
  <r>
    <x v="0"/>
    <x v="135"/>
  </r>
  <r>
    <x v="1"/>
    <x v="148"/>
  </r>
  <r>
    <x v="0"/>
    <x v="95"/>
  </r>
  <r>
    <x v="0"/>
    <x v="2"/>
  </r>
  <r>
    <x v="0"/>
    <x v="202"/>
  </r>
  <r>
    <x v="0"/>
    <x v="134"/>
  </r>
  <r>
    <x v="1"/>
    <x v="16"/>
  </r>
  <r>
    <x v="0"/>
    <x v="3"/>
  </r>
  <r>
    <x v="0"/>
    <x v="28"/>
  </r>
  <r>
    <x v="1"/>
    <x v="68"/>
  </r>
  <r>
    <x v="0"/>
    <x v="57"/>
  </r>
  <r>
    <x v="0"/>
    <x v="59"/>
  </r>
  <r>
    <x v="0"/>
    <x v="25"/>
  </r>
  <r>
    <x v="1"/>
    <x v="216"/>
  </r>
  <r>
    <x v="0"/>
    <x v="80"/>
  </r>
  <r>
    <x v="0"/>
    <x v="88"/>
  </r>
  <r>
    <x v="0"/>
    <x v="86"/>
  </r>
  <r>
    <x v="0"/>
    <x v="4"/>
  </r>
  <r>
    <x v="1"/>
    <x v="126"/>
  </r>
  <r>
    <x v="0"/>
    <x v="80"/>
  </r>
  <r>
    <x v="0"/>
    <x v="123"/>
  </r>
  <r>
    <x v="0"/>
    <x v="32"/>
  </r>
  <r>
    <x v="1"/>
    <x v="168"/>
  </r>
  <r>
    <x v="0"/>
    <x v="71"/>
  </r>
  <r>
    <x v="1"/>
    <x v="133"/>
  </r>
  <r>
    <x v="0"/>
    <x v="205"/>
  </r>
  <r>
    <x v="1"/>
    <x v="28"/>
  </r>
  <r>
    <x v="0"/>
    <x v="72"/>
  </r>
  <r>
    <x v="0"/>
    <x v="230"/>
  </r>
  <r>
    <x v="0"/>
    <x v="59"/>
  </r>
  <r>
    <x v="0"/>
    <x v="13"/>
  </r>
  <r>
    <x v="1"/>
    <x v="29"/>
  </r>
  <r>
    <x v="0"/>
    <x v="18"/>
  </r>
  <r>
    <x v="1"/>
    <x v="68"/>
  </r>
  <r>
    <x v="0"/>
    <x v="28"/>
  </r>
  <r>
    <x v="0"/>
    <x v="28"/>
  </r>
  <r>
    <x v="1"/>
    <x v="57"/>
  </r>
  <r>
    <x v="0"/>
    <x v="229"/>
  </r>
  <r>
    <x v="1"/>
    <x v="224"/>
  </r>
  <r>
    <x v="1"/>
    <x v="32"/>
  </r>
  <r>
    <x v="1"/>
    <x v="225"/>
  </r>
  <r>
    <x v="0"/>
    <x v="209"/>
  </r>
  <r>
    <x v="0"/>
    <x v="231"/>
  </r>
  <r>
    <x v="0"/>
    <x v="79"/>
  </r>
  <r>
    <x v="0"/>
    <x v="0"/>
  </r>
  <r>
    <x v="1"/>
    <x v="196"/>
  </r>
  <r>
    <x v="0"/>
    <x v="15"/>
  </r>
  <r>
    <x v="0"/>
    <x v="65"/>
  </r>
  <r>
    <x v="0"/>
    <x v="84"/>
  </r>
  <r>
    <x v="0"/>
    <x v="28"/>
  </r>
  <r>
    <x v="0"/>
    <x v="19"/>
  </r>
  <r>
    <x v="1"/>
    <x v="94"/>
  </r>
  <r>
    <x v="0"/>
    <x v="101"/>
  </r>
  <r>
    <x v="0"/>
    <x v="25"/>
  </r>
  <r>
    <x v="0"/>
    <x v="16"/>
  </r>
  <r>
    <x v="1"/>
    <x v="232"/>
  </r>
  <r>
    <x v="1"/>
    <x v="233"/>
  </r>
  <r>
    <x v="0"/>
    <x v="32"/>
  </r>
  <r>
    <x v="1"/>
    <x v="72"/>
  </r>
  <r>
    <x v="0"/>
    <x v="16"/>
  </r>
  <r>
    <x v="1"/>
    <x v="121"/>
  </r>
  <r>
    <x v="0"/>
    <x v="168"/>
  </r>
  <r>
    <x v="0"/>
    <x v="234"/>
  </r>
  <r>
    <x v="0"/>
    <x v="78"/>
  </r>
  <r>
    <x v="0"/>
    <x v="71"/>
  </r>
  <r>
    <x v="0"/>
    <x v="104"/>
  </r>
  <r>
    <x v="1"/>
    <x v="71"/>
  </r>
  <r>
    <x v="0"/>
    <x v="16"/>
  </r>
  <r>
    <x v="1"/>
    <x v="3"/>
  </r>
  <r>
    <x v="0"/>
    <x v="235"/>
  </r>
  <r>
    <x v="0"/>
    <x v="72"/>
  </r>
  <r>
    <x v="0"/>
    <x v="29"/>
  </r>
  <r>
    <x v="1"/>
    <x v="12"/>
  </r>
  <r>
    <x v="0"/>
    <x v="4"/>
  </r>
  <r>
    <x v="0"/>
    <x v="104"/>
  </r>
  <r>
    <x v="1"/>
    <x v="2"/>
  </r>
  <r>
    <x v="0"/>
    <x v="236"/>
  </r>
  <r>
    <x v="0"/>
    <x v="237"/>
  </r>
  <r>
    <x v="0"/>
    <x v="48"/>
  </r>
  <r>
    <x v="1"/>
    <x v="198"/>
  </r>
  <r>
    <x v="0"/>
    <x v="51"/>
  </r>
  <r>
    <x v="0"/>
    <x v="104"/>
  </r>
  <r>
    <x v="1"/>
    <x v="57"/>
  </r>
  <r>
    <x v="0"/>
    <x v="40"/>
  </r>
  <r>
    <x v="0"/>
    <x v="238"/>
  </r>
  <r>
    <x v="0"/>
    <x v="54"/>
  </r>
  <r>
    <x v="0"/>
    <x v="236"/>
  </r>
  <r>
    <x v="0"/>
    <x v="28"/>
  </r>
  <r>
    <x v="1"/>
    <x v="46"/>
  </r>
  <r>
    <x v="1"/>
    <x v="53"/>
  </r>
  <r>
    <x v="0"/>
    <x v="170"/>
  </r>
  <r>
    <x v="0"/>
    <x v="32"/>
  </r>
  <r>
    <x v="0"/>
    <x v="13"/>
  </r>
  <r>
    <x v="0"/>
    <x v="239"/>
  </r>
  <r>
    <x v="1"/>
    <x v="147"/>
  </r>
  <r>
    <x v="0"/>
    <x v="51"/>
  </r>
  <r>
    <x v="0"/>
    <x v="4"/>
  </r>
  <r>
    <x v="0"/>
    <x v="54"/>
  </r>
  <r>
    <x v="0"/>
    <x v="132"/>
  </r>
  <r>
    <x v="0"/>
    <x v="2"/>
  </r>
  <r>
    <x v="0"/>
    <x v="29"/>
  </r>
  <r>
    <x v="1"/>
    <x v="113"/>
  </r>
  <r>
    <x v="0"/>
    <x v="240"/>
  </r>
  <r>
    <x v="0"/>
    <x v="51"/>
  </r>
  <r>
    <x v="0"/>
    <x v="120"/>
  </r>
  <r>
    <x v="0"/>
    <x v="94"/>
  </r>
  <r>
    <x v="0"/>
    <x v="25"/>
  </r>
  <r>
    <x v="0"/>
    <x v="213"/>
  </r>
  <r>
    <x v="1"/>
    <x v="180"/>
  </r>
  <r>
    <x v="0"/>
    <x v="12"/>
  </r>
  <r>
    <x v="0"/>
    <x v="71"/>
  </r>
  <r>
    <x v="1"/>
    <x v="49"/>
  </r>
  <r>
    <x v="1"/>
    <x v="241"/>
  </r>
  <r>
    <x v="1"/>
    <x v="19"/>
  </r>
  <r>
    <x v="1"/>
    <x v="118"/>
  </r>
  <r>
    <x v="1"/>
    <x v="150"/>
  </r>
  <r>
    <x v="0"/>
    <x v="11"/>
  </r>
  <r>
    <x v="1"/>
    <x v="178"/>
  </r>
  <r>
    <x v="0"/>
    <x v="32"/>
  </r>
  <r>
    <x v="0"/>
    <x v="242"/>
  </r>
  <r>
    <x v="0"/>
    <x v="86"/>
  </r>
  <r>
    <x v="1"/>
    <x v="232"/>
  </r>
  <r>
    <x v="1"/>
    <x v="94"/>
  </r>
  <r>
    <x v="0"/>
    <x v="16"/>
  </r>
  <r>
    <x v="1"/>
    <x v="16"/>
  </r>
  <r>
    <x v="1"/>
    <x v="243"/>
  </r>
  <r>
    <x v="0"/>
    <x v="244"/>
  </r>
  <r>
    <x v="0"/>
    <x v="59"/>
  </r>
  <r>
    <x v="0"/>
    <x v="8"/>
  </r>
  <r>
    <x v="0"/>
    <x v="25"/>
  </r>
  <r>
    <x v="1"/>
    <x v="124"/>
  </r>
  <r>
    <x v="0"/>
    <x v="245"/>
  </r>
  <r>
    <x v="0"/>
    <x v="58"/>
  </r>
  <r>
    <x v="1"/>
    <x v="145"/>
  </r>
  <r>
    <x v="1"/>
    <x v="18"/>
  </r>
  <r>
    <x v="0"/>
    <x v="246"/>
  </r>
  <r>
    <x v="0"/>
    <x v="25"/>
  </r>
  <r>
    <x v="0"/>
    <x v="25"/>
  </r>
  <r>
    <x v="1"/>
    <x v="147"/>
  </r>
  <r>
    <x v="1"/>
    <x v="19"/>
  </r>
  <r>
    <x v="0"/>
    <x v="25"/>
  </r>
  <r>
    <x v="1"/>
    <x v="247"/>
  </r>
  <r>
    <x v="0"/>
    <x v="29"/>
  </r>
  <r>
    <x v="0"/>
    <x v="79"/>
  </r>
  <r>
    <x v="1"/>
    <x v="15"/>
  </r>
  <r>
    <x v="0"/>
    <x v="16"/>
  </r>
  <r>
    <x v="1"/>
    <x v="209"/>
  </r>
  <r>
    <x v="1"/>
    <x v="231"/>
  </r>
  <r>
    <x v="0"/>
    <x v="209"/>
  </r>
  <r>
    <x v="0"/>
    <x v="28"/>
  </r>
  <r>
    <x v="2"/>
    <x v="24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2">
  <r>
    <x v="0"/>
    <x v="0"/>
    <n v="7.25"/>
  </r>
  <r>
    <x v="1"/>
    <x v="1"/>
    <n v="71.283299999999997"/>
  </r>
  <r>
    <x v="0"/>
    <x v="1"/>
    <n v="7.9249999999999998"/>
  </r>
  <r>
    <x v="1"/>
    <x v="1"/>
    <n v="53.1"/>
  </r>
  <r>
    <x v="0"/>
    <x v="0"/>
    <n v="8.0500000000000007"/>
  </r>
  <r>
    <x v="0"/>
    <x v="0"/>
    <n v="8.4582999999999995"/>
  </r>
  <r>
    <x v="1"/>
    <x v="0"/>
    <n v="51.862499999999997"/>
  </r>
  <r>
    <x v="0"/>
    <x v="0"/>
    <n v="21.074999999999999"/>
  </r>
  <r>
    <x v="0"/>
    <x v="1"/>
    <n v="11.1333"/>
  </r>
  <r>
    <x v="2"/>
    <x v="1"/>
    <n v="30.070799999999998"/>
  </r>
  <r>
    <x v="0"/>
    <x v="1"/>
    <n v="16.7"/>
  </r>
  <r>
    <x v="1"/>
    <x v="1"/>
    <n v="26.55"/>
  </r>
  <r>
    <x v="0"/>
    <x v="0"/>
    <n v="8.0500000000000007"/>
  </r>
  <r>
    <x v="0"/>
    <x v="0"/>
    <n v="31.274999999999999"/>
  </r>
  <r>
    <x v="0"/>
    <x v="1"/>
    <n v="7.8541999999999996"/>
  </r>
  <r>
    <x v="2"/>
    <x v="1"/>
    <n v="16"/>
  </r>
  <r>
    <x v="0"/>
    <x v="0"/>
    <n v="29.125"/>
  </r>
  <r>
    <x v="2"/>
    <x v="0"/>
    <n v="13"/>
  </r>
  <r>
    <x v="0"/>
    <x v="1"/>
    <n v="18"/>
  </r>
  <r>
    <x v="0"/>
    <x v="1"/>
    <n v="7.2249999999999996"/>
  </r>
  <r>
    <x v="2"/>
    <x v="0"/>
    <n v="26"/>
  </r>
  <r>
    <x v="2"/>
    <x v="0"/>
    <n v="13"/>
  </r>
  <r>
    <x v="0"/>
    <x v="1"/>
    <n v="8.0291999999999994"/>
  </r>
  <r>
    <x v="1"/>
    <x v="0"/>
    <n v="35.5"/>
  </r>
  <r>
    <x v="0"/>
    <x v="1"/>
    <n v="21.074999999999999"/>
  </r>
  <r>
    <x v="0"/>
    <x v="1"/>
    <n v="31.387499999999999"/>
  </r>
  <r>
    <x v="0"/>
    <x v="0"/>
    <n v="7.2249999999999996"/>
  </r>
  <r>
    <x v="1"/>
    <x v="0"/>
    <n v="263"/>
  </r>
  <r>
    <x v="0"/>
    <x v="1"/>
    <n v="7.8792"/>
  </r>
  <r>
    <x v="0"/>
    <x v="0"/>
    <n v="7.8958000000000004"/>
  </r>
  <r>
    <x v="1"/>
    <x v="0"/>
    <n v="27.720800000000001"/>
  </r>
  <r>
    <x v="1"/>
    <x v="1"/>
    <n v="146.52080000000001"/>
  </r>
  <r>
    <x v="0"/>
    <x v="1"/>
    <n v="7.75"/>
  </r>
  <r>
    <x v="2"/>
    <x v="0"/>
    <n v="10.5"/>
  </r>
  <r>
    <x v="1"/>
    <x v="0"/>
    <n v="82.1708"/>
  </r>
  <r>
    <x v="1"/>
    <x v="0"/>
    <n v="52"/>
  </r>
  <r>
    <x v="0"/>
    <x v="0"/>
    <n v="7.2291999999999996"/>
  </r>
  <r>
    <x v="0"/>
    <x v="0"/>
    <n v="8.0500000000000007"/>
  </r>
  <r>
    <x v="0"/>
    <x v="1"/>
    <n v="18"/>
  </r>
  <r>
    <x v="0"/>
    <x v="1"/>
    <n v="11.2417"/>
  </r>
  <r>
    <x v="0"/>
    <x v="1"/>
    <n v="9.4749999999999996"/>
  </r>
  <r>
    <x v="2"/>
    <x v="1"/>
    <n v="21"/>
  </r>
  <r>
    <x v="0"/>
    <x v="0"/>
    <n v="7.8958000000000004"/>
  </r>
  <r>
    <x v="2"/>
    <x v="1"/>
    <n v="41.5792"/>
  </r>
  <r>
    <x v="0"/>
    <x v="1"/>
    <n v="7.8792"/>
  </r>
  <r>
    <x v="0"/>
    <x v="0"/>
    <n v="8.0500000000000007"/>
  </r>
  <r>
    <x v="0"/>
    <x v="0"/>
    <n v="15.5"/>
  </r>
  <r>
    <x v="0"/>
    <x v="1"/>
    <n v="7.75"/>
  </r>
  <r>
    <x v="0"/>
    <x v="0"/>
    <n v="21.679200000000002"/>
  </r>
  <r>
    <x v="0"/>
    <x v="1"/>
    <n v="17.8"/>
  </r>
  <r>
    <x v="0"/>
    <x v="0"/>
    <n v="39.6875"/>
  </r>
  <r>
    <x v="0"/>
    <x v="0"/>
    <n v="7.8"/>
  </r>
  <r>
    <x v="1"/>
    <x v="1"/>
    <n v="76.729200000000006"/>
  </r>
  <r>
    <x v="2"/>
    <x v="1"/>
    <n v="26"/>
  </r>
  <r>
    <x v="1"/>
    <x v="0"/>
    <n v="61.979199999999999"/>
  </r>
  <r>
    <x v="1"/>
    <x v="0"/>
    <n v="35.5"/>
  </r>
  <r>
    <x v="2"/>
    <x v="1"/>
    <n v="10.5"/>
  </r>
  <r>
    <x v="0"/>
    <x v="0"/>
    <n v="7.2291999999999996"/>
  </r>
  <r>
    <x v="2"/>
    <x v="1"/>
    <n v="27.75"/>
  </r>
  <r>
    <x v="0"/>
    <x v="0"/>
    <n v="46.9"/>
  </r>
  <r>
    <x v="0"/>
    <x v="0"/>
    <n v="7.2291999999999996"/>
  </r>
  <r>
    <x v="1"/>
    <x v="1"/>
    <n v="80"/>
  </r>
  <r>
    <x v="1"/>
    <x v="0"/>
    <n v="83.474999999999994"/>
  </r>
  <r>
    <x v="0"/>
    <x v="0"/>
    <n v="27.9"/>
  </r>
  <r>
    <x v="1"/>
    <x v="0"/>
    <n v="27.720800000000001"/>
  </r>
  <r>
    <x v="0"/>
    <x v="0"/>
    <n v="15.245799999999999"/>
  </r>
  <r>
    <x v="2"/>
    <x v="1"/>
    <n v="10.5"/>
  </r>
  <r>
    <x v="0"/>
    <x v="0"/>
    <n v="8.1583000000000006"/>
  </r>
  <r>
    <x v="0"/>
    <x v="1"/>
    <n v="7.9249999999999998"/>
  </r>
  <r>
    <x v="0"/>
    <x v="0"/>
    <n v="8.6624999999999996"/>
  </r>
  <r>
    <x v="2"/>
    <x v="0"/>
    <n v="10.5"/>
  </r>
  <r>
    <x v="0"/>
    <x v="1"/>
    <n v="46.9"/>
  </r>
  <r>
    <x v="2"/>
    <x v="0"/>
    <n v="73.5"/>
  </r>
  <r>
    <x v="0"/>
    <x v="0"/>
    <n v="14.4542"/>
  </r>
  <r>
    <x v="0"/>
    <x v="0"/>
    <n v="56.495800000000003"/>
  </r>
  <r>
    <x v="0"/>
    <x v="0"/>
    <n v="7.65"/>
  </r>
  <r>
    <x v="0"/>
    <x v="0"/>
    <n v="7.8958000000000004"/>
  </r>
  <r>
    <x v="0"/>
    <x v="0"/>
    <n v="8.0500000000000007"/>
  </r>
  <r>
    <x v="2"/>
    <x v="0"/>
    <n v="29"/>
  </r>
  <r>
    <x v="0"/>
    <x v="1"/>
    <n v="12.475"/>
  </r>
  <r>
    <x v="0"/>
    <x v="0"/>
    <n v="9"/>
  </r>
  <r>
    <x v="0"/>
    <x v="0"/>
    <n v="9.5"/>
  </r>
  <r>
    <x v="0"/>
    <x v="1"/>
    <n v="7.7874999999999996"/>
  </r>
  <r>
    <x v="1"/>
    <x v="0"/>
    <n v="47.1"/>
  </r>
  <r>
    <x v="2"/>
    <x v="1"/>
    <n v="10.5"/>
  </r>
  <r>
    <x v="0"/>
    <x v="1"/>
    <n v="15.85"/>
  </r>
  <r>
    <x v="0"/>
    <x v="0"/>
    <n v="34.375"/>
  </r>
  <r>
    <x v="0"/>
    <x v="0"/>
    <n v="8.0500000000000007"/>
  </r>
  <r>
    <x v="1"/>
    <x v="1"/>
    <n v="263"/>
  </r>
  <r>
    <x v="0"/>
    <x v="0"/>
    <n v="8.0500000000000007"/>
  </r>
  <r>
    <x v="0"/>
    <x v="0"/>
    <n v="8.0500000000000007"/>
  </r>
  <r>
    <x v="0"/>
    <x v="0"/>
    <n v="7.8541999999999996"/>
  </r>
  <r>
    <x v="1"/>
    <x v="0"/>
    <n v="61.174999999999997"/>
  </r>
  <r>
    <x v="0"/>
    <x v="0"/>
    <n v="20.574999999999999"/>
  </r>
  <r>
    <x v="0"/>
    <x v="0"/>
    <n v="7.25"/>
  </r>
  <r>
    <x v="0"/>
    <x v="0"/>
    <n v="8.0500000000000007"/>
  </r>
  <r>
    <x v="1"/>
    <x v="0"/>
    <n v="34.654200000000003"/>
  </r>
  <r>
    <x v="1"/>
    <x v="0"/>
    <n v="63.3583"/>
  </r>
  <r>
    <x v="2"/>
    <x v="1"/>
    <n v="23"/>
  </r>
  <r>
    <x v="2"/>
    <x v="0"/>
    <n v="26"/>
  </r>
  <r>
    <x v="0"/>
    <x v="1"/>
    <n v="7.8958000000000004"/>
  </r>
  <r>
    <x v="0"/>
    <x v="0"/>
    <n v="7.8958000000000004"/>
  </r>
  <r>
    <x v="1"/>
    <x v="0"/>
    <n v="77.287499999999994"/>
  </r>
  <r>
    <x v="0"/>
    <x v="0"/>
    <n v="8.6541999999999994"/>
  </r>
  <r>
    <x v="0"/>
    <x v="0"/>
    <n v="7.9249999999999998"/>
  </r>
  <r>
    <x v="0"/>
    <x v="0"/>
    <n v="7.8958000000000004"/>
  </r>
  <r>
    <x v="0"/>
    <x v="1"/>
    <n v="7.65"/>
  </r>
  <r>
    <x v="0"/>
    <x v="0"/>
    <n v="7.7750000000000004"/>
  </r>
  <r>
    <x v="0"/>
    <x v="0"/>
    <n v="7.8958000000000004"/>
  </r>
  <r>
    <x v="0"/>
    <x v="1"/>
    <n v="24.15"/>
  </r>
  <r>
    <x v="1"/>
    <x v="0"/>
    <n v="52"/>
  </r>
  <r>
    <x v="0"/>
    <x v="1"/>
    <n v="14.4542"/>
  </r>
  <r>
    <x v="0"/>
    <x v="0"/>
    <n v="8.0500000000000007"/>
  </r>
  <r>
    <x v="0"/>
    <x v="1"/>
    <n v="9.8249999999999993"/>
  </r>
  <r>
    <x v="0"/>
    <x v="1"/>
    <n v="14.458299999999999"/>
  </r>
  <r>
    <x v="0"/>
    <x v="0"/>
    <n v="7.9249999999999998"/>
  </r>
  <r>
    <x v="0"/>
    <x v="0"/>
    <n v="7.75"/>
  </r>
  <r>
    <x v="2"/>
    <x v="0"/>
    <n v="21"/>
  </r>
  <r>
    <x v="1"/>
    <x v="0"/>
    <n v="247.52080000000001"/>
  </r>
  <r>
    <x v="0"/>
    <x v="1"/>
    <n v="31.274999999999999"/>
  </r>
  <r>
    <x v="2"/>
    <x v="0"/>
    <n v="73.5"/>
  </r>
  <r>
    <x v="0"/>
    <x v="0"/>
    <n v="8.0500000000000007"/>
  </r>
  <r>
    <x v="2"/>
    <x v="0"/>
    <n v="30.070799999999998"/>
  </r>
  <r>
    <x v="2"/>
    <x v="1"/>
    <n v="13"/>
  </r>
  <r>
    <x v="1"/>
    <x v="0"/>
    <n v="77.287499999999994"/>
  </r>
  <r>
    <x v="0"/>
    <x v="0"/>
    <n v="11.2417"/>
  </r>
  <r>
    <x v="0"/>
    <x v="0"/>
    <n v="7.75"/>
  </r>
  <r>
    <x v="0"/>
    <x v="0"/>
    <n v="7.1417000000000002"/>
  </r>
  <r>
    <x v="0"/>
    <x v="1"/>
    <n v="22.3583"/>
  </r>
  <r>
    <x v="0"/>
    <x v="0"/>
    <n v="6.9749999999999996"/>
  </r>
  <r>
    <x v="0"/>
    <x v="0"/>
    <n v="7.8958000000000004"/>
  </r>
  <r>
    <x v="0"/>
    <x v="0"/>
    <n v="7.05"/>
  </r>
  <r>
    <x v="0"/>
    <x v="1"/>
    <n v="14.5"/>
  </r>
  <r>
    <x v="2"/>
    <x v="1"/>
    <n v="26"/>
  </r>
  <r>
    <x v="2"/>
    <x v="0"/>
    <n v="13"/>
  </r>
  <r>
    <x v="2"/>
    <x v="0"/>
    <n v="15.0458"/>
  </r>
  <r>
    <x v="1"/>
    <x v="1"/>
    <n v="26.283300000000001"/>
  </r>
  <r>
    <x v="1"/>
    <x v="0"/>
    <n v="53.1"/>
  </r>
  <r>
    <x v="0"/>
    <x v="0"/>
    <n v="9.2166999999999994"/>
  </r>
  <r>
    <x v="1"/>
    <x v="0"/>
    <n v="79.2"/>
  </r>
  <r>
    <x v="0"/>
    <x v="1"/>
    <n v="15.245799999999999"/>
  </r>
  <r>
    <x v="0"/>
    <x v="1"/>
    <n v="7.75"/>
  </r>
  <r>
    <x v="0"/>
    <x v="1"/>
    <n v="15.85"/>
  </r>
  <r>
    <x v="0"/>
    <x v="0"/>
    <n v="6.75"/>
  </r>
  <r>
    <x v="2"/>
    <x v="0"/>
    <n v="11.5"/>
  </r>
  <r>
    <x v="2"/>
    <x v="0"/>
    <n v="36.75"/>
  </r>
  <r>
    <x v="0"/>
    <x v="0"/>
    <n v="7.7957999999999998"/>
  </r>
  <r>
    <x v="0"/>
    <x v="1"/>
    <n v="34.375"/>
  </r>
  <r>
    <x v="2"/>
    <x v="0"/>
    <n v="26"/>
  </r>
  <r>
    <x v="2"/>
    <x v="0"/>
    <n v="13"/>
  </r>
  <r>
    <x v="2"/>
    <x v="0"/>
    <n v="12.525"/>
  </r>
  <r>
    <x v="1"/>
    <x v="1"/>
    <n v="66.599999999999994"/>
  </r>
  <r>
    <x v="0"/>
    <x v="0"/>
    <n v="8.0500000000000007"/>
  </r>
  <r>
    <x v="0"/>
    <x v="0"/>
    <n v="14.5"/>
  </r>
  <r>
    <x v="0"/>
    <x v="0"/>
    <n v="7.3125"/>
  </r>
  <r>
    <x v="1"/>
    <x v="0"/>
    <n v="61.379199999999997"/>
  </r>
  <r>
    <x v="0"/>
    <x v="1"/>
    <n v="7.7332999999999998"/>
  </r>
  <r>
    <x v="0"/>
    <x v="0"/>
    <n v="8.0500000000000007"/>
  </r>
  <r>
    <x v="0"/>
    <x v="0"/>
    <n v="8.6624999999999996"/>
  </r>
  <r>
    <x v="0"/>
    <x v="0"/>
    <n v="69.55"/>
  </r>
  <r>
    <x v="0"/>
    <x v="0"/>
    <n v="16.100000000000001"/>
  </r>
  <r>
    <x v="2"/>
    <x v="1"/>
    <n v="15.75"/>
  </r>
  <r>
    <x v="0"/>
    <x v="0"/>
    <n v="7.7750000000000004"/>
  </r>
  <r>
    <x v="0"/>
    <x v="0"/>
    <n v="8.6624999999999996"/>
  </r>
  <r>
    <x v="0"/>
    <x v="0"/>
    <n v="39.6875"/>
  </r>
  <r>
    <x v="0"/>
    <x v="0"/>
    <n v="20.524999999999999"/>
  </r>
  <r>
    <x v="1"/>
    <x v="1"/>
    <n v="55"/>
  </r>
  <r>
    <x v="0"/>
    <x v="1"/>
    <n v="27.9"/>
  </r>
  <r>
    <x v="1"/>
    <x v="0"/>
    <n v="25.925000000000001"/>
  </r>
  <r>
    <x v="0"/>
    <x v="0"/>
    <n v="56.495800000000003"/>
  </r>
  <r>
    <x v="1"/>
    <x v="0"/>
    <n v="33.5"/>
  </r>
  <r>
    <x v="0"/>
    <x v="0"/>
    <n v="29.125"/>
  </r>
  <r>
    <x v="0"/>
    <x v="1"/>
    <n v="11.1333"/>
  </r>
  <r>
    <x v="0"/>
    <x v="0"/>
    <n v="7.9249999999999998"/>
  </r>
  <r>
    <x v="1"/>
    <x v="0"/>
    <n v="30.695799999999998"/>
  </r>
  <r>
    <x v="0"/>
    <x v="0"/>
    <n v="7.8541999999999996"/>
  </r>
  <r>
    <x v="0"/>
    <x v="0"/>
    <n v="25.466699999999999"/>
  </r>
  <r>
    <x v="1"/>
    <x v="1"/>
    <n v="28.712499999999999"/>
  </r>
  <r>
    <x v="2"/>
    <x v="0"/>
    <n v="13"/>
  </r>
  <r>
    <x v="0"/>
    <x v="0"/>
    <n v="0"/>
  </r>
  <r>
    <x v="0"/>
    <x v="1"/>
    <n v="69.55"/>
  </r>
  <r>
    <x v="2"/>
    <x v="0"/>
    <n v="15.05"/>
  </r>
  <r>
    <x v="0"/>
    <x v="0"/>
    <n v="31.387499999999999"/>
  </r>
  <r>
    <x v="2"/>
    <x v="0"/>
    <n v="39"/>
  </r>
  <r>
    <x v="0"/>
    <x v="1"/>
    <n v="22.024999999999999"/>
  </r>
  <r>
    <x v="1"/>
    <x v="0"/>
    <n v="50"/>
  </r>
  <r>
    <x v="0"/>
    <x v="1"/>
    <n v="15.5"/>
  </r>
  <r>
    <x v="1"/>
    <x v="0"/>
    <n v="26.55"/>
  </r>
  <r>
    <x v="0"/>
    <x v="0"/>
    <n v="15.5"/>
  </r>
  <r>
    <x v="0"/>
    <x v="0"/>
    <n v="7.8958000000000004"/>
  </r>
  <r>
    <x v="2"/>
    <x v="1"/>
    <n v="13"/>
  </r>
  <r>
    <x v="2"/>
    <x v="0"/>
    <n v="13"/>
  </r>
  <r>
    <x v="0"/>
    <x v="1"/>
    <n v="7.8541999999999996"/>
  </r>
  <r>
    <x v="2"/>
    <x v="0"/>
    <n v="26"/>
  </r>
  <r>
    <x v="1"/>
    <x v="1"/>
    <n v="27.720800000000001"/>
  </r>
  <r>
    <x v="1"/>
    <x v="1"/>
    <n v="146.52080000000001"/>
  </r>
  <r>
    <x v="0"/>
    <x v="0"/>
    <n v="7.75"/>
  </r>
  <r>
    <x v="0"/>
    <x v="0"/>
    <n v="8.4041999999999994"/>
  </r>
  <r>
    <x v="0"/>
    <x v="1"/>
    <n v="7.75"/>
  </r>
  <r>
    <x v="2"/>
    <x v="1"/>
    <n v="13"/>
  </r>
  <r>
    <x v="0"/>
    <x v="0"/>
    <n v="9.5"/>
  </r>
  <r>
    <x v="0"/>
    <x v="0"/>
    <n v="69.55"/>
  </r>
  <r>
    <x v="0"/>
    <x v="0"/>
    <n v="6.4958"/>
  </r>
  <r>
    <x v="0"/>
    <x v="0"/>
    <n v="7.2249999999999996"/>
  </r>
  <r>
    <x v="0"/>
    <x v="0"/>
    <n v="8.0500000000000007"/>
  </r>
  <r>
    <x v="0"/>
    <x v="1"/>
    <n v="10.4625"/>
  </r>
  <r>
    <x v="0"/>
    <x v="0"/>
    <n v="15.85"/>
  </r>
  <r>
    <x v="0"/>
    <x v="0"/>
    <n v="18.787500000000001"/>
  </r>
  <r>
    <x v="0"/>
    <x v="1"/>
    <n v="7.75"/>
  </r>
  <r>
    <x v="1"/>
    <x v="0"/>
    <n v="31"/>
  </r>
  <r>
    <x v="0"/>
    <x v="0"/>
    <n v="7.05"/>
  </r>
  <r>
    <x v="2"/>
    <x v="1"/>
    <n v="21"/>
  </r>
  <r>
    <x v="0"/>
    <x v="0"/>
    <n v="7.25"/>
  </r>
  <r>
    <x v="2"/>
    <x v="0"/>
    <n v="13"/>
  </r>
  <r>
    <x v="0"/>
    <x v="0"/>
    <n v="7.75"/>
  </r>
  <r>
    <x v="1"/>
    <x v="1"/>
    <n v="113.27500000000001"/>
  </r>
  <r>
    <x v="0"/>
    <x v="1"/>
    <n v="7.9249999999999998"/>
  </r>
  <r>
    <x v="2"/>
    <x v="0"/>
    <n v="27"/>
  </r>
  <r>
    <x v="1"/>
    <x v="1"/>
    <n v="76.291700000000006"/>
  </r>
  <r>
    <x v="2"/>
    <x v="0"/>
    <n v="10.5"/>
  </r>
  <r>
    <x v="0"/>
    <x v="0"/>
    <n v="8.0500000000000007"/>
  </r>
  <r>
    <x v="2"/>
    <x v="0"/>
    <n v="13"/>
  </r>
  <r>
    <x v="0"/>
    <x v="0"/>
    <n v="8.0500000000000007"/>
  </r>
  <r>
    <x v="0"/>
    <x v="0"/>
    <n v="7.8958000000000004"/>
  </r>
  <r>
    <x v="1"/>
    <x v="0"/>
    <n v="90"/>
  </r>
  <r>
    <x v="0"/>
    <x v="0"/>
    <n v="9.35"/>
  </r>
  <r>
    <x v="2"/>
    <x v="0"/>
    <n v="10.5"/>
  </r>
  <r>
    <x v="0"/>
    <x v="0"/>
    <n v="7.25"/>
  </r>
  <r>
    <x v="2"/>
    <x v="0"/>
    <n v="13"/>
  </r>
  <r>
    <x v="0"/>
    <x v="1"/>
    <n v="25.466699999999999"/>
  </r>
  <r>
    <x v="1"/>
    <x v="1"/>
    <n v="83.474999999999994"/>
  </r>
  <r>
    <x v="0"/>
    <x v="0"/>
    <n v="7.7750000000000004"/>
  </r>
  <r>
    <x v="2"/>
    <x v="0"/>
    <n v="13.5"/>
  </r>
  <r>
    <x v="0"/>
    <x v="1"/>
    <n v="31.387499999999999"/>
  </r>
  <r>
    <x v="2"/>
    <x v="0"/>
    <n v="10.5"/>
  </r>
  <r>
    <x v="0"/>
    <x v="1"/>
    <n v="7.55"/>
  </r>
  <r>
    <x v="2"/>
    <x v="0"/>
    <n v="26"/>
  </r>
  <r>
    <x v="2"/>
    <x v="1"/>
    <n v="26.25"/>
  </r>
  <r>
    <x v="2"/>
    <x v="0"/>
    <n v="10.5"/>
  </r>
  <r>
    <x v="2"/>
    <x v="0"/>
    <n v="12.275"/>
  </r>
  <r>
    <x v="0"/>
    <x v="1"/>
    <n v="14.4542"/>
  </r>
  <r>
    <x v="0"/>
    <x v="1"/>
    <n v="15.5"/>
  </r>
  <r>
    <x v="2"/>
    <x v="0"/>
    <n v="10.5"/>
  </r>
  <r>
    <x v="0"/>
    <x v="0"/>
    <n v="7.125"/>
  </r>
  <r>
    <x v="0"/>
    <x v="0"/>
    <n v="7.2249999999999996"/>
  </r>
  <r>
    <x v="1"/>
    <x v="0"/>
    <n v="90"/>
  </r>
  <r>
    <x v="0"/>
    <x v="1"/>
    <n v="7.7750000000000004"/>
  </r>
  <r>
    <x v="2"/>
    <x v="1"/>
    <n v="14.5"/>
  </r>
  <r>
    <x v="1"/>
    <x v="0"/>
    <n v="52.554200000000002"/>
  </r>
  <r>
    <x v="2"/>
    <x v="0"/>
    <n v="26"/>
  </r>
  <r>
    <x v="0"/>
    <x v="0"/>
    <n v="7.25"/>
  </r>
  <r>
    <x v="0"/>
    <x v="1"/>
    <n v="10.4625"/>
  </r>
  <r>
    <x v="1"/>
    <x v="0"/>
    <n v="26.55"/>
  </r>
  <r>
    <x v="0"/>
    <x v="0"/>
    <n v="16.100000000000001"/>
  </r>
  <r>
    <x v="0"/>
    <x v="1"/>
    <n v="20.212499999999999"/>
  </r>
  <r>
    <x v="0"/>
    <x v="1"/>
    <n v="15.245799999999999"/>
  </r>
  <r>
    <x v="1"/>
    <x v="1"/>
    <n v="79.2"/>
  </r>
  <r>
    <x v="1"/>
    <x v="1"/>
    <n v="86.5"/>
  </r>
  <r>
    <x v="1"/>
    <x v="1"/>
    <n v="512.32920000000001"/>
  </r>
  <r>
    <x v="2"/>
    <x v="1"/>
    <n v="26"/>
  </r>
  <r>
    <x v="0"/>
    <x v="0"/>
    <n v="7.75"/>
  </r>
  <r>
    <x v="0"/>
    <x v="0"/>
    <n v="31.387499999999999"/>
  </r>
  <r>
    <x v="1"/>
    <x v="0"/>
    <n v="79.650000000000006"/>
  </r>
  <r>
    <x v="1"/>
    <x v="0"/>
    <n v="0"/>
  </r>
  <r>
    <x v="0"/>
    <x v="1"/>
    <n v="7.75"/>
  </r>
  <r>
    <x v="2"/>
    <x v="0"/>
    <n v="10.5"/>
  </r>
  <r>
    <x v="0"/>
    <x v="0"/>
    <n v="39.6875"/>
  </r>
  <r>
    <x v="0"/>
    <x v="0"/>
    <n v="7.7750000000000004"/>
  </r>
  <r>
    <x v="1"/>
    <x v="1"/>
    <n v="153.46250000000001"/>
  </r>
  <r>
    <x v="1"/>
    <x v="1"/>
    <n v="135.63329999999999"/>
  </r>
  <r>
    <x v="1"/>
    <x v="0"/>
    <n v="31"/>
  </r>
  <r>
    <x v="0"/>
    <x v="0"/>
    <n v="0"/>
  </r>
  <r>
    <x v="2"/>
    <x v="1"/>
    <n v="19.5"/>
  </r>
  <r>
    <x v="1"/>
    <x v="0"/>
    <n v="29.7"/>
  </r>
  <r>
    <x v="0"/>
    <x v="1"/>
    <n v="7.75"/>
  </r>
  <r>
    <x v="1"/>
    <x v="1"/>
    <n v="77.958299999999994"/>
  </r>
  <r>
    <x v="0"/>
    <x v="1"/>
    <n v="7.75"/>
  </r>
  <r>
    <x v="2"/>
    <x v="0"/>
    <n v="0"/>
  </r>
  <r>
    <x v="0"/>
    <x v="0"/>
    <n v="29.125"/>
  </r>
  <r>
    <x v="0"/>
    <x v="1"/>
    <n v="20.25"/>
  </r>
  <r>
    <x v="0"/>
    <x v="0"/>
    <n v="7.75"/>
  </r>
  <r>
    <x v="0"/>
    <x v="0"/>
    <n v="7.8541999999999996"/>
  </r>
  <r>
    <x v="0"/>
    <x v="0"/>
    <n v="9.5"/>
  </r>
  <r>
    <x v="0"/>
    <x v="0"/>
    <n v="8.0500000000000007"/>
  </r>
  <r>
    <x v="1"/>
    <x v="0"/>
    <n v="26"/>
  </r>
  <r>
    <x v="0"/>
    <x v="0"/>
    <n v="8.6624999999999996"/>
  </r>
  <r>
    <x v="0"/>
    <x v="0"/>
    <n v="9.5"/>
  </r>
  <r>
    <x v="0"/>
    <x v="0"/>
    <n v="7.8958000000000004"/>
  </r>
  <r>
    <x v="2"/>
    <x v="0"/>
    <n v="13"/>
  </r>
  <r>
    <x v="0"/>
    <x v="1"/>
    <n v="7.75"/>
  </r>
  <r>
    <x v="1"/>
    <x v="1"/>
    <n v="78.849999999999994"/>
  </r>
  <r>
    <x v="1"/>
    <x v="1"/>
    <n v="91.0792"/>
  </r>
  <r>
    <x v="2"/>
    <x v="0"/>
    <n v="12.875"/>
  </r>
  <r>
    <x v="0"/>
    <x v="1"/>
    <n v="8.85"/>
  </r>
  <r>
    <x v="0"/>
    <x v="0"/>
    <n v="7.8958000000000004"/>
  </r>
  <r>
    <x v="1"/>
    <x v="0"/>
    <n v="27.720800000000001"/>
  </r>
  <r>
    <x v="0"/>
    <x v="0"/>
    <n v="7.2291999999999996"/>
  </r>
  <r>
    <x v="1"/>
    <x v="1"/>
    <n v="151.55000000000001"/>
  </r>
  <r>
    <x v="1"/>
    <x v="0"/>
    <n v="30.5"/>
  </r>
  <r>
    <x v="1"/>
    <x v="1"/>
    <n v="247.52080000000001"/>
  </r>
  <r>
    <x v="0"/>
    <x v="1"/>
    <n v="7.75"/>
  </r>
  <r>
    <x v="0"/>
    <x v="0"/>
    <n v="23.25"/>
  </r>
  <r>
    <x v="0"/>
    <x v="0"/>
    <n v="0"/>
  </r>
  <r>
    <x v="2"/>
    <x v="1"/>
    <n v="12.35"/>
  </r>
  <r>
    <x v="0"/>
    <x v="0"/>
    <n v="8.0500000000000007"/>
  </r>
  <r>
    <x v="1"/>
    <x v="0"/>
    <n v="151.55000000000001"/>
  </r>
  <r>
    <x v="1"/>
    <x v="1"/>
    <n v="110.88330000000001"/>
  </r>
  <r>
    <x v="1"/>
    <x v="1"/>
    <n v="108.9"/>
  </r>
  <r>
    <x v="2"/>
    <x v="0"/>
    <n v="24"/>
  </r>
  <r>
    <x v="1"/>
    <x v="1"/>
    <n v="56.929200000000002"/>
  </r>
  <r>
    <x v="1"/>
    <x v="1"/>
    <n v="83.158299999999997"/>
  </r>
  <r>
    <x v="1"/>
    <x v="1"/>
    <n v="262.375"/>
  </r>
  <r>
    <x v="2"/>
    <x v="1"/>
    <n v="26"/>
  </r>
  <r>
    <x v="0"/>
    <x v="0"/>
    <n v="7.8958000000000004"/>
  </r>
  <r>
    <x v="2"/>
    <x v="0"/>
    <n v="26.25"/>
  </r>
  <r>
    <x v="0"/>
    <x v="1"/>
    <n v="7.8541999999999996"/>
  </r>
  <r>
    <x v="2"/>
    <x v="1"/>
    <n v="26"/>
  </r>
  <r>
    <x v="2"/>
    <x v="0"/>
    <n v="14"/>
  </r>
  <r>
    <x v="1"/>
    <x v="1"/>
    <n v="164.86670000000001"/>
  </r>
  <r>
    <x v="1"/>
    <x v="1"/>
    <n v="134.5"/>
  </r>
  <r>
    <x v="0"/>
    <x v="0"/>
    <n v="7.25"/>
  </r>
  <r>
    <x v="0"/>
    <x v="0"/>
    <n v="7.8958000000000004"/>
  </r>
  <r>
    <x v="2"/>
    <x v="1"/>
    <n v="12.35"/>
  </r>
  <r>
    <x v="2"/>
    <x v="1"/>
    <n v="29"/>
  </r>
  <r>
    <x v="0"/>
    <x v="0"/>
    <n v="69.55"/>
  </r>
  <r>
    <x v="1"/>
    <x v="1"/>
    <n v="135.63329999999999"/>
  </r>
  <r>
    <x v="0"/>
    <x v="0"/>
    <n v="6.2374999999999998"/>
  </r>
  <r>
    <x v="2"/>
    <x v="1"/>
    <n v="13"/>
  </r>
  <r>
    <x v="0"/>
    <x v="1"/>
    <n v="20.524999999999999"/>
  </r>
  <r>
    <x v="1"/>
    <x v="1"/>
    <n v="57.979199999999999"/>
  </r>
  <r>
    <x v="0"/>
    <x v="1"/>
    <n v="23.25"/>
  </r>
  <r>
    <x v="1"/>
    <x v="0"/>
    <n v="28.5"/>
  </r>
  <r>
    <x v="1"/>
    <x v="0"/>
    <n v="153.46250000000001"/>
  </r>
  <r>
    <x v="0"/>
    <x v="0"/>
    <n v="18"/>
  </r>
  <r>
    <x v="1"/>
    <x v="1"/>
    <n v="133.65"/>
  </r>
  <r>
    <x v="0"/>
    <x v="0"/>
    <n v="7.8958000000000004"/>
  </r>
  <r>
    <x v="1"/>
    <x v="0"/>
    <n v="66.599999999999994"/>
  </r>
  <r>
    <x v="1"/>
    <x v="1"/>
    <n v="134.5"/>
  </r>
  <r>
    <x v="0"/>
    <x v="0"/>
    <n v="8.0500000000000007"/>
  </r>
  <r>
    <x v="1"/>
    <x v="0"/>
    <n v="35.5"/>
  </r>
  <r>
    <x v="2"/>
    <x v="0"/>
    <n v="26"/>
  </r>
  <r>
    <x v="1"/>
    <x v="1"/>
    <n v="263"/>
  </r>
  <r>
    <x v="2"/>
    <x v="0"/>
    <n v="13"/>
  </r>
  <r>
    <x v="2"/>
    <x v="0"/>
    <n v="13"/>
  </r>
  <r>
    <x v="2"/>
    <x v="0"/>
    <n v="13"/>
  </r>
  <r>
    <x v="2"/>
    <x v="1"/>
    <n v="13"/>
  </r>
  <r>
    <x v="2"/>
    <x v="1"/>
    <n v="13"/>
  </r>
  <r>
    <x v="0"/>
    <x v="1"/>
    <n v="16.100000000000001"/>
  </r>
  <r>
    <x v="0"/>
    <x v="0"/>
    <n v="15.9"/>
  </r>
  <r>
    <x v="0"/>
    <x v="0"/>
    <n v="8.6624999999999996"/>
  </r>
  <r>
    <x v="0"/>
    <x v="0"/>
    <n v="9.2249999999999996"/>
  </r>
  <r>
    <x v="1"/>
    <x v="0"/>
    <n v="35"/>
  </r>
  <r>
    <x v="0"/>
    <x v="0"/>
    <n v="7.2291999999999996"/>
  </r>
  <r>
    <x v="0"/>
    <x v="0"/>
    <n v="17.8"/>
  </r>
  <r>
    <x v="0"/>
    <x v="0"/>
    <n v="7.2249999999999996"/>
  </r>
  <r>
    <x v="0"/>
    <x v="0"/>
    <n v="9.5"/>
  </r>
  <r>
    <x v="1"/>
    <x v="1"/>
    <n v="55"/>
  </r>
  <r>
    <x v="2"/>
    <x v="1"/>
    <n v="13"/>
  </r>
  <r>
    <x v="0"/>
    <x v="1"/>
    <n v="7.8792"/>
  </r>
  <r>
    <x v="0"/>
    <x v="1"/>
    <n v="7.8792"/>
  </r>
  <r>
    <x v="0"/>
    <x v="0"/>
    <n v="27.9"/>
  </r>
  <r>
    <x v="2"/>
    <x v="0"/>
    <n v="27.720800000000001"/>
  </r>
  <r>
    <x v="0"/>
    <x v="1"/>
    <n v="14.4542"/>
  </r>
  <r>
    <x v="0"/>
    <x v="0"/>
    <n v="7.05"/>
  </r>
  <r>
    <x v="0"/>
    <x v="0"/>
    <n v="15.5"/>
  </r>
  <r>
    <x v="0"/>
    <x v="0"/>
    <n v="7.25"/>
  </r>
  <r>
    <x v="1"/>
    <x v="1"/>
    <n v="75.25"/>
  </r>
  <r>
    <x v="0"/>
    <x v="1"/>
    <n v="7.2291999999999996"/>
  </r>
  <r>
    <x v="0"/>
    <x v="1"/>
    <n v="7.75"/>
  </r>
  <r>
    <x v="1"/>
    <x v="1"/>
    <n v="69.3"/>
  </r>
  <r>
    <x v="1"/>
    <x v="0"/>
    <n v="55.441699999999997"/>
  </r>
  <r>
    <x v="0"/>
    <x v="0"/>
    <n v="6.4958"/>
  </r>
  <r>
    <x v="0"/>
    <x v="0"/>
    <n v="8.0500000000000007"/>
  </r>
  <r>
    <x v="1"/>
    <x v="0"/>
    <n v="135.63329999999999"/>
  </r>
  <r>
    <x v="0"/>
    <x v="1"/>
    <n v="21.074999999999999"/>
  </r>
  <r>
    <x v="1"/>
    <x v="1"/>
    <n v="82.1708"/>
  </r>
  <r>
    <x v="0"/>
    <x v="1"/>
    <n v="7.25"/>
  </r>
  <r>
    <x v="1"/>
    <x v="0"/>
    <n v="211.5"/>
  </r>
  <r>
    <x v="0"/>
    <x v="0"/>
    <n v="4.0125000000000002"/>
  </r>
  <r>
    <x v="0"/>
    <x v="0"/>
    <n v="7.7750000000000004"/>
  </r>
  <r>
    <x v="1"/>
    <x v="1"/>
    <n v="227.52500000000001"/>
  </r>
  <r>
    <x v="0"/>
    <x v="1"/>
    <n v="15.7417"/>
  </r>
  <r>
    <x v="0"/>
    <x v="0"/>
    <n v="7.9249999999999998"/>
  </r>
  <r>
    <x v="1"/>
    <x v="1"/>
    <n v="52"/>
  </r>
  <r>
    <x v="0"/>
    <x v="0"/>
    <n v="7.8958000000000004"/>
  </r>
  <r>
    <x v="2"/>
    <x v="0"/>
    <n v="73.5"/>
  </r>
  <r>
    <x v="0"/>
    <x v="0"/>
    <n v="46.9"/>
  </r>
  <r>
    <x v="2"/>
    <x v="1"/>
    <n v="13"/>
  </r>
  <r>
    <x v="0"/>
    <x v="0"/>
    <n v="7.7291999999999996"/>
  </r>
  <r>
    <x v="2"/>
    <x v="1"/>
    <n v="12"/>
  </r>
  <r>
    <x v="1"/>
    <x v="0"/>
    <n v="120"/>
  </r>
  <r>
    <x v="0"/>
    <x v="0"/>
    <n v="7.7957999999999998"/>
  </r>
  <r>
    <x v="0"/>
    <x v="0"/>
    <n v="7.9249999999999998"/>
  </r>
  <r>
    <x v="1"/>
    <x v="1"/>
    <n v="113.27500000000001"/>
  </r>
  <r>
    <x v="0"/>
    <x v="1"/>
    <n v="16.7"/>
  </r>
  <r>
    <x v="0"/>
    <x v="0"/>
    <n v="7.7957999999999998"/>
  </r>
  <r>
    <x v="0"/>
    <x v="1"/>
    <n v="7.8541999999999996"/>
  </r>
  <r>
    <x v="2"/>
    <x v="0"/>
    <n v="26"/>
  </r>
  <r>
    <x v="2"/>
    <x v="0"/>
    <n v="10.5"/>
  </r>
  <r>
    <x v="2"/>
    <x v="1"/>
    <n v="12.65"/>
  </r>
  <r>
    <x v="0"/>
    <x v="0"/>
    <n v="7.9249999999999998"/>
  </r>
  <r>
    <x v="0"/>
    <x v="0"/>
    <n v="8.0500000000000007"/>
  </r>
  <r>
    <x v="0"/>
    <x v="1"/>
    <n v="9.8249999999999993"/>
  </r>
  <r>
    <x v="0"/>
    <x v="0"/>
    <n v="15.85"/>
  </r>
  <r>
    <x v="0"/>
    <x v="1"/>
    <n v="8.6624999999999996"/>
  </r>
  <r>
    <x v="2"/>
    <x v="0"/>
    <n v="21"/>
  </r>
  <r>
    <x v="0"/>
    <x v="0"/>
    <n v="7.75"/>
  </r>
  <r>
    <x v="2"/>
    <x v="0"/>
    <n v="18.75"/>
  </r>
  <r>
    <x v="0"/>
    <x v="0"/>
    <n v="7.7750000000000004"/>
  </r>
  <r>
    <x v="0"/>
    <x v="1"/>
    <n v="25.466699999999999"/>
  </r>
  <r>
    <x v="0"/>
    <x v="0"/>
    <n v="7.8958000000000004"/>
  </r>
  <r>
    <x v="0"/>
    <x v="0"/>
    <n v="6.8582999999999998"/>
  </r>
  <r>
    <x v="1"/>
    <x v="1"/>
    <n v="90"/>
  </r>
  <r>
    <x v="2"/>
    <x v="0"/>
    <n v="0"/>
  </r>
  <r>
    <x v="0"/>
    <x v="0"/>
    <n v="7.9249999999999998"/>
  </r>
  <r>
    <x v="0"/>
    <x v="1"/>
    <n v="8.0500000000000007"/>
  </r>
  <r>
    <x v="2"/>
    <x v="1"/>
    <n v="32.5"/>
  </r>
  <r>
    <x v="2"/>
    <x v="1"/>
    <n v="13"/>
  </r>
  <r>
    <x v="2"/>
    <x v="0"/>
    <n v="13"/>
  </r>
  <r>
    <x v="0"/>
    <x v="1"/>
    <n v="24.15"/>
  </r>
  <r>
    <x v="0"/>
    <x v="0"/>
    <n v="7.8958000000000004"/>
  </r>
  <r>
    <x v="0"/>
    <x v="0"/>
    <n v="7.7332999999999998"/>
  </r>
  <r>
    <x v="0"/>
    <x v="0"/>
    <n v="7.875"/>
  </r>
  <r>
    <x v="0"/>
    <x v="1"/>
    <n v="14.4"/>
  </r>
  <r>
    <x v="0"/>
    <x v="0"/>
    <n v="20.212499999999999"/>
  </r>
  <r>
    <x v="0"/>
    <x v="0"/>
    <n v="7.25"/>
  </r>
  <r>
    <x v="2"/>
    <x v="1"/>
    <n v="26"/>
  </r>
  <r>
    <x v="2"/>
    <x v="1"/>
    <n v="26"/>
  </r>
  <r>
    <x v="0"/>
    <x v="0"/>
    <n v="7.75"/>
  </r>
  <r>
    <x v="0"/>
    <x v="0"/>
    <n v="8.0500000000000007"/>
  </r>
  <r>
    <x v="1"/>
    <x v="0"/>
    <n v="26.55"/>
  </r>
  <r>
    <x v="0"/>
    <x v="1"/>
    <n v="16.100000000000001"/>
  </r>
  <r>
    <x v="2"/>
    <x v="1"/>
    <n v="26"/>
  </r>
  <r>
    <x v="0"/>
    <x v="0"/>
    <n v="7.125"/>
  </r>
  <r>
    <x v="1"/>
    <x v="0"/>
    <n v="55.9"/>
  </r>
  <r>
    <x v="1"/>
    <x v="1"/>
    <n v="120"/>
  </r>
  <r>
    <x v="0"/>
    <x v="1"/>
    <n v="34.375"/>
  </r>
  <r>
    <x v="2"/>
    <x v="1"/>
    <n v="18.75"/>
  </r>
  <r>
    <x v="1"/>
    <x v="0"/>
    <n v="263"/>
  </r>
  <r>
    <x v="2"/>
    <x v="0"/>
    <n v="10.5"/>
  </r>
  <r>
    <x v="2"/>
    <x v="1"/>
    <n v="26.25"/>
  </r>
  <r>
    <x v="0"/>
    <x v="0"/>
    <n v="9.5"/>
  </r>
  <r>
    <x v="0"/>
    <x v="0"/>
    <n v="7.7750000000000004"/>
  </r>
  <r>
    <x v="2"/>
    <x v="1"/>
    <n v="13"/>
  </r>
  <r>
    <x v="0"/>
    <x v="0"/>
    <n v="8.1125000000000007"/>
  </r>
  <r>
    <x v="1"/>
    <x v="0"/>
    <n v="81.8583"/>
  </r>
  <r>
    <x v="2"/>
    <x v="1"/>
    <n v="19.5"/>
  </r>
  <r>
    <x v="1"/>
    <x v="0"/>
    <n v="26.55"/>
  </r>
  <r>
    <x v="0"/>
    <x v="1"/>
    <n v="19.258299999999998"/>
  </r>
  <r>
    <x v="1"/>
    <x v="0"/>
    <n v="30.5"/>
  </r>
  <r>
    <x v="2"/>
    <x v="0"/>
    <n v="27.75"/>
  </r>
  <r>
    <x v="0"/>
    <x v="0"/>
    <n v="19.966699999999999"/>
  </r>
  <r>
    <x v="1"/>
    <x v="0"/>
    <n v="27.75"/>
  </r>
  <r>
    <x v="1"/>
    <x v="0"/>
    <n v="89.104200000000006"/>
  </r>
  <r>
    <x v="0"/>
    <x v="0"/>
    <n v="8.0500000000000007"/>
  </r>
  <r>
    <x v="0"/>
    <x v="0"/>
    <n v="7.8958000000000004"/>
  </r>
  <r>
    <x v="1"/>
    <x v="0"/>
    <n v="26.55"/>
  </r>
  <r>
    <x v="1"/>
    <x v="1"/>
    <n v="51.862499999999997"/>
  </r>
  <r>
    <x v="2"/>
    <x v="1"/>
    <n v="10.5"/>
  </r>
  <r>
    <x v="0"/>
    <x v="0"/>
    <n v="7.75"/>
  </r>
  <r>
    <x v="1"/>
    <x v="0"/>
    <n v="26.55"/>
  </r>
  <r>
    <x v="0"/>
    <x v="0"/>
    <n v="8.0500000000000007"/>
  </r>
  <r>
    <x v="1"/>
    <x v="0"/>
    <n v="38.5"/>
  </r>
  <r>
    <x v="2"/>
    <x v="0"/>
    <n v="13"/>
  </r>
  <r>
    <x v="0"/>
    <x v="0"/>
    <n v="8.0500000000000007"/>
  </r>
  <r>
    <x v="0"/>
    <x v="0"/>
    <n v="7.05"/>
  </r>
  <r>
    <x v="2"/>
    <x v="0"/>
    <n v="0"/>
  </r>
  <r>
    <x v="1"/>
    <x v="0"/>
    <n v="26.55"/>
  </r>
  <r>
    <x v="0"/>
    <x v="0"/>
    <n v="7.7249999999999996"/>
  </r>
  <r>
    <x v="0"/>
    <x v="1"/>
    <n v="19.258299999999998"/>
  </r>
  <r>
    <x v="0"/>
    <x v="0"/>
    <n v="7.25"/>
  </r>
  <r>
    <x v="0"/>
    <x v="0"/>
    <n v="8.6624999999999996"/>
  </r>
  <r>
    <x v="2"/>
    <x v="1"/>
    <n v="27.75"/>
  </r>
  <r>
    <x v="2"/>
    <x v="1"/>
    <n v="13.791700000000001"/>
  </r>
  <r>
    <x v="0"/>
    <x v="1"/>
    <n v="9.8375000000000004"/>
  </r>
  <r>
    <x v="1"/>
    <x v="0"/>
    <n v="52"/>
  </r>
  <r>
    <x v="2"/>
    <x v="0"/>
    <n v="21"/>
  </r>
  <r>
    <x v="0"/>
    <x v="0"/>
    <n v="7.0457999999999998"/>
  </r>
  <r>
    <x v="0"/>
    <x v="0"/>
    <n v="7.5208000000000004"/>
  </r>
  <r>
    <x v="0"/>
    <x v="1"/>
    <n v="12.2875"/>
  </r>
  <r>
    <x v="0"/>
    <x v="0"/>
    <n v="46.9"/>
  </r>
  <r>
    <x v="2"/>
    <x v="0"/>
    <n v="0"/>
  </r>
  <r>
    <x v="0"/>
    <x v="0"/>
    <n v="8.0500000000000007"/>
  </r>
  <r>
    <x v="0"/>
    <x v="1"/>
    <n v="9.5875000000000004"/>
  </r>
  <r>
    <x v="1"/>
    <x v="0"/>
    <n v="91.0792"/>
  </r>
  <r>
    <x v="0"/>
    <x v="1"/>
    <n v="25.466699999999999"/>
  </r>
  <r>
    <x v="1"/>
    <x v="1"/>
    <n v="90"/>
  </r>
  <r>
    <x v="1"/>
    <x v="0"/>
    <n v="29.7"/>
  </r>
  <r>
    <x v="0"/>
    <x v="0"/>
    <n v="8.0500000000000007"/>
  </r>
  <r>
    <x v="0"/>
    <x v="0"/>
    <n v="15.9"/>
  </r>
  <r>
    <x v="0"/>
    <x v="0"/>
    <n v="19.966699999999999"/>
  </r>
  <r>
    <x v="0"/>
    <x v="0"/>
    <n v="7.25"/>
  </r>
  <r>
    <x v="1"/>
    <x v="0"/>
    <n v="30.5"/>
  </r>
  <r>
    <x v="1"/>
    <x v="0"/>
    <n v="49.504199999999997"/>
  </r>
  <r>
    <x v="0"/>
    <x v="0"/>
    <n v="8.0500000000000007"/>
  </r>
  <r>
    <x v="0"/>
    <x v="0"/>
    <n v="14.458299999999999"/>
  </r>
  <r>
    <x v="1"/>
    <x v="1"/>
    <n v="78.2667"/>
  </r>
  <r>
    <x v="0"/>
    <x v="0"/>
    <n v="15.1"/>
  </r>
  <r>
    <x v="1"/>
    <x v="1"/>
    <n v="151.55000000000001"/>
  </r>
  <r>
    <x v="0"/>
    <x v="0"/>
    <n v="7.7957999999999998"/>
  </r>
  <r>
    <x v="0"/>
    <x v="0"/>
    <n v="8.6624999999999996"/>
  </r>
  <r>
    <x v="0"/>
    <x v="1"/>
    <n v="7.75"/>
  </r>
  <r>
    <x v="0"/>
    <x v="1"/>
    <n v="7.6292"/>
  </r>
  <r>
    <x v="0"/>
    <x v="1"/>
    <n v="9.5875000000000004"/>
  </r>
  <r>
    <x v="1"/>
    <x v="1"/>
    <n v="86.5"/>
  </r>
  <r>
    <x v="1"/>
    <x v="0"/>
    <n v="108.9"/>
  </r>
  <r>
    <x v="2"/>
    <x v="1"/>
    <n v="26"/>
  </r>
  <r>
    <x v="1"/>
    <x v="0"/>
    <n v="26.55"/>
  </r>
  <r>
    <x v="0"/>
    <x v="0"/>
    <n v="22.524999999999999"/>
  </r>
  <r>
    <x v="0"/>
    <x v="0"/>
    <n v="56.495800000000003"/>
  </r>
  <r>
    <x v="0"/>
    <x v="0"/>
    <n v="7.75"/>
  </r>
  <r>
    <x v="0"/>
    <x v="0"/>
    <n v="8.0500000000000007"/>
  </r>
  <r>
    <x v="1"/>
    <x v="0"/>
    <n v="26.287500000000001"/>
  </r>
  <r>
    <x v="1"/>
    <x v="1"/>
    <n v="59.4"/>
  </r>
  <r>
    <x v="0"/>
    <x v="0"/>
    <n v="7.4958"/>
  </r>
  <r>
    <x v="1"/>
    <x v="0"/>
    <n v="34.020800000000001"/>
  </r>
  <r>
    <x v="2"/>
    <x v="1"/>
    <n v="10.5"/>
  </r>
  <r>
    <x v="0"/>
    <x v="0"/>
    <n v="24.15"/>
  </r>
  <r>
    <x v="2"/>
    <x v="1"/>
    <n v="26"/>
  </r>
  <r>
    <x v="0"/>
    <x v="0"/>
    <n v="7.8958000000000004"/>
  </r>
  <r>
    <x v="1"/>
    <x v="1"/>
    <n v="93.5"/>
  </r>
  <r>
    <x v="0"/>
    <x v="0"/>
    <n v="7.8958000000000004"/>
  </r>
  <r>
    <x v="0"/>
    <x v="0"/>
    <n v="7.2249999999999996"/>
  </r>
  <r>
    <x v="1"/>
    <x v="1"/>
    <n v="57.979199999999999"/>
  </r>
  <r>
    <x v="0"/>
    <x v="0"/>
    <n v="7.2291999999999996"/>
  </r>
  <r>
    <x v="0"/>
    <x v="0"/>
    <n v="7.75"/>
  </r>
  <r>
    <x v="2"/>
    <x v="1"/>
    <n v="10.5"/>
  </r>
  <r>
    <x v="1"/>
    <x v="0"/>
    <n v="221.7792"/>
  </r>
  <r>
    <x v="0"/>
    <x v="0"/>
    <n v="7.9249999999999998"/>
  </r>
  <r>
    <x v="2"/>
    <x v="0"/>
    <n v="11.5"/>
  </r>
  <r>
    <x v="2"/>
    <x v="1"/>
    <n v="26"/>
  </r>
  <r>
    <x v="0"/>
    <x v="0"/>
    <n v="7.2291999999999996"/>
  </r>
  <r>
    <x v="0"/>
    <x v="0"/>
    <n v="7.2291999999999996"/>
  </r>
  <r>
    <x v="0"/>
    <x v="1"/>
    <n v="22.3583"/>
  </r>
  <r>
    <x v="0"/>
    <x v="1"/>
    <n v="8.6624999999999996"/>
  </r>
  <r>
    <x v="2"/>
    <x v="1"/>
    <n v="26.25"/>
  </r>
  <r>
    <x v="1"/>
    <x v="0"/>
    <n v="26.55"/>
  </r>
  <r>
    <x v="1"/>
    <x v="1"/>
    <n v="106.425"/>
  </r>
  <r>
    <x v="0"/>
    <x v="0"/>
    <n v="14.5"/>
  </r>
  <r>
    <x v="1"/>
    <x v="1"/>
    <n v="49.5"/>
  </r>
  <r>
    <x v="1"/>
    <x v="1"/>
    <n v="71"/>
  </r>
  <r>
    <x v="0"/>
    <x v="1"/>
    <n v="31.274999999999999"/>
  </r>
  <r>
    <x v="0"/>
    <x v="1"/>
    <n v="31.274999999999999"/>
  </r>
  <r>
    <x v="2"/>
    <x v="0"/>
    <n v="26"/>
  </r>
  <r>
    <x v="1"/>
    <x v="0"/>
    <n v="106.425"/>
  </r>
  <r>
    <x v="1"/>
    <x v="0"/>
    <n v="26"/>
  </r>
  <r>
    <x v="2"/>
    <x v="1"/>
    <n v="26"/>
  </r>
  <r>
    <x v="2"/>
    <x v="0"/>
    <n v="13.862500000000001"/>
  </r>
  <r>
    <x v="0"/>
    <x v="0"/>
    <n v="20.524999999999999"/>
  </r>
  <r>
    <x v="2"/>
    <x v="0"/>
    <n v="36.75"/>
  </r>
  <r>
    <x v="1"/>
    <x v="0"/>
    <n v="110.88330000000001"/>
  </r>
  <r>
    <x v="2"/>
    <x v="0"/>
    <n v="26"/>
  </r>
  <r>
    <x v="0"/>
    <x v="0"/>
    <n v="7.8292000000000002"/>
  </r>
  <r>
    <x v="0"/>
    <x v="0"/>
    <n v="7.2249999999999996"/>
  </r>
  <r>
    <x v="0"/>
    <x v="1"/>
    <n v="7.7750000000000004"/>
  </r>
  <r>
    <x v="1"/>
    <x v="0"/>
    <n v="26.55"/>
  </r>
  <r>
    <x v="1"/>
    <x v="1"/>
    <n v="39.6"/>
  </r>
  <r>
    <x v="1"/>
    <x v="0"/>
    <n v="227.52500000000001"/>
  </r>
  <r>
    <x v="1"/>
    <x v="1"/>
    <n v="79.650000000000006"/>
  </r>
  <r>
    <x v="0"/>
    <x v="1"/>
    <n v="17.399999999999999"/>
  </r>
  <r>
    <x v="0"/>
    <x v="0"/>
    <n v="7.75"/>
  </r>
  <r>
    <x v="0"/>
    <x v="0"/>
    <n v="7.8958000000000004"/>
  </r>
  <r>
    <x v="2"/>
    <x v="0"/>
    <n v="13.5"/>
  </r>
  <r>
    <x v="0"/>
    <x v="0"/>
    <n v="8.0500000000000007"/>
  </r>
  <r>
    <x v="0"/>
    <x v="1"/>
    <n v="8.0500000000000007"/>
  </r>
  <r>
    <x v="0"/>
    <x v="0"/>
    <n v="24.15"/>
  </r>
  <r>
    <x v="0"/>
    <x v="0"/>
    <n v="7.8958000000000004"/>
  </r>
  <r>
    <x v="0"/>
    <x v="1"/>
    <n v="21.074999999999999"/>
  </r>
  <r>
    <x v="0"/>
    <x v="0"/>
    <n v="7.2291999999999996"/>
  </r>
  <r>
    <x v="0"/>
    <x v="0"/>
    <n v="7.8541999999999996"/>
  </r>
  <r>
    <x v="2"/>
    <x v="0"/>
    <n v="10.5"/>
  </r>
  <r>
    <x v="1"/>
    <x v="1"/>
    <n v="51.479199999999999"/>
  </r>
  <r>
    <x v="1"/>
    <x v="0"/>
    <n v="26.387499999999999"/>
  </r>
  <r>
    <x v="0"/>
    <x v="1"/>
    <n v="7.75"/>
  </r>
  <r>
    <x v="0"/>
    <x v="0"/>
    <n v="8.0500000000000007"/>
  </r>
  <r>
    <x v="0"/>
    <x v="0"/>
    <n v="14.5"/>
  </r>
  <r>
    <x v="2"/>
    <x v="1"/>
    <n v="13"/>
  </r>
  <r>
    <x v="1"/>
    <x v="1"/>
    <n v="55.9"/>
  </r>
  <r>
    <x v="0"/>
    <x v="1"/>
    <n v="14.458299999999999"/>
  </r>
  <r>
    <x v="0"/>
    <x v="0"/>
    <n v="7.9249999999999998"/>
  </r>
  <r>
    <x v="2"/>
    <x v="1"/>
    <n v="30"/>
  </r>
  <r>
    <x v="1"/>
    <x v="1"/>
    <n v="110.88330000000001"/>
  </r>
  <r>
    <x v="2"/>
    <x v="0"/>
    <n v="26"/>
  </r>
  <r>
    <x v="1"/>
    <x v="0"/>
    <n v="40.125"/>
  </r>
  <r>
    <x v="0"/>
    <x v="0"/>
    <n v="8.7125000000000004"/>
  </r>
  <r>
    <x v="1"/>
    <x v="1"/>
    <n v="79.650000000000006"/>
  </r>
  <r>
    <x v="2"/>
    <x v="0"/>
    <n v="15"/>
  </r>
  <r>
    <x v="1"/>
    <x v="0"/>
    <n v="79.2"/>
  </r>
  <r>
    <x v="0"/>
    <x v="0"/>
    <n v="8.0500000000000007"/>
  </r>
  <r>
    <x v="0"/>
    <x v="0"/>
    <n v="8.0500000000000007"/>
  </r>
  <r>
    <x v="0"/>
    <x v="0"/>
    <n v="7.125"/>
  </r>
  <r>
    <x v="1"/>
    <x v="1"/>
    <n v="78.2667"/>
  </r>
  <r>
    <x v="0"/>
    <x v="0"/>
    <n v="7.25"/>
  </r>
  <r>
    <x v="0"/>
    <x v="1"/>
    <n v="7.75"/>
  </r>
  <r>
    <x v="2"/>
    <x v="0"/>
    <n v="26"/>
  </r>
  <r>
    <x v="0"/>
    <x v="0"/>
    <n v="24.15"/>
  </r>
  <r>
    <x v="2"/>
    <x v="1"/>
    <n v="33"/>
  </r>
  <r>
    <x v="0"/>
    <x v="0"/>
    <n v="0"/>
  </r>
  <r>
    <x v="0"/>
    <x v="0"/>
    <n v="7.2249999999999996"/>
  </r>
  <r>
    <x v="1"/>
    <x v="0"/>
    <n v="56.929200000000002"/>
  </r>
  <r>
    <x v="2"/>
    <x v="1"/>
    <n v="27"/>
  </r>
  <r>
    <x v="0"/>
    <x v="0"/>
    <n v="7.8958000000000004"/>
  </r>
  <r>
    <x v="1"/>
    <x v="0"/>
    <n v="42.4"/>
  </r>
  <r>
    <x v="0"/>
    <x v="0"/>
    <n v="8.0500000000000007"/>
  </r>
  <r>
    <x v="1"/>
    <x v="0"/>
    <n v="26.55"/>
  </r>
  <r>
    <x v="0"/>
    <x v="0"/>
    <n v="15.55"/>
  </r>
  <r>
    <x v="0"/>
    <x v="0"/>
    <n v="7.8958000000000004"/>
  </r>
  <r>
    <x v="1"/>
    <x v="0"/>
    <n v="30.5"/>
  </r>
  <r>
    <x v="2"/>
    <x v="1"/>
    <n v="41.5792"/>
  </r>
  <r>
    <x v="1"/>
    <x v="1"/>
    <n v="153.46250000000001"/>
  </r>
  <r>
    <x v="0"/>
    <x v="1"/>
    <n v="31.274999999999999"/>
  </r>
  <r>
    <x v="0"/>
    <x v="0"/>
    <n v="7.05"/>
  </r>
  <r>
    <x v="0"/>
    <x v="1"/>
    <n v="15.5"/>
  </r>
  <r>
    <x v="0"/>
    <x v="0"/>
    <n v="7.75"/>
  </r>
  <r>
    <x v="0"/>
    <x v="0"/>
    <n v="8.0500000000000007"/>
  </r>
  <r>
    <x v="2"/>
    <x v="1"/>
    <n v="65"/>
  </r>
  <r>
    <x v="0"/>
    <x v="0"/>
    <n v="14.4"/>
  </r>
  <r>
    <x v="0"/>
    <x v="1"/>
    <n v="16.100000000000001"/>
  </r>
  <r>
    <x v="2"/>
    <x v="1"/>
    <n v="39"/>
  </r>
  <r>
    <x v="2"/>
    <x v="0"/>
    <n v="10.5"/>
  </r>
  <r>
    <x v="0"/>
    <x v="0"/>
    <n v="14.4542"/>
  </r>
  <r>
    <x v="1"/>
    <x v="0"/>
    <n v="52.554200000000002"/>
  </r>
  <r>
    <x v="0"/>
    <x v="0"/>
    <n v="15.7417"/>
  </r>
  <r>
    <x v="0"/>
    <x v="0"/>
    <n v="7.8541999999999996"/>
  </r>
  <r>
    <x v="0"/>
    <x v="0"/>
    <n v="16.100000000000001"/>
  </r>
  <r>
    <x v="1"/>
    <x v="0"/>
    <n v="32.320799999999998"/>
  </r>
  <r>
    <x v="2"/>
    <x v="0"/>
    <n v="12.35"/>
  </r>
  <r>
    <x v="1"/>
    <x v="1"/>
    <n v="77.958299999999994"/>
  </r>
  <r>
    <x v="0"/>
    <x v="0"/>
    <n v="7.8958000000000004"/>
  </r>
  <r>
    <x v="0"/>
    <x v="0"/>
    <n v="7.7332999999999998"/>
  </r>
  <r>
    <x v="1"/>
    <x v="0"/>
    <n v="30"/>
  </r>
  <r>
    <x v="0"/>
    <x v="0"/>
    <n v="7.0541999999999998"/>
  </r>
  <r>
    <x v="1"/>
    <x v="0"/>
    <n v="30.5"/>
  </r>
  <r>
    <x v="1"/>
    <x v="0"/>
    <n v="0"/>
  </r>
  <r>
    <x v="0"/>
    <x v="1"/>
    <n v="27.9"/>
  </r>
  <r>
    <x v="2"/>
    <x v="1"/>
    <n v="13"/>
  </r>
  <r>
    <x v="0"/>
    <x v="0"/>
    <n v="7.9249999999999998"/>
  </r>
  <r>
    <x v="2"/>
    <x v="0"/>
    <n v="26.25"/>
  </r>
  <r>
    <x v="0"/>
    <x v="1"/>
    <n v="39.6875"/>
  </r>
  <r>
    <x v="0"/>
    <x v="0"/>
    <n v="16.100000000000001"/>
  </r>
  <r>
    <x v="0"/>
    <x v="0"/>
    <n v="7.8541999999999996"/>
  </r>
  <r>
    <x v="1"/>
    <x v="1"/>
    <n v="69.3"/>
  </r>
  <r>
    <x v="0"/>
    <x v="1"/>
    <n v="27.9"/>
  </r>
  <r>
    <x v="0"/>
    <x v="0"/>
    <n v="56.495800000000003"/>
  </r>
  <r>
    <x v="0"/>
    <x v="1"/>
    <n v="19.258299999999998"/>
  </r>
  <r>
    <x v="1"/>
    <x v="0"/>
    <n v="76.729200000000006"/>
  </r>
  <r>
    <x v="0"/>
    <x v="0"/>
    <n v="7.8958000000000004"/>
  </r>
  <r>
    <x v="1"/>
    <x v="0"/>
    <n v="35.5"/>
  </r>
  <r>
    <x v="0"/>
    <x v="0"/>
    <n v="7.55"/>
  </r>
  <r>
    <x v="0"/>
    <x v="1"/>
    <n v="7.55"/>
  </r>
  <r>
    <x v="0"/>
    <x v="0"/>
    <n v="7.8958000000000004"/>
  </r>
  <r>
    <x v="2"/>
    <x v="1"/>
    <n v="23"/>
  </r>
  <r>
    <x v="0"/>
    <x v="0"/>
    <n v="8.4332999999999991"/>
  </r>
  <r>
    <x v="0"/>
    <x v="1"/>
    <n v="7.8292000000000002"/>
  </r>
  <r>
    <x v="0"/>
    <x v="1"/>
    <n v="6.75"/>
  </r>
  <r>
    <x v="2"/>
    <x v="0"/>
    <n v="73.5"/>
  </r>
  <r>
    <x v="0"/>
    <x v="0"/>
    <n v="7.8958000000000004"/>
  </r>
  <r>
    <x v="0"/>
    <x v="1"/>
    <n v="15.5"/>
  </r>
  <r>
    <x v="2"/>
    <x v="0"/>
    <n v="13"/>
  </r>
  <r>
    <x v="1"/>
    <x v="0"/>
    <n v="113.27500000000001"/>
  </r>
  <r>
    <x v="1"/>
    <x v="0"/>
    <n v="133.65"/>
  </r>
  <r>
    <x v="0"/>
    <x v="0"/>
    <n v="7.2249999999999996"/>
  </r>
  <r>
    <x v="1"/>
    <x v="0"/>
    <n v="25.587499999999999"/>
  </r>
  <r>
    <x v="0"/>
    <x v="0"/>
    <n v="7.4958"/>
  </r>
  <r>
    <x v="0"/>
    <x v="0"/>
    <n v="7.9249999999999998"/>
  </r>
  <r>
    <x v="2"/>
    <x v="0"/>
    <n v="73.5"/>
  </r>
  <r>
    <x v="2"/>
    <x v="0"/>
    <n v="13"/>
  </r>
  <r>
    <x v="0"/>
    <x v="0"/>
    <n v="7.7750000000000004"/>
  </r>
  <r>
    <x v="0"/>
    <x v="0"/>
    <n v="8.0500000000000007"/>
  </r>
  <r>
    <x v="1"/>
    <x v="1"/>
    <n v="52"/>
  </r>
  <r>
    <x v="2"/>
    <x v="1"/>
    <n v="39"/>
  </r>
  <r>
    <x v="1"/>
    <x v="0"/>
    <n v="52"/>
  </r>
  <r>
    <x v="2"/>
    <x v="0"/>
    <n v="10.5"/>
  </r>
  <r>
    <x v="2"/>
    <x v="0"/>
    <n v="13"/>
  </r>
  <r>
    <x v="2"/>
    <x v="0"/>
    <n v="0"/>
  </r>
  <r>
    <x v="0"/>
    <x v="0"/>
    <n v="7.7750000000000004"/>
  </r>
  <r>
    <x v="0"/>
    <x v="0"/>
    <n v="8.0500000000000007"/>
  </r>
  <r>
    <x v="0"/>
    <x v="1"/>
    <n v="9.8416999999999994"/>
  </r>
  <r>
    <x v="0"/>
    <x v="1"/>
    <n v="46.9"/>
  </r>
  <r>
    <x v="1"/>
    <x v="0"/>
    <n v="512.32920000000001"/>
  </r>
  <r>
    <x v="0"/>
    <x v="1"/>
    <n v="8.1374999999999993"/>
  </r>
  <r>
    <x v="1"/>
    <x v="0"/>
    <n v="76.729200000000006"/>
  </r>
  <r>
    <x v="0"/>
    <x v="0"/>
    <n v="9.2249999999999996"/>
  </r>
  <r>
    <x v="0"/>
    <x v="0"/>
    <n v="46.9"/>
  </r>
  <r>
    <x v="2"/>
    <x v="0"/>
    <n v="39"/>
  </r>
  <r>
    <x v="2"/>
    <x v="0"/>
    <n v="41.5792"/>
  </r>
  <r>
    <x v="0"/>
    <x v="0"/>
    <n v="39.6875"/>
  </r>
  <r>
    <x v="0"/>
    <x v="0"/>
    <n v="10.1708"/>
  </r>
  <r>
    <x v="0"/>
    <x v="0"/>
    <n v="7.7957999999999998"/>
  </r>
  <r>
    <x v="1"/>
    <x v="1"/>
    <n v="211.33750000000001"/>
  </r>
  <r>
    <x v="1"/>
    <x v="0"/>
    <n v="57"/>
  </r>
  <r>
    <x v="0"/>
    <x v="1"/>
    <n v="13.416700000000001"/>
  </r>
  <r>
    <x v="0"/>
    <x v="0"/>
    <n v="56.495800000000003"/>
  </r>
  <r>
    <x v="0"/>
    <x v="0"/>
    <n v="7.2249999999999996"/>
  </r>
  <r>
    <x v="1"/>
    <x v="0"/>
    <n v="26.55"/>
  </r>
  <r>
    <x v="2"/>
    <x v="0"/>
    <n v="13.5"/>
  </r>
  <r>
    <x v="0"/>
    <x v="0"/>
    <n v="8.0500000000000007"/>
  </r>
  <r>
    <x v="0"/>
    <x v="1"/>
    <n v="7.7332999999999998"/>
  </r>
  <r>
    <x v="1"/>
    <x v="0"/>
    <n v="110.88330000000001"/>
  </r>
  <r>
    <x v="0"/>
    <x v="0"/>
    <n v="7.65"/>
  </r>
  <r>
    <x v="1"/>
    <x v="1"/>
    <n v="227.52500000000001"/>
  </r>
  <r>
    <x v="1"/>
    <x v="0"/>
    <n v="26.287500000000001"/>
  </r>
  <r>
    <x v="0"/>
    <x v="1"/>
    <n v="14.4542"/>
  </r>
  <r>
    <x v="0"/>
    <x v="0"/>
    <n v="7.7416999999999998"/>
  </r>
  <r>
    <x v="0"/>
    <x v="0"/>
    <n v="7.8541999999999996"/>
  </r>
  <r>
    <x v="2"/>
    <x v="0"/>
    <n v="26"/>
  </r>
  <r>
    <x v="2"/>
    <x v="1"/>
    <n v="13.5"/>
  </r>
  <r>
    <x v="1"/>
    <x v="0"/>
    <n v="26.287500000000001"/>
  </r>
  <r>
    <x v="1"/>
    <x v="1"/>
    <n v="151.55000000000001"/>
  </r>
  <r>
    <x v="0"/>
    <x v="0"/>
    <n v="15.245799999999999"/>
  </r>
  <r>
    <x v="1"/>
    <x v="1"/>
    <n v="49.504199999999997"/>
  </r>
  <r>
    <x v="1"/>
    <x v="0"/>
    <n v="26.55"/>
  </r>
  <r>
    <x v="1"/>
    <x v="0"/>
    <n v="52"/>
  </r>
  <r>
    <x v="0"/>
    <x v="0"/>
    <n v="9.4832999999999998"/>
  </r>
  <r>
    <x v="2"/>
    <x v="0"/>
    <n v="13"/>
  </r>
  <r>
    <x v="0"/>
    <x v="0"/>
    <n v="7.65"/>
  </r>
  <r>
    <x v="1"/>
    <x v="1"/>
    <n v="227.52500000000001"/>
  </r>
  <r>
    <x v="2"/>
    <x v="1"/>
    <n v="10.5"/>
  </r>
  <r>
    <x v="0"/>
    <x v="0"/>
    <n v="15.5"/>
  </r>
  <r>
    <x v="0"/>
    <x v="0"/>
    <n v="7.7750000000000004"/>
  </r>
  <r>
    <x v="2"/>
    <x v="1"/>
    <n v="33"/>
  </r>
  <r>
    <x v="0"/>
    <x v="0"/>
    <n v="7.0541999999999998"/>
  </r>
  <r>
    <x v="2"/>
    <x v="0"/>
    <n v="13"/>
  </r>
  <r>
    <x v="2"/>
    <x v="0"/>
    <n v="13"/>
  </r>
  <r>
    <x v="1"/>
    <x v="0"/>
    <n v="53.1"/>
  </r>
  <r>
    <x v="0"/>
    <x v="0"/>
    <n v="8.6624999999999996"/>
  </r>
  <r>
    <x v="2"/>
    <x v="1"/>
    <n v="21"/>
  </r>
  <r>
    <x v="0"/>
    <x v="1"/>
    <n v="7.7374999999999998"/>
  </r>
  <r>
    <x v="2"/>
    <x v="0"/>
    <n v="26"/>
  </r>
  <r>
    <x v="0"/>
    <x v="1"/>
    <n v="7.9249999999999998"/>
  </r>
  <r>
    <x v="1"/>
    <x v="1"/>
    <n v="211.33750000000001"/>
  </r>
  <r>
    <x v="0"/>
    <x v="0"/>
    <n v="18.787500000000001"/>
  </r>
  <r>
    <x v="2"/>
    <x v="0"/>
    <n v="0"/>
  </r>
  <r>
    <x v="2"/>
    <x v="0"/>
    <n v="13"/>
  </r>
  <r>
    <x v="2"/>
    <x v="0"/>
    <n v="13"/>
  </r>
  <r>
    <x v="0"/>
    <x v="0"/>
    <n v="16.100000000000001"/>
  </r>
  <r>
    <x v="0"/>
    <x v="1"/>
    <n v="34.375"/>
  </r>
  <r>
    <x v="1"/>
    <x v="0"/>
    <n v="512.32920000000001"/>
  </r>
  <r>
    <x v="0"/>
    <x v="0"/>
    <n v="7.8958000000000004"/>
  </r>
  <r>
    <x v="0"/>
    <x v="0"/>
    <n v="7.8958000000000004"/>
  </r>
  <r>
    <x v="1"/>
    <x v="0"/>
    <n v="30"/>
  </r>
  <r>
    <x v="1"/>
    <x v="0"/>
    <n v="78.849999999999994"/>
  </r>
  <r>
    <x v="1"/>
    <x v="1"/>
    <n v="262.375"/>
  </r>
  <r>
    <x v="0"/>
    <x v="0"/>
    <n v="16.100000000000001"/>
  </r>
  <r>
    <x v="0"/>
    <x v="0"/>
    <n v="7.9249999999999998"/>
  </r>
  <r>
    <x v="1"/>
    <x v="0"/>
    <n v="71"/>
  </r>
  <r>
    <x v="0"/>
    <x v="0"/>
    <n v="20.25"/>
  </r>
  <r>
    <x v="2"/>
    <x v="1"/>
    <n v="13"/>
  </r>
  <r>
    <x v="1"/>
    <x v="0"/>
    <n v="53.1"/>
  </r>
  <r>
    <x v="0"/>
    <x v="0"/>
    <n v="7.75"/>
  </r>
  <r>
    <x v="2"/>
    <x v="1"/>
    <n v="23"/>
  </r>
  <r>
    <x v="0"/>
    <x v="0"/>
    <n v="12.475"/>
  </r>
  <r>
    <x v="0"/>
    <x v="0"/>
    <n v="9.5"/>
  </r>
  <r>
    <x v="0"/>
    <x v="0"/>
    <n v="7.8958000000000004"/>
  </r>
  <r>
    <x v="2"/>
    <x v="1"/>
    <n v="65"/>
  </r>
  <r>
    <x v="2"/>
    <x v="0"/>
    <n v="14.5"/>
  </r>
  <r>
    <x v="0"/>
    <x v="0"/>
    <n v="7.7957999999999998"/>
  </r>
  <r>
    <x v="2"/>
    <x v="0"/>
    <n v="11.5"/>
  </r>
  <r>
    <x v="0"/>
    <x v="0"/>
    <n v="8.0500000000000007"/>
  </r>
  <r>
    <x v="1"/>
    <x v="1"/>
    <n v="86.5"/>
  </r>
  <r>
    <x v="0"/>
    <x v="0"/>
    <n v="14.5"/>
  </r>
  <r>
    <x v="0"/>
    <x v="0"/>
    <n v="7.125"/>
  </r>
  <r>
    <x v="0"/>
    <x v="0"/>
    <n v="7.2291999999999996"/>
  </r>
  <r>
    <x v="1"/>
    <x v="1"/>
    <n v="120"/>
  </r>
  <r>
    <x v="0"/>
    <x v="0"/>
    <n v="7.7750000000000004"/>
  </r>
  <r>
    <x v="1"/>
    <x v="1"/>
    <n v="77.958299999999994"/>
  </r>
  <r>
    <x v="1"/>
    <x v="0"/>
    <n v="39.6"/>
  </r>
  <r>
    <x v="0"/>
    <x v="1"/>
    <n v="7.75"/>
  </r>
  <r>
    <x v="0"/>
    <x v="0"/>
    <n v="24.15"/>
  </r>
  <r>
    <x v="0"/>
    <x v="0"/>
    <n v="8.3625000000000007"/>
  </r>
  <r>
    <x v="0"/>
    <x v="0"/>
    <n v="9.5"/>
  </r>
  <r>
    <x v="0"/>
    <x v="0"/>
    <n v="7.8541999999999996"/>
  </r>
  <r>
    <x v="2"/>
    <x v="1"/>
    <n v="10.5"/>
  </r>
  <r>
    <x v="0"/>
    <x v="0"/>
    <n v="7.2249999999999996"/>
  </r>
  <r>
    <x v="2"/>
    <x v="1"/>
    <n v="23"/>
  </r>
  <r>
    <x v="0"/>
    <x v="0"/>
    <n v="7.75"/>
  </r>
  <r>
    <x v="0"/>
    <x v="0"/>
    <n v="7.75"/>
  </r>
  <r>
    <x v="0"/>
    <x v="1"/>
    <n v="12.475"/>
  </r>
  <r>
    <x v="0"/>
    <x v="0"/>
    <n v="7.7374999999999998"/>
  </r>
  <r>
    <x v="1"/>
    <x v="1"/>
    <n v="211.33750000000001"/>
  </r>
  <r>
    <x v="0"/>
    <x v="1"/>
    <n v="7.2291999999999996"/>
  </r>
  <r>
    <x v="1"/>
    <x v="1"/>
    <n v="57"/>
  </r>
  <r>
    <x v="1"/>
    <x v="0"/>
    <n v="30"/>
  </r>
  <r>
    <x v="0"/>
    <x v="0"/>
    <n v="23.45"/>
  </r>
  <r>
    <x v="0"/>
    <x v="0"/>
    <n v="7.05"/>
  </r>
  <r>
    <x v="0"/>
    <x v="0"/>
    <n v="7.25"/>
  </r>
  <r>
    <x v="0"/>
    <x v="1"/>
    <n v="7.4958"/>
  </r>
  <r>
    <x v="0"/>
    <x v="0"/>
    <n v="29.125"/>
  </r>
  <r>
    <x v="0"/>
    <x v="0"/>
    <n v="20.574999999999999"/>
  </r>
  <r>
    <x v="1"/>
    <x v="0"/>
    <n v="79.2"/>
  </r>
  <r>
    <x v="0"/>
    <x v="0"/>
    <n v="7.75"/>
  </r>
  <r>
    <x v="2"/>
    <x v="0"/>
    <n v="26"/>
  </r>
  <r>
    <x v="0"/>
    <x v="1"/>
    <n v="69.55"/>
  </r>
  <r>
    <x v="1"/>
    <x v="0"/>
    <n v="30.695799999999998"/>
  </r>
  <r>
    <x v="0"/>
    <x v="0"/>
    <n v="7.8958000000000004"/>
  </r>
  <r>
    <x v="2"/>
    <x v="0"/>
    <n v="13"/>
  </r>
  <r>
    <x v="1"/>
    <x v="1"/>
    <n v="25.929200000000002"/>
  </r>
  <r>
    <x v="0"/>
    <x v="1"/>
    <n v="8.6832999999999991"/>
  </r>
  <r>
    <x v="0"/>
    <x v="0"/>
    <n v="7.2291999999999996"/>
  </r>
  <r>
    <x v="0"/>
    <x v="1"/>
    <n v="24.15"/>
  </r>
  <r>
    <x v="2"/>
    <x v="0"/>
    <n v="13"/>
  </r>
  <r>
    <x v="2"/>
    <x v="1"/>
    <n v="26.25"/>
  </r>
  <r>
    <x v="1"/>
    <x v="0"/>
    <n v="120"/>
  </r>
  <r>
    <x v="0"/>
    <x v="0"/>
    <n v="8.5167000000000002"/>
  </r>
  <r>
    <x v="0"/>
    <x v="0"/>
    <n v="6.9749999999999996"/>
  </r>
  <r>
    <x v="0"/>
    <x v="0"/>
    <n v="7.7750000000000004"/>
  </r>
  <r>
    <x v="1"/>
    <x v="0"/>
    <n v="0"/>
  </r>
  <r>
    <x v="0"/>
    <x v="1"/>
    <n v="7.7750000000000004"/>
  </r>
  <r>
    <x v="2"/>
    <x v="0"/>
    <n v="13"/>
  </r>
  <r>
    <x v="1"/>
    <x v="1"/>
    <n v="53.1"/>
  </r>
  <r>
    <x v="0"/>
    <x v="0"/>
    <n v="7.8875000000000002"/>
  </r>
  <r>
    <x v="0"/>
    <x v="0"/>
    <n v="24.15"/>
  </r>
  <r>
    <x v="2"/>
    <x v="0"/>
    <n v="10.5"/>
  </r>
  <r>
    <x v="0"/>
    <x v="1"/>
    <n v="31.274999999999999"/>
  </r>
  <r>
    <x v="0"/>
    <x v="0"/>
    <n v="8.0500000000000007"/>
  </r>
  <r>
    <x v="1"/>
    <x v="0"/>
    <n v="0"/>
  </r>
  <r>
    <x v="0"/>
    <x v="1"/>
    <n v="7.9249999999999998"/>
  </r>
  <r>
    <x v="2"/>
    <x v="0"/>
    <n v="37.004199999999997"/>
  </r>
  <r>
    <x v="0"/>
    <x v="0"/>
    <n v="6.45"/>
  </r>
  <r>
    <x v="0"/>
    <x v="0"/>
    <n v="27.9"/>
  </r>
  <r>
    <x v="1"/>
    <x v="1"/>
    <n v="93.5"/>
  </r>
  <r>
    <x v="0"/>
    <x v="0"/>
    <n v="8.6624999999999996"/>
  </r>
  <r>
    <x v="1"/>
    <x v="0"/>
    <n v="0"/>
  </r>
  <r>
    <x v="0"/>
    <x v="1"/>
    <n v="12.475"/>
  </r>
  <r>
    <x v="0"/>
    <x v="0"/>
    <n v="39.6875"/>
  </r>
  <r>
    <x v="0"/>
    <x v="0"/>
    <n v="6.95"/>
  </r>
  <r>
    <x v="0"/>
    <x v="0"/>
    <n v="56.495800000000003"/>
  </r>
  <r>
    <x v="2"/>
    <x v="0"/>
    <n v="37.004199999999997"/>
  </r>
  <r>
    <x v="0"/>
    <x v="0"/>
    <n v="7.75"/>
  </r>
  <r>
    <x v="1"/>
    <x v="1"/>
    <n v="80"/>
  </r>
  <r>
    <x v="0"/>
    <x v="1"/>
    <n v="14.4542"/>
  </r>
  <r>
    <x v="2"/>
    <x v="0"/>
    <n v="18.75"/>
  </r>
  <r>
    <x v="0"/>
    <x v="0"/>
    <n v="7.2291999999999996"/>
  </r>
  <r>
    <x v="0"/>
    <x v="0"/>
    <n v="7.8541999999999996"/>
  </r>
  <r>
    <x v="0"/>
    <x v="0"/>
    <n v="8.3000000000000007"/>
  </r>
  <r>
    <x v="1"/>
    <x v="1"/>
    <n v="83.158299999999997"/>
  </r>
  <r>
    <x v="0"/>
    <x v="0"/>
    <n v="8.6624999999999996"/>
  </r>
  <r>
    <x v="0"/>
    <x v="0"/>
    <n v="8.0500000000000007"/>
  </r>
  <r>
    <x v="0"/>
    <x v="0"/>
    <n v="56.495800000000003"/>
  </r>
  <r>
    <x v="1"/>
    <x v="0"/>
    <n v="29.7"/>
  </r>
  <r>
    <x v="0"/>
    <x v="0"/>
    <n v="7.9249999999999998"/>
  </r>
  <r>
    <x v="2"/>
    <x v="0"/>
    <n v="10.5"/>
  </r>
  <r>
    <x v="1"/>
    <x v="1"/>
    <n v="31"/>
  </r>
  <r>
    <x v="0"/>
    <x v="0"/>
    <n v="6.4375"/>
  </r>
  <r>
    <x v="0"/>
    <x v="0"/>
    <n v="8.6624999999999996"/>
  </r>
  <r>
    <x v="0"/>
    <x v="0"/>
    <n v="7.55"/>
  </r>
  <r>
    <x v="0"/>
    <x v="0"/>
    <n v="69.55"/>
  </r>
  <r>
    <x v="0"/>
    <x v="0"/>
    <n v="7.8958000000000004"/>
  </r>
  <r>
    <x v="2"/>
    <x v="0"/>
    <n v="33"/>
  </r>
  <r>
    <x v="1"/>
    <x v="1"/>
    <n v="89.104200000000006"/>
  </r>
  <r>
    <x v="0"/>
    <x v="0"/>
    <n v="31.274999999999999"/>
  </r>
  <r>
    <x v="0"/>
    <x v="0"/>
    <n v="7.7750000000000004"/>
  </r>
  <r>
    <x v="0"/>
    <x v="1"/>
    <n v="15.245799999999999"/>
  </r>
  <r>
    <x v="1"/>
    <x v="1"/>
    <n v="39.4"/>
  </r>
  <r>
    <x v="2"/>
    <x v="1"/>
    <n v="26"/>
  </r>
  <r>
    <x v="0"/>
    <x v="1"/>
    <n v="9.35"/>
  </r>
  <r>
    <x v="1"/>
    <x v="1"/>
    <n v="164.86670000000001"/>
  </r>
  <r>
    <x v="1"/>
    <x v="0"/>
    <n v="26.55"/>
  </r>
  <r>
    <x v="0"/>
    <x v="1"/>
    <n v="19.258299999999998"/>
  </r>
  <r>
    <x v="0"/>
    <x v="0"/>
    <n v="7.2291999999999996"/>
  </r>
  <r>
    <x v="0"/>
    <x v="0"/>
    <n v="14.1083"/>
  </r>
  <r>
    <x v="2"/>
    <x v="0"/>
    <n v="11.5"/>
  </r>
  <r>
    <x v="1"/>
    <x v="1"/>
    <n v="25.929200000000002"/>
  </r>
  <r>
    <x v="0"/>
    <x v="1"/>
    <n v="69.55"/>
  </r>
  <r>
    <x v="2"/>
    <x v="0"/>
    <n v="13"/>
  </r>
  <r>
    <x v="2"/>
    <x v="1"/>
    <n v="13"/>
  </r>
  <r>
    <x v="2"/>
    <x v="1"/>
    <n v="13.8583"/>
  </r>
  <r>
    <x v="1"/>
    <x v="0"/>
    <n v="50.495800000000003"/>
  </r>
  <r>
    <x v="0"/>
    <x v="0"/>
    <n v="9.5"/>
  </r>
  <r>
    <x v="0"/>
    <x v="0"/>
    <n v="11.1333"/>
  </r>
  <r>
    <x v="0"/>
    <x v="0"/>
    <n v="7.8958000000000004"/>
  </r>
  <r>
    <x v="1"/>
    <x v="1"/>
    <n v="52.554200000000002"/>
  </r>
  <r>
    <x v="1"/>
    <x v="0"/>
    <n v="5"/>
  </r>
  <r>
    <x v="0"/>
    <x v="0"/>
    <n v="9"/>
  </r>
  <r>
    <x v="2"/>
    <x v="1"/>
    <n v="24"/>
  </r>
  <r>
    <x v="0"/>
    <x v="1"/>
    <n v="7.2249999999999996"/>
  </r>
  <r>
    <x v="0"/>
    <x v="0"/>
    <n v="9.8458000000000006"/>
  </r>
  <r>
    <x v="0"/>
    <x v="0"/>
    <n v="7.8958000000000004"/>
  </r>
  <r>
    <x v="0"/>
    <x v="0"/>
    <n v="7.8958000000000004"/>
  </r>
  <r>
    <x v="1"/>
    <x v="1"/>
    <n v="83.158299999999997"/>
  </r>
  <r>
    <x v="2"/>
    <x v="1"/>
    <n v="26"/>
  </r>
  <r>
    <x v="0"/>
    <x v="0"/>
    <n v="7.8958000000000004"/>
  </r>
  <r>
    <x v="0"/>
    <x v="1"/>
    <n v="10.5167"/>
  </r>
  <r>
    <x v="2"/>
    <x v="0"/>
    <n v="10.5"/>
  </r>
  <r>
    <x v="0"/>
    <x v="0"/>
    <n v="7.05"/>
  </r>
  <r>
    <x v="0"/>
    <x v="1"/>
    <n v="29.125"/>
  </r>
  <r>
    <x v="2"/>
    <x v="0"/>
    <n v="13"/>
  </r>
  <r>
    <x v="1"/>
    <x v="1"/>
    <n v="30"/>
  </r>
  <r>
    <x v="0"/>
    <x v="1"/>
    <n v="23.45"/>
  </r>
  <r>
    <x v="1"/>
    <x v="0"/>
    <n v="30"/>
  </r>
  <r>
    <x v="0"/>
    <x v="0"/>
    <n v="7.75"/>
  </r>
  <r>
    <x v="3"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5F8E0D-3DF3-D14C-9468-F5F179103A5A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2">
    <pivotField axis="axisRow" showAll="0">
      <items count="4">
        <item x="1"/>
        <item x="0"/>
        <item x="2"/>
        <item t="default"/>
      </items>
    </pivotField>
    <pivotField dataField="1" showAll="0">
      <items count="250">
        <item x="104"/>
        <item x="163"/>
        <item x="245"/>
        <item x="152"/>
        <item x="240"/>
        <item x="237"/>
        <item x="110"/>
        <item x="85"/>
        <item x="171"/>
        <item x="238"/>
        <item x="78"/>
        <item x="185"/>
        <item x="79"/>
        <item x="218"/>
        <item x="123"/>
        <item x="76"/>
        <item x="18"/>
        <item x="32"/>
        <item x="0"/>
        <item x="91"/>
        <item x="196"/>
        <item x="186"/>
        <item x="120"/>
        <item x="192"/>
        <item x="55"/>
        <item x="182"/>
        <item x="166"/>
        <item x="93"/>
        <item x="229"/>
        <item x="227"/>
        <item x="28"/>
        <item x="71"/>
        <item x="60"/>
        <item x="88"/>
        <item x="41"/>
        <item x="204"/>
        <item x="13"/>
        <item x="173"/>
        <item x="24"/>
        <item x="235"/>
        <item x="25"/>
        <item x="2"/>
        <item x="20"/>
        <item x="4"/>
        <item x="176"/>
        <item x="222"/>
        <item x="50"/>
        <item x="239"/>
        <item x="230"/>
        <item x="109"/>
        <item x="219"/>
        <item x="5"/>
        <item x="234"/>
        <item x="70"/>
        <item x="51"/>
        <item x="233"/>
        <item x="211"/>
        <item x="138"/>
        <item x="58"/>
        <item x="83"/>
        <item x="157"/>
        <item x="118"/>
        <item x="34"/>
        <item x="228"/>
        <item x="59"/>
        <item x="188"/>
        <item x="73"/>
        <item x="184"/>
        <item x="221"/>
        <item x="246"/>
        <item x="223"/>
        <item x="111"/>
        <item x="29"/>
        <item x="247"/>
        <item x="8"/>
        <item x="33"/>
        <item x="86"/>
        <item x="167"/>
        <item x="122"/>
        <item x="187"/>
        <item x="142"/>
        <item x="57"/>
        <item x="89"/>
        <item x="169"/>
        <item x="137"/>
        <item x="16"/>
        <item x="226"/>
        <item x="119"/>
        <item x="183"/>
        <item x="243"/>
        <item x="203"/>
        <item x="149"/>
        <item x="242"/>
        <item x="174"/>
        <item x="53"/>
        <item x="74"/>
        <item x="80"/>
        <item x="212"/>
        <item x="81"/>
        <item x="105"/>
        <item x="191"/>
        <item x="49"/>
        <item x="37"/>
        <item x="215"/>
        <item x="165"/>
        <item x="96"/>
        <item x="62"/>
        <item x="156"/>
        <item x="14"/>
        <item x="95"/>
        <item x="10"/>
        <item x="206"/>
        <item x="39"/>
        <item x="17"/>
        <item x="170"/>
        <item x="112"/>
        <item x="178"/>
        <item x="131"/>
        <item x="179"/>
        <item x="125"/>
        <item x="134"/>
        <item x="97"/>
        <item x="65"/>
        <item x="35"/>
        <item x="7"/>
        <item x="38"/>
        <item x="107"/>
        <item x="77"/>
        <item x="193"/>
        <item x="68"/>
        <item x="141"/>
        <item x="231"/>
        <item x="145"/>
        <item x="72"/>
        <item x="102"/>
        <item x="220"/>
        <item x="99"/>
        <item x="232"/>
        <item x="19"/>
        <item x="121"/>
        <item x="82"/>
        <item x="194"/>
        <item x="208"/>
        <item x="11"/>
        <item x="115"/>
        <item x="26"/>
        <item x="44"/>
        <item x="48"/>
        <item x="154"/>
        <item x="103"/>
        <item x="56"/>
        <item x="15"/>
        <item x="132"/>
        <item x="209"/>
        <item x="9"/>
        <item x="140"/>
        <item x="101"/>
        <item x="113"/>
        <item x="12"/>
        <item x="22"/>
        <item x="217"/>
        <item x="172"/>
        <item x="213"/>
        <item x="100"/>
        <item x="197"/>
        <item x="63"/>
        <item x="66"/>
        <item x="158"/>
        <item x="21"/>
        <item x="87"/>
        <item x="236"/>
        <item x="181"/>
        <item x="106"/>
        <item x="241"/>
        <item x="205"/>
        <item x="40"/>
        <item x="210"/>
        <item x="36"/>
        <item x="214"/>
        <item x="45"/>
        <item x="61"/>
        <item x="201"/>
        <item x="189"/>
        <item x="108"/>
        <item x="244"/>
        <item x="207"/>
        <item x="6"/>
        <item x="31"/>
        <item x="124"/>
        <item x="3"/>
        <item x="98"/>
        <item x="161"/>
        <item x="175"/>
        <item x="54"/>
        <item x="146"/>
        <item x="225"/>
        <item x="153"/>
        <item x="195"/>
        <item x="64"/>
        <item x="92"/>
        <item x="43"/>
        <item x="67"/>
        <item x="216"/>
        <item x="90"/>
        <item x="160"/>
        <item x="94"/>
        <item x="202"/>
        <item x="1"/>
        <item x="52"/>
        <item x="159"/>
        <item x="116"/>
        <item x="42"/>
        <item x="69"/>
        <item x="133"/>
        <item x="190"/>
        <item x="135"/>
        <item x="84"/>
        <item x="128"/>
        <item x="46"/>
        <item x="177"/>
        <item x="30"/>
        <item x="147"/>
        <item x="47"/>
        <item x="126"/>
        <item x="180"/>
        <item x="117"/>
        <item x="136"/>
        <item x="198"/>
        <item x="200"/>
        <item x="144"/>
        <item x="143"/>
        <item x="114"/>
        <item x="168"/>
        <item x="155"/>
        <item x="151"/>
        <item x="130"/>
        <item x="27"/>
        <item x="139"/>
        <item x="129"/>
        <item x="150"/>
        <item x="224"/>
        <item x="162"/>
        <item x="199"/>
        <item x="164"/>
        <item x="75"/>
        <item x="148"/>
        <item x="23"/>
        <item x="127"/>
        <item x="248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Fare" fld="1" subtotal="average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7442BC-9BE6-394B-8362-198102317D8E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">
    <pivotField axis="axisRow" showAll="0">
      <items count="4">
        <item x="1"/>
        <item x="0"/>
        <item x="2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Far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A5B555-2451-2A40-862E-750A3F835866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7" firstHeaderRow="1" firstDataRow="1" firstDataCol="1"/>
  <pivotFields count="2">
    <pivotField axis="axisRow" showAll="0">
      <items count="4">
        <item x="1"/>
        <item x="0"/>
        <item x="2"/>
        <item t="default"/>
      </items>
    </pivotField>
    <pivotField dataField="1" showAll="0">
      <items count="250">
        <item x="104"/>
        <item x="163"/>
        <item x="245"/>
        <item x="152"/>
        <item x="240"/>
        <item x="237"/>
        <item x="110"/>
        <item x="85"/>
        <item x="171"/>
        <item x="238"/>
        <item x="78"/>
        <item x="185"/>
        <item x="79"/>
        <item x="218"/>
        <item x="123"/>
        <item x="76"/>
        <item x="18"/>
        <item x="32"/>
        <item x="0"/>
        <item x="91"/>
        <item x="196"/>
        <item x="186"/>
        <item x="120"/>
        <item x="192"/>
        <item x="55"/>
        <item x="182"/>
        <item x="166"/>
        <item x="93"/>
        <item x="229"/>
        <item x="227"/>
        <item x="28"/>
        <item x="71"/>
        <item x="60"/>
        <item x="88"/>
        <item x="41"/>
        <item x="204"/>
        <item x="13"/>
        <item x="173"/>
        <item x="24"/>
        <item x="235"/>
        <item x="25"/>
        <item x="2"/>
        <item x="20"/>
        <item x="4"/>
        <item x="176"/>
        <item x="222"/>
        <item x="50"/>
        <item x="239"/>
        <item x="230"/>
        <item x="109"/>
        <item x="219"/>
        <item x="5"/>
        <item x="234"/>
        <item x="70"/>
        <item x="51"/>
        <item x="233"/>
        <item x="211"/>
        <item x="138"/>
        <item x="58"/>
        <item x="83"/>
        <item x="157"/>
        <item x="118"/>
        <item x="34"/>
        <item x="228"/>
        <item x="59"/>
        <item x="188"/>
        <item x="73"/>
        <item x="184"/>
        <item x="221"/>
        <item x="246"/>
        <item x="223"/>
        <item x="111"/>
        <item x="29"/>
        <item x="247"/>
        <item x="8"/>
        <item x="33"/>
        <item x="86"/>
        <item x="167"/>
        <item x="122"/>
        <item x="187"/>
        <item x="142"/>
        <item x="57"/>
        <item x="89"/>
        <item x="169"/>
        <item x="137"/>
        <item x="16"/>
        <item x="226"/>
        <item x="119"/>
        <item x="183"/>
        <item x="243"/>
        <item x="203"/>
        <item x="149"/>
        <item x="242"/>
        <item x="174"/>
        <item x="53"/>
        <item x="74"/>
        <item x="80"/>
        <item x="212"/>
        <item x="81"/>
        <item x="105"/>
        <item x="191"/>
        <item x="49"/>
        <item x="37"/>
        <item x="215"/>
        <item x="165"/>
        <item x="96"/>
        <item x="62"/>
        <item x="156"/>
        <item x="14"/>
        <item x="95"/>
        <item x="10"/>
        <item x="206"/>
        <item x="39"/>
        <item x="17"/>
        <item x="170"/>
        <item x="112"/>
        <item x="178"/>
        <item x="131"/>
        <item x="179"/>
        <item x="125"/>
        <item x="134"/>
        <item x="97"/>
        <item x="65"/>
        <item x="35"/>
        <item x="7"/>
        <item x="38"/>
        <item x="107"/>
        <item x="77"/>
        <item x="193"/>
        <item x="68"/>
        <item x="141"/>
        <item x="231"/>
        <item x="145"/>
        <item x="72"/>
        <item x="102"/>
        <item x="220"/>
        <item x="99"/>
        <item x="232"/>
        <item x="19"/>
        <item x="121"/>
        <item x="82"/>
        <item x="194"/>
        <item x="208"/>
        <item x="11"/>
        <item x="115"/>
        <item x="26"/>
        <item x="44"/>
        <item x="48"/>
        <item x="154"/>
        <item x="103"/>
        <item x="56"/>
        <item x="15"/>
        <item x="132"/>
        <item x="209"/>
        <item x="9"/>
        <item x="140"/>
        <item x="101"/>
        <item x="113"/>
        <item x="12"/>
        <item x="22"/>
        <item x="217"/>
        <item x="172"/>
        <item x="213"/>
        <item x="100"/>
        <item x="197"/>
        <item x="63"/>
        <item x="66"/>
        <item x="158"/>
        <item x="21"/>
        <item x="87"/>
        <item x="236"/>
        <item x="181"/>
        <item x="106"/>
        <item x="241"/>
        <item x="205"/>
        <item x="40"/>
        <item x="210"/>
        <item x="36"/>
        <item x="214"/>
        <item x="45"/>
        <item x="61"/>
        <item x="201"/>
        <item x="189"/>
        <item x="108"/>
        <item x="244"/>
        <item x="207"/>
        <item x="6"/>
        <item x="31"/>
        <item x="124"/>
        <item x="3"/>
        <item x="98"/>
        <item x="161"/>
        <item x="175"/>
        <item x="54"/>
        <item x="146"/>
        <item x="225"/>
        <item x="153"/>
        <item x="195"/>
        <item x="64"/>
        <item x="92"/>
        <item x="43"/>
        <item x="67"/>
        <item x="216"/>
        <item x="90"/>
        <item x="160"/>
        <item x="94"/>
        <item x="202"/>
        <item x="1"/>
        <item x="52"/>
        <item x="159"/>
        <item x="116"/>
        <item x="42"/>
        <item x="69"/>
        <item x="133"/>
        <item x="190"/>
        <item x="135"/>
        <item x="84"/>
        <item x="128"/>
        <item x="46"/>
        <item x="177"/>
        <item x="30"/>
        <item x="147"/>
        <item x="47"/>
        <item x="126"/>
        <item x="180"/>
        <item x="117"/>
        <item x="136"/>
        <item x="198"/>
        <item x="200"/>
        <item x="144"/>
        <item x="143"/>
        <item x="114"/>
        <item x="168"/>
        <item x="155"/>
        <item x="151"/>
        <item x="130"/>
        <item x="27"/>
        <item x="139"/>
        <item x="129"/>
        <item x="150"/>
        <item x="224"/>
        <item x="162"/>
        <item x="199"/>
        <item x="164"/>
        <item x="75"/>
        <item x="148"/>
        <item x="23"/>
        <item x="127"/>
        <item x="248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Fare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E7A767-0EA3-B045-AF62-A945571DB3E4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3">
    <pivotField axis="axisRow" showAll="0">
      <items count="5">
        <item x="1"/>
        <item x="2"/>
        <item x="0"/>
        <item x="3"/>
        <item t="default"/>
      </items>
    </pivotField>
    <pivotField axis="axisRow" showAll="0">
      <items count="4">
        <item x="1"/>
        <item x="0"/>
        <item x="2"/>
        <item t="default"/>
      </items>
    </pivotField>
    <pivotField dataField="1" showAll="0"/>
  </pivotFields>
  <rowFields count="2">
    <field x="1"/>
    <field x="0"/>
  </rowFields>
  <rowItems count="11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 v="3"/>
    </i>
    <i t="grand">
      <x/>
    </i>
  </rowItems>
  <colItems count="1">
    <i/>
  </colItems>
  <dataFields count="1">
    <dataField name="Average of Fare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3EF867-D779-FD47-8258-9F1EA58B7822}" name="Table1" displayName="Table1" ref="A1:B315" totalsRowShown="0">
  <autoFilter ref="A1:B315" xr:uid="{B53EF867-D779-FD47-8258-9F1EA58B7822}"/>
  <tableColumns count="2">
    <tableColumn id="1" xr3:uid="{152320FC-65FB-6B49-B771-0BBF42CBA14E}" name="Sex"/>
    <tableColumn id="2" xr3:uid="{A6F7F9FF-D23C-C74E-A2E5-EDE48DE9FD8B}" name="Fa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93991DA-D4A1-6C48-AA5C-BD2B9F131773}" name="Table5" displayName="Table5" ref="A1:B315" totalsRowShown="0">
  <autoFilter ref="A1:B315" xr:uid="{793991DA-D4A1-6C48-AA5C-BD2B9F131773}"/>
  <tableColumns count="2">
    <tableColumn id="1" xr3:uid="{082C0996-1245-0F4D-83F9-6AC54BC2A243}" name="Sex"/>
    <tableColumn id="2" xr3:uid="{90EDAC65-D947-A84B-9B82-0403C61BF4CF}" name="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90188E-577D-444C-A5BC-6D8CE3547CEA}" name="Table4" displayName="Table4" ref="A1:B315" totalsRowShown="0">
  <autoFilter ref="A1:B315" xr:uid="{BE90188E-577D-444C-A5BC-6D8CE3547CEA}"/>
  <tableColumns count="2">
    <tableColumn id="1" xr3:uid="{F954224B-4B53-CA47-BC3C-371FC085C8C1}" name="Sex"/>
    <tableColumn id="2" xr3:uid="{F73D0972-3774-104A-A3B4-CEDB9FE4A97C}" name="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C4F253-E979-1D46-9584-FACEC176CC8B}" name="Table2" displayName="Table2" ref="A1:B315" totalsRowShown="0">
  <autoFilter ref="A1:B315" xr:uid="{E7C4F253-E979-1D46-9584-FACEC176CC8B}"/>
  <tableColumns count="2">
    <tableColumn id="1" xr3:uid="{0B01EE49-FF10-6A4D-A3A1-B1DC6E9736E9}" name="Sex"/>
    <tableColumn id="2" xr3:uid="{073E10D1-8408-DB43-9016-6515DDEA0E93}" name="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892"/>
  <sheetViews>
    <sheetView zoomScale="138" workbookViewId="0">
      <selection activeCell="J1" sqref="J1:J1048576"/>
    </sheetView>
  </sheetViews>
  <sheetFormatPr baseColWidth="10" defaultRowHeight="16" x14ac:dyDescent="0.2"/>
  <cols>
    <col min="8" max="8" width="19.1640625" customWidth="1"/>
    <col min="9" max="9" width="10.83203125" customWidth="1"/>
    <col min="10" max="10" width="9.33203125" style="3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9</v>
      </c>
      <c r="K1" t="s">
        <v>10</v>
      </c>
      <c r="L1" t="s">
        <v>11</v>
      </c>
      <c r="N1" t="s">
        <v>1287</v>
      </c>
      <c r="Q1" t="s">
        <v>1282</v>
      </c>
      <c r="R1" t="s">
        <v>1283</v>
      </c>
    </row>
    <row r="2" spans="1:18" x14ac:dyDescent="0.2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 s="3">
        <v>7.25</v>
      </c>
      <c r="L2" t="s">
        <v>15</v>
      </c>
      <c r="M2" t="s">
        <v>1286</v>
      </c>
      <c r="N2" t="s">
        <v>1288</v>
      </c>
      <c r="Q2">
        <f>STDEV(F2,27.74)</f>
        <v>4.0587929240108087</v>
      </c>
      <c r="R2">
        <f>STDEV(J2,28.1)</f>
        <v>14.743176387739517</v>
      </c>
    </row>
    <row r="3" spans="1:18" x14ac:dyDescent="0.2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 s="3">
        <v>71.283299999999997</v>
      </c>
      <c r="K3" t="s">
        <v>19</v>
      </c>
      <c r="L3" t="s">
        <v>20</v>
      </c>
      <c r="M3">
        <v>0.2</v>
      </c>
      <c r="Q3">
        <f t="shared" ref="Q3:Q50" si="0">STDEV(F3,27.74)</f>
        <v>7.2549155749739818</v>
      </c>
      <c r="R3">
        <f t="shared" ref="R3:R50" si="1">STDEV(J3,28.1)</f>
        <v>30.535204264013046</v>
      </c>
    </row>
    <row r="4" spans="1:18" x14ac:dyDescent="0.2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 s="3">
        <v>7.9249999999999998</v>
      </c>
      <c r="L4" t="s">
        <v>15</v>
      </c>
      <c r="Q4">
        <f t="shared" si="0"/>
        <v>1.2303657992645916</v>
      </c>
      <c r="R4">
        <f t="shared" si="1"/>
        <v>14.265879310438603</v>
      </c>
    </row>
    <row r="5" spans="1:18" x14ac:dyDescent="0.2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>
        <v>113803</v>
      </c>
      <c r="J5" s="3">
        <v>53.1</v>
      </c>
      <c r="K5" t="s">
        <v>24</v>
      </c>
      <c r="L5" t="s">
        <v>15</v>
      </c>
      <c r="Q5">
        <f t="shared" si="0"/>
        <v>5.1335952314143665</v>
      </c>
      <c r="R5">
        <f t="shared" si="1"/>
        <v>17.677669529663689</v>
      </c>
    </row>
    <row r="6" spans="1:18" x14ac:dyDescent="0.2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 s="3">
        <v>8.0500000000000007</v>
      </c>
      <c r="L6" t="s">
        <v>15</v>
      </c>
      <c r="Q6">
        <f t="shared" si="0"/>
        <v>5.1335952314143665</v>
      </c>
      <c r="R6">
        <f t="shared" si="1"/>
        <v>14.177490962790275</v>
      </c>
    </row>
    <row r="7" spans="1:18" x14ac:dyDescent="0.2">
      <c r="A7">
        <v>6</v>
      </c>
      <c r="B7">
        <v>0</v>
      </c>
      <c r="C7">
        <v>3</v>
      </c>
      <c r="D7" t="s">
        <v>26</v>
      </c>
      <c r="E7" t="s">
        <v>13</v>
      </c>
      <c r="F7">
        <v>27.74</v>
      </c>
      <c r="G7">
        <v>0</v>
      </c>
      <c r="H7">
        <v>0</v>
      </c>
      <c r="I7">
        <v>330877</v>
      </c>
      <c r="J7" s="3">
        <v>8.4582999999999995</v>
      </c>
      <c r="L7" t="s">
        <v>27</v>
      </c>
      <c r="M7">
        <v>1E-3</v>
      </c>
      <c r="Q7">
        <f t="shared" si="0"/>
        <v>0</v>
      </c>
      <c r="R7">
        <f t="shared" si="1"/>
        <v>13.888779264031809</v>
      </c>
    </row>
    <row r="8" spans="1:18" x14ac:dyDescent="0.2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 s="3">
        <v>51.862499999999997</v>
      </c>
      <c r="K8" t="s">
        <v>29</v>
      </c>
      <c r="L8" t="s">
        <v>15</v>
      </c>
      <c r="Q8">
        <f t="shared" si="0"/>
        <v>18.568624073958748</v>
      </c>
      <c r="R8">
        <f t="shared" si="1"/>
        <v>16.80262488794531</v>
      </c>
    </row>
    <row r="9" spans="1:18" x14ac:dyDescent="0.2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 s="3">
        <v>21.074999999999999</v>
      </c>
      <c r="L9" t="s">
        <v>15</v>
      </c>
      <c r="Q9">
        <f t="shared" si="0"/>
        <v>18.200928547741732</v>
      </c>
      <c r="R9">
        <f t="shared" si="1"/>
        <v>4.9674251378355212</v>
      </c>
    </row>
    <row r="10" spans="1:18" x14ac:dyDescent="0.2">
      <c r="A10">
        <v>9</v>
      </c>
      <c r="B10">
        <v>1</v>
      </c>
      <c r="C10">
        <v>3</v>
      </c>
      <c r="D10" t="s">
        <v>31</v>
      </c>
      <c r="E10" t="s">
        <v>17</v>
      </c>
      <c r="F10">
        <v>27</v>
      </c>
      <c r="G10">
        <v>0</v>
      </c>
      <c r="H10">
        <v>2</v>
      </c>
      <c r="I10">
        <v>347742</v>
      </c>
      <c r="J10" s="3">
        <v>11.1333</v>
      </c>
      <c r="L10" t="s">
        <v>15</v>
      </c>
      <c r="Q10">
        <f t="shared" si="0"/>
        <v>0.52325901807804409</v>
      </c>
      <c r="R10">
        <f t="shared" si="1"/>
        <v>11.997268624357801</v>
      </c>
    </row>
    <row r="11" spans="1:18" x14ac:dyDescent="0.2">
      <c r="A11">
        <v>10</v>
      </c>
      <c r="B11">
        <v>1</v>
      </c>
      <c r="C11">
        <v>2</v>
      </c>
      <c r="D11" t="s">
        <v>32</v>
      </c>
      <c r="E11" t="s">
        <v>17</v>
      </c>
      <c r="F11">
        <v>14</v>
      </c>
      <c r="G11">
        <v>1</v>
      </c>
      <c r="H11">
        <v>0</v>
      </c>
      <c r="I11">
        <v>237736</v>
      </c>
      <c r="J11" s="3">
        <v>30.070799999999998</v>
      </c>
      <c r="L11" t="s">
        <v>20</v>
      </c>
      <c r="Q11">
        <f t="shared" si="0"/>
        <v>9.7156471735031715</v>
      </c>
      <c r="R11">
        <f t="shared" si="1"/>
        <v>1.3935660443624458</v>
      </c>
    </row>
    <row r="12" spans="1:18" x14ac:dyDescent="0.2">
      <c r="A12">
        <v>11</v>
      </c>
      <c r="B12">
        <v>1</v>
      </c>
      <c r="C12">
        <v>3</v>
      </c>
      <c r="D12" t="s">
        <v>33</v>
      </c>
      <c r="E12" t="s">
        <v>17</v>
      </c>
      <c r="F12">
        <v>4</v>
      </c>
      <c r="G12">
        <v>1</v>
      </c>
      <c r="H12">
        <v>1</v>
      </c>
      <c r="I12" t="s">
        <v>34</v>
      </c>
      <c r="J12" s="3">
        <v>16.7</v>
      </c>
      <c r="K12" t="s">
        <v>35</v>
      </c>
      <c r="L12" t="s">
        <v>15</v>
      </c>
      <c r="Q12">
        <f t="shared" si="0"/>
        <v>16.786714985368636</v>
      </c>
      <c r="R12">
        <f t="shared" si="1"/>
        <v>8.0610173055266507</v>
      </c>
    </row>
    <row r="13" spans="1:18" x14ac:dyDescent="0.2">
      <c r="A13">
        <v>12</v>
      </c>
      <c r="B13">
        <v>1</v>
      </c>
      <c r="C13">
        <v>1</v>
      </c>
      <c r="D13" t="s">
        <v>36</v>
      </c>
      <c r="E13" t="s">
        <v>17</v>
      </c>
      <c r="F13">
        <v>58</v>
      </c>
      <c r="G13">
        <v>0</v>
      </c>
      <c r="H13">
        <v>0</v>
      </c>
      <c r="I13">
        <v>113783</v>
      </c>
      <c r="J13" s="3">
        <v>26.55</v>
      </c>
      <c r="K13" t="s">
        <v>37</v>
      </c>
      <c r="L13" t="s">
        <v>15</v>
      </c>
      <c r="M13" t="s">
        <v>1262</v>
      </c>
      <c r="N13">
        <f>QUARTILE(J2:J112, 1)</f>
        <v>7.9771000000000001</v>
      </c>
      <c r="P13" s="3">
        <f>AVERAGE(J2:J31)</f>
        <v>28.832636666666666</v>
      </c>
      <c r="Q13">
        <f t="shared" si="0"/>
        <v>21.397051198704936</v>
      </c>
      <c r="R13">
        <f t="shared" si="1"/>
        <v>1.0960155108391492</v>
      </c>
    </row>
    <row r="14" spans="1:18" x14ac:dyDescent="0.2">
      <c r="A14">
        <v>13</v>
      </c>
      <c r="B14">
        <v>0</v>
      </c>
      <c r="C14">
        <v>3</v>
      </c>
      <c r="D14" t="s">
        <v>38</v>
      </c>
      <c r="E14" t="s">
        <v>13</v>
      </c>
      <c r="F14">
        <v>20</v>
      </c>
      <c r="G14">
        <v>0</v>
      </c>
      <c r="H14">
        <v>0</v>
      </c>
      <c r="I14" t="s">
        <v>39</v>
      </c>
      <c r="J14" s="3">
        <v>8.0500000000000007</v>
      </c>
      <c r="L14" t="s">
        <v>15</v>
      </c>
      <c r="M14" t="s">
        <v>1263</v>
      </c>
      <c r="N14" s="3">
        <f>AVERAGE(J2:J112)</f>
        <v>28.547634234234234</v>
      </c>
      <c r="P14" s="3">
        <f>MIN(J2:J30)</f>
        <v>7.2249999999999996</v>
      </c>
      <c r="Q14">
        <f t="shared" si="0"/>
        <v>5.4730064863838983</v>
      </c>
      <c r="R14">
        <f t="shared" si="1"/>
        <v>14.177490962790275</v>
      </c>
    </row>
    <row r="15" spans="1:18" x14ac:dyDescent="0.2">
      <c r="A15">
        <v>14</v>
      </c>
      <c r="B15">
        <v>0</v>
      </c>
      <c r="C15">
        <v>3</v>
      </c>
      <c r="D15" t="s">
        <v>40</v>
      </c>
      <c r="E15" t="s">
        <v>13</v>
      </c>
      <c r="F15">
        <v>39</v>
      </c>
      <c r="G15">
        <v>1</v>
      </c>
      <c r="H15">
        <v>5</v>
      </c>
      <c r="I15">
        <v>347082</v>
      </c>
      <c r="J15" s="3">
        <v>31.274999999999999</v>
      </c>
      <c r="L15" t="s">
        <v>15</v>
      </c>
      <c r="M15" t="s">
        <v>1264</v>
      </c>
      <c r="N15">
        <f>STDEV(J2:J112)</f>
        <v>39.615582392899825</v>
      </c>
      <c r="P15" s="3">
        <f>MAX(J2:J50)</f>
        <v>263</v>
      </c>
      <c r="Q15">
        <f t="shared" si="0"/>
        <v>7.962022356160543</v>
      </c>
      <c r="R15">
        <f t="shared" si="1"/>
        <v>2.2450640302672862</v>
      </c>
    </row>
    <row r="16" spans="1:18" x14ac:dyDescent="0.2">
      <c r="A16">
        <v>15</v>
      </c>
      <c r="B16">
        <v>0</v>
      </c>
      <c r="C16">
        <v>3</v>
      </c>
      <c r="D16" t="s">
        <v>41</v>
      </c>
      <c r="E16" t="s">
        <v>17</v>
      </c>
      <c r="F16">
        <v>14</v>
      </c>
      <c r="G16">
        <v>0</v>
      </c>
      <c r="H16">
        <v>0</v>
      </c>
      <c r="I16">
        <v>350406</v>
      </c>
      <c r="J16" s="3">
        <v>7.8541999999999996</v>
      </c>
      <c r="L16" t="s">
        <v>15</v>
      </c>
      <c r="M16" t="s">
        <v>1265</v>
      </c>
      <c r="N16">
        <f>MODE(J2:J112)</f>
        <v>8.0500000000000007</v>
      </c>
      <c r="P16">
        <f>STDEV(J2:J50)</f>
        <v>42.316295419406991</v>
      </c>
      <c r="Q16">
        <f t="shared" si="0"/>
        <v>9.7156471735031715</v>
      </c>
      <c r="R16">
        <f t="shared" si="1"/>
        <v>14.315942470546609</v>
      </c>
    </row>
    <row r="17" spans="1:18" x14ac:dyDescent="0.2">
      <c r="A17">
        <v>16</v>
      </c>
      <c r="B17">
        <v>1</v>
      </c>
      <c r="C17">
        <v>2</v>
      </c>
      <c r="D17" t="s">
        <v>42</v>
      </c>
      <c r="E17" t="s">
        <v>17</v>
      </c>
      <c r="F17">
        <v>55</v>
      </c>
      <c r="G17">
        <v>0</v>
      </c>
      <c r="H17">
        <v>0</v>
      </c>
      <c r="I17">
        <v>248706</v>
      </c>
      <c r="J17" s="3">
        <v>16</v>
      </c>
      <c r="L17" t="s">
        <v>15</v>
      </c>
      <c r="M17" t="s">
        <v>1268</v>
      </c>
      <c r="N17" s="3">
        <f>MEDIAN(J2:J12)</f>
        <v>16.7</v>
      </c>
      <c r="P17" s="3">
        <f>MEDIAN(J2:J50)</f>
        <v>15.5</v>
      </c>
      <c r="Q17">
        <f t="shared" si="0"/>
        <v>19.275730855145291</v>
      </c>
      <c r="R17">
        <f t="shared" si="1"/>
        <v>8.5559920523572277</v>
      </c>
    </row>
    <row r="18" spans="1:18" x14ac:dyDescent="0.2">
      <c r="A18">
        <v>17</v>
      </c>
      <c r="B18">
        <v>0</v>
      </c>
      <c r="C18">
        <v>3</v>
      </c>
      <c r="D18" t="s">
        <v>43</v>
      </c>
      <c r="E18" t="s">
        <v>13</v>
      </c>
      <c r="F18">
        <v>2</v>
      </c>
      <c r="G18">
        <v>4</v>
      </c>
      <c r="H18">
        <v>1</v>
      </c>
      <c r="I18">
        <v>382652</v>
      </c>
      <c r="J18" s="3">
        <v>29.125</v>
      </c>
      <c r="L18" t="s">
        <v>27</v>
      </c>
      <c r="M18" t="s">
        <v>1266</v>
      </c>
      <c r="N18" s="3">
        <f>SUM(J2:J12)</f>
        <v>286.90819999999997</v>
      </c>
      <c r="P18" s="3">
        <f>SUM(J2:J50)</f>
        <v>1376.9708000000001</v>
      </c>
      <c r="Q18">
        <f t="shared" si="0"/>
        <v>18.200928547741732</v>
      </c>
      <c r="R18">
        <f t="shared" si="1"/>
        <v>0.72478445071621023</v>
      </c>
    </row>
    <row r="19" spans="1:18" x14ac:dyDescent="0.2">
      <c r="A19">
        <v>18</v>
      </c>
      <c r="B19">
        <v>1</v>
      </c>
      <c r="C19">
        <v>2</v>
      </c>
      <c r="D19" t="s">
        <v>44</v>
      </c>
      <c r="E19" t="s">
        <v>13</v>
      </c>
      <c r="G19">
        <v>0</v>
      </c>
      <c r="H19">
        <v>0</v>
      </c>
      <c r="I19">
        <v>244373</v>
      </c>
      <c r="J19" s="3">
        <v>13</v>
      </c>
      <c r="L19" t="s">
        <v>15</v>
      </c>
      <c r="M19" t="s">
        <v>1267</v>
      </c>
      <c r="N19">
        <f>COUNT(J2:J12)</f>
        <v>11</v>
      </c>
      <c r="P19">
        <f>COUNT(J2:J50)</f>
        <v>49</v>
      </c>
      <c r="Q19" t="e">
        <f t="shared" si="0"/>
        <v>#DIV/0!</v>
      </c>
      <c r="R19">
        <f t="shared" si="1"/>
        <v>10.677312395916873</v>
      </c>
    </row>
    <row r="20" spans="1:18" x14ac:dyDescent="0.2">
      <c r="A20">
        <v>19</v>
      </c>
      <c r="B20">
        <v>0</v>
      </c>
      <c r="C20">
        <v>3</v>
      </c>
      <c r="D20" t="s">
        <v>45</v>
      </c>
      <c r="E20" t="s">
        <v>17</v>
      </c>
      <c r="F20">
        <v>31</v>
      </c>
      <c r="G20">
        <v>1</v>
      </c>
      <c r="H20">
        <v>0</v>
      </c>
      <c r="I20">
        <v>345763</v>
      </c>
      <c r="J20" s="3">
        <v>18</v>
      </c>
      <c r="L20" t="s">
        <v>15</v>
      </c>
      <c r="Q20">
        <f t="shared" si="0"/>
        <v>2.305168106668146</v>
      </c>
      <c r="R20">
        <f t="shared" si="1"/>
        <v>7.1417784899841372</v>
      </c>
    </row>
    <row r="21" spans="1:18" x14ac:dyDescent="0.2">
      <c r="A21">
        <v>20</v>
      </c>
      <c r="B21">
        <v>1</v>
      </c>
      <c r="C21">
        <v>3</v>
      </c>
      <c r="D21" t="s">
        <v>46</v>
      </c>
      <c r="E21" t="s">
        <v>17</v>
      </c>
      <c r="G21">
        <v>0</v>
      </c>
      <c r="H21">
        <v>0</v>
      </c>
      <c r="I21">
        <v>2649</v>
      </c>
      <c r="J21" s="3">
        <v>7.2249999999999996</v>
      </c>
      <c r="L21" t="s">
        <v>20</v>
      </c>
      <c r="Q21" t="e">
        <f t="shared" si="0"/>
        <v>#DIV/0!</v>
      </c>
      <c r="R21">
        <f t="shared" si="1"/>
        <v>14.76085405726918</v>
      </c>
    </row>
    <row r="22" spans="1:18" x14ac:dyDescent="0.2">
      <c r="A22">
        <v>21</v>
      </c>
      <c r="B22">
        <v>0</v>
      </c>
      <c r="C22">
        <v>2</v>
      </c>
      <c r="D22" t="s">
        <v>47</v>
      </c>
      <c r="E22" t="s">
        <v>13</v>
      </c>
      <c r="F22">
        <v>35</v>
      </c>
      <c r="G22">
        <v>0</v>
      </c>
      <c r="H22">
        <v>0</v>
      </c>
      <c r="I22">
        <v>239865</v>
      </c>
      <c r="J22" s="3">
        <v>26</v>
      </c>
      <c r="L22" t="s">
        <v>15</v>
      </c>
      <c r="M22" t="s">
        <v>1284</v>
      </c>
      <c r="N22">
        <f>AVERAGE(F2:F50)</f>
        <v>27.742777777777778</v>
      </c>
      <c r="Q22">
        <f t="shared" si="0"/>
        <v>5.1335952314143665</v>
      </c>
      <c r="R22">
        <f t="shared" si="1"/>
        <v>1.4849242404917509</v>
      </c>
    </row>
    <row r="23" spans="1:18" x14ac:dyDescent="0.2">
      <c r="A23">
        <v>22</v>
      </c>
      <c r="B23">
        <v>1</v>
      </c>
      <c r="C23">
        <v>2</v>
      </c>
      <c r="D23" t="s">
        <v>48</v>
      </c>
      <c r="E23" t="s">
        <v>13</v>
      </c>
      <c r="F23">
        <v>34</v>
      </c>
      <c r="G23">
        <v>0</v>
      </c>
      <c r="H23">
        <v>0</v>
      </c>
      <c r="I23">
        <v>248698</v>
      </c>
      <c r="J23" s="3">
        <v>13</v>
      </c>
      <c r="K23" t="s">
        <v>49</v>
      </c>
      <c r="L23" t="s">
        <v>15</v>
      </c>
      <c r="M23" t="s">
        <v>1285</v>
      </c>
      <c r="N23" s="3">
        <f>AVERAGE(J2:J50)</f>
        <v>28.101444897959183</v>
      </c>
      <c r="Q23">
        <f t="shared" si="0"/>
        <v>4.4264884502278248</v>
      </c>
      <c r="R23">
        <f t="shared" si="1"/>
        <v>10.677312395916873</v>
      </c>
    </row>
    <row r="24" spans="1:18" x14ac:dyDescent="0.2">
      <c r="A24">
        <v>23</v>
      </c>
      <c r="B24">
        <v>1</v>
      </c>
      <c r="C24">
        <v>3</v>
      </c>
      <c r="D24" t="s">
        <v>50</v>
      </c>
      <c r="E24" t="s">
        <v>17</v>
      </c>
      <c r="F24">
        <v>15</v>
      </c>
      <c r="G24">
        <v>0</v>
      </c>
      <c r="H24">
        <v>0</v>
      </c>
      <c r="I24">
        <v>330923</v>
      </c>
      <c r="J24" s="3">
        <v>8.0291999999999994</v>
      </c>
      <c r="L24" t="s">
        <v>27</v>
      </c>
      <c r="Q24">
        <f t="shared" si="0"/>
        <v>9.0085403923166236</v>
      </c>
      <c r="R24">
        <f t="shared" si="1"/>
        <v>14.192198783838966</v>
      </c>
    </row>
    <row r="25" spans="1:18" x14ac:dyDescent="0.2">
      <c r="A25">
        <v>24</v>
      </c>
      <c r="B25">
        <v>1</v>
      </c>
      <c r="C25">
        <v>1</v>
      </c>
      <c r="D25" t="s">
        <v>51</v>
      </c>
      <c r="E25" t="s">
        <v>13</v>
      </c>
      <c r="F25">
        <v>28</v>
      </c>
      <c r="G25">
        <v>0</v>
      </c>
      <c r="H25">
        <v>0</v>
      </c>
      <c r="I25">
        <v>113788</v>
      </c>
      <c r="J25" s="3">
        <v>35.5</v>
      </c>
      <c r="K25" t="s">
        <v>52</v>
      </c>
      <c r="L25" t="s">
        <v>15</v>
      </c>
      <c r="Q25">
        <f t="shared" si="0"/>
        <v>0.18384776310850345</v>
      </c>
      <c r="R25">
        <f t="shared" si="1"/>
        <v>5.2325901807804618</v>
      </c>
    </row>
    <row r="26" spans="1:18" x14ac:dyDescent="0.2">
      <c r="A26">
        <v>25</v>
      </c>
      <c r="B26">
        <v>0</v>
      </c>
      <c r="C26">
        <v>3</v>
      </c>
      <c r="D26" t="s">
        <v>53</v>
      </c>
      <c r="E26" t="s">
        <v>17</v>
      </c>
      <c r="F26">
        <v>8</v>
      </c>
      <c r="G26">
        <v>3</v>
      </c>
      <c r="H26">
        <v>1</v>
      </c>
      <c r="I26">
        <v>349909</v>
      </c>
      <c r="J26" s="3">
        <v>21.074999999999999</v>
      </c>
      <c r="L26" t="s">
        <v>15</v>
      </c>
      <c r="Q26">
        <f t="shared" si="0"/>
        <v>13.958287860622452</v>
      </c>
      <c r="R26">
        <f t="shared" si="1"/>
        <v>4.9674251378355212</v>
      </c>
    </row>
    <row r="27" spans="1:18" x14ac:dyDescent="0.2">
      <c r="A27">
        <v>26</v>
      </c>
      <c r="B27">
        <v>1</v>
      </c>
      <c r="C27">
        <v>3</v>
      </c>
      <c r="D27" t="s">
        <v>54</v>
      </c>
      <c r="E27" t="s">
        <v>17</v>
      </c>
      <c r="F27">
        <v>38</v>
      </c>
      <c r="G27">
        <v>1</v>
      </c>
      <c r="H27">
        <v>5</v>
      </c>
      <c r="I27">
        <v>347077</v>
      </c>
      <c r="J27" s="3">
        <v>31.387499999999999</v>
      </c>
      <c r="L27" t="s">
        <v>15</v>
      </c>
      <c r="Q27">
        <f t="shared" si="0"/>
        <v>7.2549155749739818</v>
      </c>
      <c r="R27">
        <f t="shared" si="1"/>
        <v>2.3246135431507735</v>
      </c>
    </row>
    <row r="28" spans="1:18" x14ac:dyDescent="0.2">
      <c r="A28">
        <v>27</v>
      </c>
      <c r="B28">
        <v>0</v>
      </c>
      <c r="C28">
        <v>3</v>
      </c>
      <c r="D28" t="s">
        <v>55</v>
      </c>
      <c r="E28" t="s">
        <v>13</v>
      </c>
      <c r="G28">
        <v>0</v>
      </c>
      <c r="H28">
        <v>0</v>
      </c>
      <c r="I28">
        <v>2631</v>
      </c>
      <c r="J28" s="3">
        <v>7.2249999999999996</v>
      </c>
      <c r="L28" t="s">
        <v>20</v>
      </c>
      <c r="Q28" t="e">
        <f t="shared" si="0"/>
        <v>#DIV/0!</v>
      </c>
      <c r="R28">
        <f t="shared" si="1"/>
        <v>14.76085405726918</v>
      </c>
    </row>
    <row r="29" spans="1:18" x14ac:dyDescent="0.2">
      <c r="A29">
        <v>28</v>
      </c>
      <c r="B29">
        <v>0</v>
      </c>
      <c r="C29">
        <v>1</v>
      </c>
      <c r="D29" t="s">
        <v>56</v>
      </c>
      <c r="E29" t="s">
        <v>13</v>
      </c>
      <c r="F29">
        <v>19</v>
      </c>
      <c r="G29">
        <v>3</v>
      </c>
      <c r="H29">
        <v>2</v>
      </c>
      <c r="I29">
        <v>19950</v>
      </c>
      <c r="J29" s="3">
        <v>263</v>
      </c>
      <c r="K29" t="s">
        <v>57</v>
      </c>
      <c r="L29" t="s">
        <v>15</v>
      </c>
      <c r="Q29">
        <f t="shared" si="0"/>
        <v>6.1801132675704444</v>
      </c>
      <c r="R29">
        <f t="shared" si="1"/>
        <v>166.09938290072</v>
      </c>
    </row>
    <row r="30" spans="1:18" x14ac:dyDescent="0.2">
      <c r="A30">
        <v>29</v>
      </c>
      <c r="B30">
        <v>1</v>
      </c>
      <c r="C30">
        <v>3</v>
      </c>
      <c r="D30" t="s">
        <v>58</v>
      </c>
      <c r="E30" t="s">
        <v>17</v>
      </c>
      <c r="G30">
        <v>0</v>
      </c>
      <c r="H30">
        <v>0</v>
      </c>
      <c r="I30">
        <v>330959</v>
      </c>
      <c r="J30" s="3">
        <v>7.8792</v>
      </c>
      <c r="L30" t="s">
        <v>27</v>
      </c>
      <c r="Q30" t="e">
        <f t="shared" si="0"/>
        <v>#DIV/0!</v>
      </c>
      <c r="R30">
        <f t="shared" si="1"/>
        <v>14.298264801016945</v>
      </c>
    </row>
    <row r="31" spans="1:18" x14ac:dyDescent="0.2">
      <c r="A31">
        <v>30</v>
      </c>
      <c r="B31">
        <v>0</v>
      </c>
      <c r="C31">
        <v>3</v>
      </c>
      <c r="D31" t="s">
        <v>59</v>
      </c>
      <c r="E31" t="s">
        <v>13</v>
      </c>
      <c r="G31">
        <v>0</v>
      </c>
      <c r="H31">
        <v>0</v>
      </c>
      <c r="I31">
        <v>349216</v>
      </c>
      <c r="J31" s="3">
        <v>7.8958000000000004</v>
      </c>
      <c r="L31" t="s">
        <v>15</v>
      </c>
      <c r="Q31" t="e">
        <f t="shared" si="0"/>
        <v>#DIV/0!</v>
      </c>
      <c r="R31">
        <f t="shared" si="1"/>
        <v>14.286526828449244</v>
      </c>
    </row>
    <row r="32" spans="1:18" x14ac:dyDescent="0.2">
      <c r="A32">
        <v>31</v>
      </c>
      <c r="B32">
        <v>0</v>
      </c>
      <c r="C32">
        <v>1</v>
      </c>
      <c r="D32" t="s">
        <v>60</v>
      </c>
      <c r="E32" t="s">
        <v>13</v>
      </c>
      <c r="F32">
        <v>40</v>
      </c>
      <c r="G32">
        <v>0</v>
      </c>
      <c r="H32">
        <v>0</v>
      </c>
      <c r="I32" t="s">
        <v>61</v>
      </c>
      <c r="J32" s="3">
        <v>27.720800000000001</v>
      </c>
      <c r="L32" t="s">
        <v>20</v>
      </c>
      <c r="Q32">
        <f t="shared" si="0"/>
        <v>8.6691291373470758</v>
      </c>
      <c r="R32">
        <f t="shared" si="1"/>
        <v>0.26813489142593944</v>
      </c>
    </row>
    <row r="33" spans="1:18" x14ac:dyDescent="0.2">
      <c r="A33">
        <v>32</v>
      </c>
      <c r="B33">
        <v>1</v>
      </c>
      <c r="C33">
        <v>1</v>
      </c>
      <c r="D33" t="s">
        <v>62</v>
      </c>
      <c r="E33" t="s">
        <v>17</v>
      </c>
      <c r="G33">
        <v>1</v>
      </c>
      <c r="H33">
        <v>0</v>
      </c>
      <c r="I33" t="s">
        <v>63</v>
      </c>
      <c r="J33" s="3">
        <v>146.52080000000001</v>
      </c>
      <c r="K33" t="s">
        <v>64</v>
      </c>
      <c r="L33" t="s">
        <v>20</v>
      </c>
      <c r="Q33" t="e">
        <f t="shared" si="0"/>
        <v>#DIV/0!</v>
      </c>
      <c r="R33">
        <f t="shared" si="1"/>
        <v>83.73615071353592</v>
      </c>
    </row>
    <row r="34" spans="1:18" x14ac:dyDescent="0.2">
      <c r="A34">
        <v>33</v>
      </c>
      <c r="B34">
        <v>1</v>
      </c>
      <c r="C34">
        <v>3</v>
      </c>
      <c r="D34" t="s">
        <v>65</v>
      </c>
      <c r="E34" t="s">
        <v>17</v>
      </c>
      <c r="G34">
        <v>0</v>
      </c>
      <c r="H34">
        <v>0</v>
      </c>
      <c r="I34">
        <v>335677</v>
      </c>
      <c r="J34" s="3">
        <v>7.75</v>
      </c>
      <c r="L34" t="s">
        <v>27</v>
      </c>
      <c r="Q34" t="e">
        <f t="shared" si="0"/>
        <v>#DIV/0!</v>
      </c>
      <c r="R34">
        <f t="shared" si="1"/>
        <v>14.389622997146246</v>
      </c>
    </row>
    <row r="35" spans="1:18" x14ac:dyDescent="0.2">
      <c r="A35">
        <v>34</v>
      </c>
      <c r="B35">
        <v>0</v>
      </c>
      <c r="C35">
        <v>2</v>
      </c>
      <c r="D35" t="s">
        <v>66</v>
      </c>
      <c r="E35" t="s">
        <v>13</v>
      </c>
      <c r="F35">
        <v>66</v>
      </c>
      <c r="G35">
        <v>0</v>
      </c>
      <c r="H35">
        <v>0</v>
      </c>
      <c r="I35" t="s">
        <v>67</v>
      </c>
      <c r="J35" s="3">
        <v>10.5</v>
      </c>
      <c r="L35" t="s">
        <v>15</v>
      </c>
      <c r="Q35">
        <f t="shared" si="0"/>
        <v>27.053905448197312</v>
      </c>
      <c r="R35">
        <f t="shared" si="1"/>
        <v>12.44507934888324</v>
      </c>
    </row>
    <row r="36" spans="1:18" x14ac:dyDescent="0.2">
      <c r="A36">
        <v>35</v>
      </c>
      <c r="B36">
        <v>0</v>
      </c>
      <c r="C36">
        <v>1</v>
      </c>
      <c r="D36" t="s">
        <v>68</v>
      </c>
      <c r="E36" t="s">
        <v>13</v>
      </c>
      <c r="F36">
        <v>28</v>
      </c>
      <c r="G36">
        <v>1</v>
      </c>
      <c r="H36">
        <v>0</v>
      </c>
      <c r="I36" t="s">
        <v>69</v>
      </c>
      <c r="J36" s="3">
        <v>82.1708</v>
      </c>
      <c r="L36" t="s">
        <v>20</v>
      </c>
      <c r="Q36">
        <f t="shared" si="0"/>
        <v>0.18384776310850345</v>
      </c>
      <c r="R36">
        <f t="shared" si="1"/>
        <v>38.233829344181572</v>
      </c>
    </row>
    <row r="37" spans="1:18" x14ac:dyDescent="0.2">
      <c r="A37">
        <v>36</v>
      </c>
      <c r="B37">
        <v>0</v>
      </c>
      <c r="C37">
        <v>1</v>
      </c>
      <c r="D37" t="s">
        <v>70</v>
      </c>
      <c r="E37" t="s">
        <v>13</v>
      </c>
      <c r="F37">
        <v>42</v>
      </c>
      <c r="G37">
        <v>1</v>
      </c>
      <c r="H37">
        <v>0</v>
      </c>
      <c r="I37">
        <v>113789</v>
      </c>
      <c r="J37" s="3">
        <v>52</v>
      </c>
      <c r="L37" t="s">
        <v>15</v>
      </c>
      <c r="Q37">
        <f t="shared" si="0"/>
        <v>10.083342699720191</v>
      </c>
      <c r="R37">
        <f t="shared" si="1"/>
        <v>16.899852070358499</v>
      </c>
    </row>
    <row r="38" spans="1:18" x14ac:dyDescent="0.2">
      <c r="A38">
        <v>37</v>
      </c>
      <c r="B38">
        <v>1</v>
      </c>
      <c r="C38">
        <v>3</v>
      </c>
      <c r="D38" t="s">
        <v>71</v>
      </c>
      <c r="E38" t="s">
        <v>13</v>
      </c>
      <c r="G38">
        <v>0</v>
      </c>
      <c r="H38">
        <v>0</v>
      </c>
      <c r="I38">
        <v>2677</v>
      </c>
      <c r="J38" s="3">
        <v>7.2291999999999996</v>
      </c>
      <c r="L38" t="s">
        <v>20</v>
      </c>
      <c r="Q38" t="e">
        <f t="shared" si="0"/>
        <v>#DIV/0!</v>
      </c>
      <c r="R38">
        <f t="shared" si="1"/>
        <v>14.757884208788198</v>
      </c>
    </row>
    <row r="39" spans="1:18" x14ac:dyDescent="0.2">
      <c r="A39">
        <v>38</v>
      </c>
      <c r="B39">
        <v>0</v>
      </c>
      <c r="C39">
        <v>3</v>
      </c>
      <c r="D39" t="s">
        <v>72</v>
      </c>
      <c r="E39" t="s">
        <v>13</v>
      </c>
      <c r="F39">
        <v>21</v>
      </c>
      <c r="G39">
        <v>0</v>
      </c>
      <c r="H39">
        <v>0</v>
      </c>
      <c r="I39" t="s">
        <v>73</v>
      </c>
      <c r="J39" s="3">
        <v>8.0500000000000007</v>
      </c>
      <c r="L39" t="s">
        <v>15</v>
      </c>
      <c r="Q39">
        <f t="shared" si="0"/>
        <v>4.7658997051973531</v>
      </c>
      <c r="R39">
        <f t="shared" si="1"/>
        <v>14.177490962790275</v>
      </c>
    </row>
    <row r="40" spans="1:18" x14ac:dyDescent="0.2">
      <c r="A40">
        <v>39</v>
      </c>
      <c r="B40">
        <v>0</v>
      </c>
      <c r="C40">
        <v>3</v>
      </c>
      <c r="D40" t="s">
        <v>74</v>
      </c>
      <c r="E40" t="s">
        <v>17</v>
      </c>
      <c r="F40">
        <v>18</v>
      </c>
      <c r="G40">
        <v>2</v>
      </c>
      <c r="H40">
        <v>0</v>
      </c>
      <c r="I40">
        <v>345764</v>
      </c>
      <c r="J40" s="3">
        <v>18</v>
      </c>
      <c r="L40" t="s">
        <v>15</v>
      </c>
      <c r="Q40">
        <f t="shared" si="0"/>
        <v>6.8872200487569906</v>
      </c>
      <c r="R40">
        <f t="shared" si="1"/>
        <v>7.1417784899841372</v>
      </c>
    </row>
    <row r="41" spans="1:18" x14ac:dyDescent="0.2">
      <c r="A41">
        <v>40</v>
      </c>
      <c r="B41">
        <v>1</v>
      </c>
      <c r="C41">
        <v>3</v>
      </c>
      <c r="D41" t="s">
        <v>75</v>
      </c>
      <c r="E41" t="s">
        <v>17</v>
      </c>
      <c r="F41">
        <v>14</v>
      </c>
      <c r="G41">
        <v>1</v>
      </c>
      <c r="H41">
        <v>0</v>
      </c>
      <c r="I41">
        <v>2651</v>
      </c>
      <c r="J41" s="3">
        <v>11.2417</v>
      </c>
      <c r="L41" t="s">
        <v>20</v>
      </c>
      <c r="Q41">
        <f t="shared" si="0"/>
        <v>9.7156471735031715</v>
      </c>
      <c r="R41">
        <f t="shared" si="1"/>
        <v>11.920618249277176</v>
      </c>
    </row>
    <row r="42" spans="1:18" x14ac:dyDescent="0.2">
      <c r="A42">
        <v>41</v>
      </c>
      <c r="B42">
        <v>0</v>
      </c>
      <c r="C42">
        <v>3</v>
      </c>
      <c r="D42" t="s">
        <v>76</v>
      </c>
      <c r="E42" t="s">
        <v>17</v>
      </c>
      <c r="F42">
        <v>40</v>
      </c>
      <c r="G42">
        <v>1</v>
      </c>
      <c r="H42">
        <v>0</v>
      </c>
      <c r="I42">
        <v>7546</v>
      </c>
      <c r="J42" s="3">
        <v>9.4749999999999996</v>
      </c>
      <c r="L42" t="s">
        <v>15</v>
      </c>
      <c r="Q42">
        <f t="shared" si="0"/>
        <v>8.6691291373470758</v>
      </c>
      <c r="R42">
        <f t="shared" si="1"/>
        <v>13.169863799599447</v>
      </c>
    </row>
    <row r="43" spans="1:18" x14ac:dyDescent="0.2">
      <c r="A43">
        <v>42</v>
      </c>
      <c r="B43">
        <v>0</v>
      </c>
      <c r="C43">
        <v>2</v>
      </c>
      <c r="D43" t="s">
        <v>77</v>
      </c>
      <c r="E43" t="s">
        <v>17</v>
      </c>
      <c r="F43">
        <v>27</v>
      </c>
      <c r="G43">
        <v>1</v>
      </c>
      <c r="H43">
        <v>0</v>
      </c>
      <c r="I43">
        <v>11668</v>
      </c>
      <c r="J43" s="3">
        <v>21</v>
      </c>
      <c r="L43" t="s">
        <v>15</v>
      </c>
      <c r="Q43">
        <f t="shared" si="0"/>
        <v>0.52325901807804409</v>
      </c>
      <c r="R43">
        <f t="shared" si="1"/>
        <v>5.0204581464245024</v>
      </c>
    </row>
    <row r="44" spans="1:18" x14ac:dyDescent="0.2">
      <c r="A44">
        <v>43</v>
      </c>
      <c r="B44">
        <v>0</v>
      </c>
      <c r="C44">
        <v>3</v>
      </c>
      <c r="D44" t="s">
        <v>78</v>
      </c>
      <c r="E44" t="s">
        <v>13</v>
      </c>
      <c r="G44">
        <v>0</v>
      </c>
      <c r="H44">
        <v>0</v>
      </c>
      <c r="I44">
        <v>349253</v>
      </c>
      <c r="J44" s="3">
        <v>7.8958000000000004</v>
      </c>
      <c r="L44" t="s">
        <v>20</v>
      </c>
      <c r="Q44" t="e">
        <f t="shared" si="0"/>
        <v>#DIV/0!</v>
      </c>
      <c r="R44">
        <f t="shared" si="1"/>
        <v>14.286526828449244</v>
      </c>
    </row>
    <row r="45" spans="1:18" x14ac:dyDescent="0.2">
      <c r="A45">
        <v>44</v>
      </c>
      <c r="B45">
        <v>1</v>
      </c>
      <c r="C45">
        <v>2</v>
      </c>
      <c r="D45" t="s">
        <v>79</v>
      </c>
      <c r="E45" t="s">
        <v>17</v>
      </c>
      <c r="F45">
        <v>3</v>
      </c>
      <c r="G45">
        <v>1</v>
      </c>
      <c r="H45">
        <v>2</v>
      </c>
      <c r="I45" t="s">
        <v>80</v>
      </c>
      <c r="J45" s="3">
        <v>41.5792</v>
      </c>
      <c r="L45" t="s">
        <v>20</v>
      </c>
      <c r="Q45">
        <f t="shared" si="0"/>
        <v>17.493821766555186</v>
      </c>
      <c r="R45">
        <f t="shared" si="1"/>
        <v>9.531233724969697</v>
      </c>
    </row>
    <row r="46" spans="1:18" x14ac:dyDescent="0.2">
      <c r="A46">
        <v>45</v>
      </c>
      <c r="B46">
        <v>1</v>
      </c>
      <c r="C46">
        <v>3</v>
      </c>
      <c r="D46" t="s">
        <v>81</v>
      </c>
      <c r="E46" t="s">
        <v>17</v>
      </c>
      <c r="F46">
        <v>19</v>
      </c>
      <c r="G46">
        <v>0</v>
      </c>
      <c r="H46">
        <v>0</v>
      </c>
      <c r="I46">
        <v>330958</v>
      </c>
      <c r="J46" s="3">
        <v>7.8792</v>
      </c>
      <c r="L46" t="s">
        <v>27</v>
      </c>
      <c r="Q46">
        <f t="shared" si="0"/>
        <v>6.1801132675704444</v>
      </c>
      <c r="R46">
        <f t="shared" si="1"/>
        <v>14.298264801016945</v>
      </c>
    </row>
    <row r="47" spans="1:18" x14ac:dyDescent="0.2">
      <c r="A47">
        <v>46</v>
      </c>
      <c r="B47">
        <v>0</v>
      </c>
      <c r="C47">
        <v>3</v>
      </c>
      <c r="D47" t="s">
        <v>82</v>
      </c>
      <c r="E47" t="s">
        <v>13</v>
      </c>
      <c r="G47">
        <v>0</v>
      </c>
      <c r="H47">
        <v>0</v>
      </c>
      <c r="I47" t="s">
        <v>83</v>
      </c>
      <c r="J47" s="3">
        <v>8.0500000000000007</v>
      </c>
      <c r="L47" t="s">
        <v>15</v>
      </c>
      <c r="Q47" t="e">
        <f t="shared" si="0"/>
        <v>#DIV/0!</v>
      </c>
      <c r="R47">
        <f t="shared" si="1"/>
        <v>14.177490962790275</v>
      </c>
    </row>
    <row r="48" spans="1:18" x14ac:dyDescent="0.2">
      <c r="A48">
        <v>47</v>
      </c>
      <c r="B48">
        <v>0</v>
      </c>
      <c r="C48">
        <v>3</v>
      </c>
      <c r="D48" t="s">
        <v>84</v>
      </c>
      <c r="E48" t="s">
        <v>13</v>
      </c>
      <c r="G48">
        <v>1</v>
      </c>
      <c r="H48">
        <v>0</v>
      </c>
      <c r="I48">
        <v>370371</v>
      </c>
      <c r="J48" s="3">
        <v>15.5</v>
      </c>
      <c r="L48" t="s">
        <v>27</v>
      </c>
      <c r="Q48" t="e">
        <f t="shared" si="0"/>
        <v>#DIV/0!</v>
      </c>
      <c r="R48">
        <f t="shared" si="1"/>
        <v>8.9095454429505043</v>
      </c>
    </row>
    <row r="49" spans="1:18" x14ac:dyDescent="0.2">
      <c r="A49">
        <v>48</v>
      </c>
      <c r="B49">
        <v>1</v>
      </c>
      <c r="C49">
        <v>3</v>
      </c>
      <c r="D49" t="s">
        <v>85</v>
      </c>
      <c r="E49" t="s">
        <v>17</v>
      </c>
      <c r="G49">
        <v>0</v>
      </c>
      <c r="H49">
        <v>0</v>
      </c>
      <c r="I49">
        <v>14311</v>
      </c>
      <c r="J49" s="3">
        <v>7.75</v>
      </c>
      <c r="L49" t="s">
        <v>27</v>
      </c>
      <c r="Q49" t="e">
        <f t="shared" si="0"/>
        <v>#DIV/0!</v>
      </c>
      <c r="R49">
        <f t="shared" si="1"/>
        <v>14.389622997146246</v>
      </c>
    </row>
    <row r="50" spans="1:18" x14ac:dyDescent="0.2">
      <c r="A50">
        <v>49</v>
      </c>
      <c r="B50">
        <v>0</v>
      </c>
      <c r="C50">
        <v>3</v>
      </c>
      <c r="D50" t="s">
        <v>86</v>
      </c>
      <c r="E50" t="s">
        <v>13</v>
      </c>
      <c r="G50">
        <v>2</v>
      </c>
      <c r="H50">
        <v>0</v>
      </c>
      <c r="I50">
        <v>2662</v>
      </c>
      <c r="J50" s="3">
        <v>21.679200000000002</v>
      </c>
      <c r="L50" t="s">
        <v>20</v>
      </c>
      <c r="Q50" t="e">
        <f t="shared" si="0"/>
        <v>#DIV/0!</v>
      </c>
      <c r="R50">
        <f t="shared" si="1"/>
        <v>4.5401912206426003</v>
      </c>
    </row>
    <row r="51" spans="1:18" x14ac:dyDescent="0.2">
      <c r="A51">
        <v>50</v>
      </c>
      <c r="B51">
        <v>0</v>
      </c>
      <c r="C51">
        <v>3</v>
      </c>
      <c r="D51" t="s">
        <v>87</v>
      </c>
      <c r="E51" t="s">
        <v>17</v>
      </c>
      <c r="F51">
        <v>18</v>
      </c>
      <c r="G51">
        <v>1</v>
      </c>
      <c r="H51">
        <v>0</v>
      </c>
      <c r="I51">
        <v>349237</v>
      </c>
      <c r="J51" s="3">
        <v>17.8</v>
      </c>
      <c r="L51" t="s">
        <v>15</v>
      </c>
    </row>
    <row r="52" spans="1:18" x14ac:dyDescent="0.2">
      <c r="A52">
        <v>51</v>
      </c>
      <c r="B52">
        <v>0</v>
      </c>
      <c r="C52">
        <v>3</v>
      </c>
      <c r="D52" t="s">
        <v>88</v>
      </c>
      <c r="E52" t="s">
        <v>13</v>
      </c>
      <c r="F52">
        <v>7</v>
      </c>
      <c r="G52">
        <v>4</v>
      </c>
      <c r="H52">
        <v>1</v>
      </c>
      <c r="I52">
        <v>3101295</v>
      </c>
      <c r="J52" s="3">
        <v>39.6875</v>
      </c>
      <c r="L52" t="s">
        <v>15</v>
      </c>
    </row>
    <row r="53" spans="1:18" x14ac:dyDescent="0.2">
      <c r="A53">
        <v>52</v>
      </c>
      <c r="B53">
        <v>0</v>
      </c>
      <c r="C53">
        <v>3</v>
      </c>
      <c r="D53" t="s">
        <v>89</v>
      </c>
      <c r="E53" t="s">
        <v>13</v>
      </c>
      <c r="F53">
        <v>21</v>
      </c>
      <c r="G53">
        <v>0</v>
      </c>
      <c r="H53">
        <v>0</v>
      </c>
      <c r="I53" t="s">
        <v>90</v>
      </c>
      <c r="J53" s="3">
        <v>7.8</v>
      </c>
      <c r="L53" t="s">
        <v>15</v>
      </c>
    </row>
    <row r="54" spans="1:18" x14ac:dyDescent="0.2">
      <c r="A54">
        <v>53</v>
      </c>
      <c r="B54">
        <v>1</v>
      </c>
      <c r="C54">
        <v>1</v>
      </c>
      <c r="D54" t="s">
        <v>91</v>
      </c>
      <c r="E54" t="s">
        <v>17</v>
      </c>
      <c r="F54">
        <v>49</v>
      </c>
      <c r="G54">
        <v>1</v>
      </c>
      <c r="H54">
        <v>0</v>
      </c>
      <c r="I54" t="s">
        <v>92</v>
      </c>
      <c r="J54" s="3">
        <v>76.729200000000006</v>
      </c>
      <c r="K54" t="s">
        <v>93</v>
      </c>
      <c r="L54" t="s">
        <v>20</v>
      </c>
    </row>
    <row r="55" spans="1:18" x14ac:dyDescent="0.2">
      <c r="A55">
        <v>54</v>
      </c>
      <c r="B55">
        <v>1</v>
      </c>
      <c r="C55">
        <v>2</v>
      </c>
      <c r="D55" t="s">
        <v>94</v>
      </c>
      <c r="E55" t="s">
        <v>17</v>
      </c>
      <c r="F55">
        <v>29</v>
      </c>
      <c r="G55">
        <v>1</v>
      </c>
      <c r="H55">
        <v>0</v>
      </c>
      <c r="I55">
        <v>2926</v>
      </c>
      <c r="J55" s="3">
        <v>26</v>
      </c>
      <c r="L55" t="s">
        <v>15</v>
      </c>
    </row>
    <row r="56" spans="1:18" x14ac:dyDescent="0.2">
      <c r="A56">
        <v>55</v>
      </c>
      <c r="B56">
        <v>0</v>
      </c>
      <c r="C56">
        <v>1</v>
      </c>
      <c r="D56" t="s">
        <v>95</v>
      </c>
      <c r="E56" t="s">
        <v>13</v>
      </c>
      <c r="F56">
        <v>65</v>
      </c>
      <c r="G56">
        <v>0</v>
      </c>
      <c r="H56">
        <v>1</v>
      </c>
      <c r="I56">
        <v>113509</v>
      </c>
      <c r="J56" s="3">
        <v>61.979199999999999</v>
      </c>
      <c r="K56" t="s">
        <v>96</v>
      </c>
      <c r="L56" t="s">
        <v>20</v>
      </c>
    </row>
    <row r="57" spans="1:18" x14ac:dyDescent="0.2">
      <c r="A57">
        <v>56</v>
      </c>
      <c r="B57">
        <v>1</v>
      </c>
      <c r="C57">
        <v>1</v>
      </c>
      <c r="D57" t="s">
        <v>97</v>
      </c>
      <c r="E57" t="s">
        <v>13</v>
      </c>
      <c r="G57">
        <v>0</v>
      </c>
      <c r="H57">
        <v>0</v>
      </c>
      <c r="I57">
        <v>19947</v>
      </c>
      <c r="J57" s="3">
        <v>35.5</v>
      </c>
      <c r="K57" t="s">
        <v>98</v>
      </c>
      <c r="L57" t="s">
        <v>15</v>
      </c>
    </row>
    <row r="58" spans="1:18" x14ac:dyDescent="0.2">
      <c r="A58">
        <v>57</v>
      </c>
      <c r="B58">
        <v>1</v>
      </c>
      <c r="C58">
        <v>2</v>
      </c>
      <c r="D58" t="s">
        <v>99</v>
      </c>
      <c r="E58" t="s">
        <v>17</v>
      </c>
      <c r="F58">
        <v>21</v>
      </c>
      <c r="G58">
        <v>0</v>
      </c>
      <c r="H58">
        <v>0</v>
      </c>
      <c r="I58" t="s">
        <v>100</v>
      </c>
      <c r="J58" s="3">
        <v>10.5</v>
      </c>
      <c r="L58" t="s">
        <v>15</v>
      </c>
    </row>
    <row r="59" spans="1:18" x14ac:dyDescent="0.2">
      <c r="A59">
        <v>58</v>
      </c>
      <c r="B59">
        <v>0</v>
      </c>
      <c r="C59">
        <v>3</v>
      </c>
      <c r="D59" t="s">
        <v>101</v>
      </c>
      <c r="E59" t="s">
        <v>13</v>
      </c>
      <c r="F59">
        <v>28.5</v>
      </c>
      <c r="G59">
        <v>0</v>
      </c>
      <c r="H59">
        <v>0</v>
      </c>
      <c r="I59">
        <v>2697</v>
      </c>
      <c r="J59" s="3">
        <v>7.2291999999999996</v>
      </c>
      <c r="L59" t="s">
        <v>20</v>
      </c>
    </row>
    <row r="60" spans="1:18" x14ac:dyDescent="0.2">
      <c r="A60">
        <v>59</v>
      </c>
      <c r="B60">
        <v>1</v>
      </c>
      <c r="C60">
        <v>2</v>
      </c>
      <c r="D60" t="s">
        <v>102</v>
      </c>
      <c r="E60" t="s">
        <v>17</v>
      </c>
      <c r="F60">
        <v>5</v>
      </c>
      <c r="G60">
        <v>1</v>
      </c>
      <c r="H60">
        <v>2</v>
      </c>
      <c r="I60" t="s">
        <v>103</v>
      </c>
      <c r="J60" s="3">
        <v>27.75</v>
      </c>
      <c r="L60" t="s">
        <v>15</v>
      </c>
    </row>
    <row r="61" spans="1:18" x14ac:dyDescent="0.2">
      <c r="A61">
        <v>60</v>
      </c>
      <c r="B61">
        <v>0</v>
      </c>
      <c r="C61">
        <v>3</v>
      </c>
      <c r="D61" t="s">
        <v>104</v>
      </c>
      <c r="E61" t="s">
        <v>13</v>
      </c>
      <c r="F61">
        <v>11</v>
      </c>
      <c r="G61">
        <v>5</v>
      </c>
      <c r="H61">
        <v>2</v>
      </c>
      <c r="I61" t="s">
        <v>105</v>
      </c>
      <c r="J61" s="3">
        <v>46.9</v>
      </c>
      <c r="L61" t="s">
        <v>15</v>
      </c>
    </row>
    <row r="62" spans="1:18" x14ac:dyDescent="0.2">
      <c r="A62">
        <v>61</v>
      </c>
      <c r="B62">
        <v>0</v>
      </c>
      <c r="C62">
        <v>3</v>
      </c>
      <c r="D62" t="s">
        <v>106</v>
      </c>
      <c r="E62" t="s">
        <v>13</v>
      </c>
      <c r="F62">
        <v>22</v>
      </c>
      <c r="G62">
        <v>0</v>
      </c>
      <c r="H62">
        <v>0</v>
      </c>
      <c r="I62">
        <v>2669</v>
      </c>
      <c r="J62" s="3">
        <v>7.2291999999999996</v>
      </c>
      <c r="L62" t="s">
        <v>20</v>
      </c>
    </row>
    <row r="63" spans="1:18" x14ac:dyDescent="0.2">
      <c r="A63">
        <v>62</v>
      </c>
      <c r="B63">
        <v>1</v>
      </c>
      <c r="C63">
        <v>1</v>
      </c>
      <c r="D63" t="s">
        <v>107</v>
      </c>
      <c r="E63" t="s">
        <v>17</v>
      </c>
      <c r="F63">
        <v>38</v>
      </c>
      <c r="G63">
        <v>0</v>
      </c>
      <c r="H63">
        <v>0</v>
      </c>
      <c r="I63">
        <v>113572</v>
      </c>
      <c r="J63" s="3">
        <v>80</v>
      </c>
      <c r="K63" t="s">
        <v>108</v>
      </c>
    </row>
    <row r="64" spans="1:18" x14ac:dyDescent="0.2">
      <c r="A64">
        <v>63</v>
      </c>
      <c r="B64">
        <v>0</v>
      </c>
      <c r="C64">
        <v>1</v>
      </c>
      <c r="D64" t="s">
        <v>109</v>
      </c>
      <c r="E64" t="s">
        <v>13</v>
      </c>
      <c r="F64">
        <v>45</v>
      </c>
      <c r="G64">
        <v>1</v>
      </c>
      <c r="H64">
        <v>0</v>
      </c>
      <c r="I64">
        <v>36973</v>
      </c>
      <c r="J64" s="3">
        <v>83.474999999999994</v>
      </c>
      <c r="K64" t="s">
        <v>110</v>
      </c>
      <c r="L64" t="s">
        <v>15</v>
      </c>
    </row>
    <row r="65" spans="1:12" x14ac:dyDescent="0.2">
      <c r="A65">
        <v>64</v>
      </c>
      <c r="B65">
        <v>0</v>
      </c>
      <c r="C65">
        <v>3</v>
      </c>
      <c r="D65" t="s">
        <v>111</v>
      </c>
      <c r="E65" t="s">
        <v>13</v>
      </c>
      <c r="F65">
        <v>4</v>
      </c>
      <c r="G65">
        <v>3</v>
      </c>
      <c r="H65">
        <v>2</v>
      </c>
      <c r="I65">
        <v>347088</v>
      </c>
      <c r="J65" s="3">
        <v>27.9</v>
      </c>
      <c r="L65" t="s">
        <v>15</v>
      </c>
    </row>
    <row r="66" spans="1:12" x14ac:dyDescent="0.2">
      <c r="A66">
        <v>65</v>
      </c>
      <c r="B66">
        <v>0</v>
      </c>
      <c r="C66">
        <v>1</v>
      </c>
      <c r="D66" t="s">
        <v>112</v>
      </c>
      <c r="E66" t="s">
        <v>13</v>
      </c>
      <c r="G66">
        <v>0</v>
      </c>
      <c r="H66">
        <v>0</v>
      </c>
      <c r="I66" t="s">
        <v>113</v>
      </c>
      <c r="J66" s="3">
        <v>27.720800000000001</v>
      </c>
      <c r="L66" t="s">
        <v>20</v>
      </c>
    </row>
    <row r="67" spans="1:12" x14ac:dyDescent="0.2">
      <c r="A67">
        <v>66</v>
      </c>
      <c r="B67">
        <v>1</v>
      </c>
      <c r="C67">
        <v>3</v>
      </c>
      <c r="D67" t="s">
        <v>114</v>
      </c>
      <c r="E67" t="s">
        <v>13</v>
      </c>
      <c r="G67">
        <v>1</v>
      </c>
      <c r="H67">
        <v>1</v>
      </c>
      <c r="I67">
        <v>2661</v>
      </c>
      <c r="J67" s="3">
        <v>15.245799999999999</v>
      </c>
      <c r="L67" t="s">
        <v>20</v>
      </c>
    </row>
    <row r="68" spans="1:12" x14ac:dyDescent="0.2">
      <c r="A68">
        <v>67</v>
      </c>
      <c r="B68">
        <v>1</v>
      </c>
      <c r="C68">
        <v>2</v>
      </c>
      <c r="D68" t="s">
        <v>115</v>
      </c>
      <c r="E68" t="s">
        <v>17</v>
      </c>
      <c r="F68">
        <v>29</v>
      </c>
      <c r="G68">
        <v>0</v>
      </c>
      <c r="H68">
        <v>0</v>
      </c>
      <c r="I68" t="s">
        <v>116</v>
      </c>
      <c r="J68" s="3">
        <v>10.5</v>
      </c>
      <c r="K68" t="s">
        <v>117</v>
      </c>
      <c r="L68" t="s">
        <v>15</v>
      </c>
    </row>
    <row r="69" spans="1:12" x14ac:dyDescent="0.2">
      <c r="A69">
        <v>68</v>
      </c>
      <c r="B69">
        <v>0</v>
      </c>
      <c r="C69">
        <v>3</v>
      </c>
      <c r="D69" t="s">
        <v>118</v>
      </c>
      <c r="E69" t="s">
        <v>13</v>
      </c>
      <c r="F69">
        <v>19</v>
      </c>
      <c r="G69">
        <v>0</v>
      </c>
      <c r="H69">
        <v>0</v>
      </c>
      <c r="I69" t="s">
        <v>119</v>
      </c>
      <c r="J69" s="3">
        <v>8.1583000000000006</v>
      </c>
      <c r="L69" t="s">
        <v>15</v>
      </c>
    </row>
    <row r="70" spans="1:12" x14ac:dyDescent="0.2">
      <c r="A70">
        <v>69</v>
      </c>
      <c r="B70">
        <v>1</v>
      </c>
      <c r="C70">
        <v>3</v>
      </c>
      <c r="D70" t="s">
        <v>120</v>
      </c>
      <c r="E70" t="s">
        <v>17</v>
      </c>
      <c r="F70">
        <v>17</v>
      </c>
      <c r="G70">
        <v>4</v>
      </c>
      <c r="H70">
        <v>2</v>
      </c>
      <c r="I70">
        <v>3101281</v>
      </c>
      <c r="J70" s="3">
        <v>7.9249999999999998</v>
      </c>
      <c r="L70" t="s">
        <v>15</v>
      </c>
    </row>
    <row r="71" spans="1:12" x14ac:dyDescent="0.2">
      <c r="A71">
        <v>70</v>
      </c>
      <c r="B71">
        <v>0</v>
      </c>
      <c r="C71">
        <v>3</v>
      </c>
      <c r="D71" t="s">
        <v>121</v>
      </c>
      <c r="E71" t="s">
        <v>13</v>
      </c>
      <c r="F71">
        <v>26</v>
      </c>
      <c r="G71">
        <v>2</v>
      </c>
      <c r="H71">
        <v>0</v>
      </c>
      <c r="I71">
        <v>315151</v>
      </c>
      <c r="J71" s="3">
        <v>8.6624999999999996</v>
      </c>
      <c r="L71" t="s">
        <v>15</v>
      </c>
    </row>
    <row r="72" spans="1:12" x14ac:dyDescent="0.2">
      <c r="A72">
        <v>71</v>
      </c>
      <c r="B72">
        <v>0</v>
      </c>
      <c r="C72">
        <v>2</v>
      </c>
      <c r="D72" t="s">
        <v>122</v>
      </c>
      <c r="E72" t="s">
        <v>13</v>
      </c>
      <c r="F72">
        <v>32</v>
      </c>
      <c r="G72">
        <v>0</v>
      </c>
      <c r="H72">
        <v>0</v>
      </c>
      <c r="I72" t="s">
        <v>123</v>
      </c>
      <c r="J72" s="3">
        <v>10.5</v>
      </c>
      <c r="L72" t="s">
        <v>15</v>
      </c>
    </row>
    <row r="73" spans="1:12" x14ac:dyDescent="0.2">
      <c r="A73">
        <v>72</v>
      </c>
      <c r="B73">
        <v>0</v>
      </c>
      <c r="C73">
        <v>3</v>
      </c>
      <c r="D73" t="s">
        <v>124</v>
      </c>
      <c r="E73" t="s">
        <v>17</v>
      </c>
      <c r="F73">
        <v>16</v>
      </c>
      <c r="G73">
        <v>5</v>
      </c>
      <c r="H73">
        <v>2</v>
      </c>
      <c r="I73" t="s">
        <v>105</v>
      </c>
      <c r="J73" s="3">
        <v>46.9</v>
      </c>
      <c r="L73" t="s">
        <v>15</v>
      </c>
    </row>
    <row r="74" spans="1:12" x14ac:dyDescent="0.2">
      <c r="A74">
        <v>73</v>
      </c>
      <c r="B74">
        <v>0</v>
      </c>
      <c r="C74">
        <v>2</v>
      </c>
      <c r="D74" t="s">
        <v>125</v>
      </c>
      <c r="E74" t="s">
        <v>13</v>
      </c>
      <c r="F74">
        <v>21</v>
      </c>
      <c r="G74">
        <v>0</v>
      </c>
      <c r="H74">
        <v>0</v>
      </c>
      <c r="I74" t="s">
        <v>126</v>
      </c>
      <c r="J74" s="3">
        <v>73.5</v>
      </c>
      <c r="L74" t="s">
        <v>15</v>
      </c>
    </row>
    <row r="75" spans="1:12" x14ac:dyDescent="0.2">
      <c r="A75">
        <v>74</v>
      </c>
      <c r="B75">
        <v>0</v>
      </c>
      <c r="C75">
        <v>3</v>
      </c>
      <c r="D75" t="s">
        <v>127</v>
      </c>
      <c r="E75" t="s">
        <v>13</v>
      </c>
      <c r="F75">
        <v>26</v>
      </c>
      <c r="G75">
        <v>1</v>
      </c>
      <c r="H75">
        <v>0</v>
      </c>
      <c r="I75">
        <v>2680</v>
      </c>
      <c r="J75" s="3">
        <v>14.4542</v>
      </c>
      <c r="L75" t="s">
        <v>20</v>
      </c>
    </row>
    <row r="76" spans="1:12" x14ac:dyDescent="0.2">
      <c r="A76">
        <v>75</v>
      </c>
      <c r="B76">
        <v>1</v>
      </c>
      <c r="C76">
        <v>3</v>
      </c>
      <c r="D76" t="s">
        <v>128</v>
      </c>
      <c r="E76" t="s">
        <v>13</v>
      </c>
      <c r="F76">
        <v>32</v>
      </c>
      <c r="G76">
        <v>0</v>
      </c>
      <c r="H76">
        <v>0</v>
      </c>
      <c r="I76">
        <v>1601</v>
      </c>
      <c r="J76" s="3">
        <v>56.495800000000003</v>
      </c>
      <c r="L76" t="s">
        <v>15</v>
      </c>
    </row>
    <row r="77" spans="1:12" x14ac:dyDescent="0.2">
      <c r="A77">
        <v>76</v>
      </c>
      <c r="B77">
        <v>0</v>
      </c>
      <c r="C77">
        <v>3</v>
      </c>
      <c r="D77" t="s">
        <v>129</v>
      </c>
      <c r="E77" t="s">
        <v>13</v>
      </c>
      <c r="F77">
        <v>25</v>
      </c>
      <c r="G77">
        <v>0</v>
      </c>
      <c r="H77">
        <v>0</v>
      </c>
      <c r="I77">
        <v>348123</v>
      </c>
      <c r="J77" s="3">
        <v>7.65</v>
      </c>
      <c r="K77" t="s">
        <v>130</v>
      </c>
      <c r="L77" t="s">
        <v>15</v>
      </c>
    </row>
    <row r="78" spans="1:12" x14ac:dyDescent="0.2">
      <c r="A78">
        <v>77</v>
      </c>
      <c r="B78">
        <v>0</v>
      </c>
      <c r="C78">
        <v>3</v>
      </c>
      <c r="D78" t="s">
        <v>131</v>
      </c>
      <c r="E78" t="s">
        <v>13</v>
      </c>
      <c r="G78">
        <v>0</v>
      </c>
      <c r="H78">
        <v>0</v>
      </c>
      <c r="I78">
        <v>349208</v>
      </c>
      <c r="J78" s="3">
        <v>7.8958000000000004</v>
      </c>
      <c r="L78" t="s">
        <v>15</v>
      </c>
    </row>
    <row r="79" spans="1:12" x14ac:dyDescent="0.2">
      <c r="A79">
        <v>78</v>
      </c>
      <c r="B79">
        <v>0</v>
      </c>
      <c r="C79">
        <v>3</v>
      </c>
      <c r="D79" t="s">
        <v>132</v>
      </c>
      <c r="E79" t="s">
        <v>13</v>
      </c>
      <c r="G79">
        <v>0</v>
      </c>
      <c r="H79">
        <v>0</v>
      </c>
      <c r="I79">
        <v>374746</v>
      </c>
      <c r="J79" s="3">
        <v>8.0500000000000007</v>
      </c>
      <c r="L79" t="s">
        <v>15</v>
      </c>
    </row>
    <row r="80" spans="1:12" x14ac:dyDescent="0.2">
      <c r="A80">
        <v>79</v>
      </c>
      <c r="B80">
        <v>1</v>
      </c>
      <c r="C80">
        <v>2</v>
      </c>
      <c r="D80" t="s">
        <v>133</v>
      </c>
      <c r="E80" t="s">
        <v>13</v>
      </c>
      <c r="F80">
        <v>0.83</v>
      </c>
      <c r="G80">
        <v>0</v>
      </c>
      <c r="H80">
        <v>2</v>
      </c>
      <c r="I80">
        <v>248738</v>
      </c>
      <c r="J80" s="3">
        <v>29</v>
      </c>
      <c r="L80" t="s">
        <v>15</v>
      </c>
    </row>
    <row r="81" spans="1:12" x14ac:dyDescent="0.2">
      <c r="A81">
        <v>80</v>
      </c>
      <c r="B81">
        <v>1</v>
      </c>
      <c r="C81">
        <v>3</v>
      </c>
      <c r="D81" t="s">
        <v>134</v>
      </c>
      <c r="E81" t="s">
        <v>17</v>
      </c>
      <c r="F81">
        <v>30</v>
      </c>
      <c r="G81">
        <v>0</v>
      </c>
      <c r="H81">
        <v>0</v>
      </c>
      <c r="I81">
        <v>364516</v>
      </c>
      <c r="J81" s="3">
        <v>12.475</v>
      </c>
      <c r="L81" t="s">
        <v>15</v>
      </c>
    </row>
    <row r="82" spans="1:12" x14ac:dyDescent="0.2">
      <c r="A82">
        <v>81</v>
      </c>
      <c r="B82">
        <v>0</v>
      </c>
      <c r="C82">
        <v>3</v>
      </c>
      <c r="D82" t="s">
        <v>135</v>
      </c>
      <c r="E82" t="s">
        <v>13</v>
      </c>
      <c r="F82">
        <v>22</v>
      </c>
      <c r="G82">
        <v>0</v>
      </c>
      <c r="H82">
        <v>0</v>
      </c>
      <c r="I82">
        <v>345767</v>
      </c>
      <c r="J82" s="3">
        <v>9</v>
      </c>
      <c r="L82" t="s">
        <v>15</v>
      </c>
    </row>
    <row r="83" spans="1:12" x14ac:dyDescent="0.2">
      <c r="A83">
        <v>82</v>
      </c>
      <c r="B83">
        <v>1</v>
      </c>
      <c r="C83">
        <v>3</v>
      </c>
      <c r="D83" t="s">
        <v>136</v>
      </c>
      <c r="E83" t="s">
        <v>13</v>
      </c>
      <c r="F83">
        <v>29</v>
      </c>
      <c r="G83">
        <v>0</v>
      </c>
      <c r="H83">
        <v>0</v>
      </c>
      <c r="I83">
        <v>345779</v>
      </c>
      <c r="J83" s="3">
        <v>9.5</v>
      </c>
      <c r="L83" t="s">
        <v>15</v>
      </c>
    </row>
    <row r="84" spans="1:12" x14ac:dyDescent="0.2">
      <c r="A84">
        <v>83</v>
      </c>
      <c r="B84">
        <v>1</v>
      </c>
      <c r="C84">
        <v>3</v>
      </c>
      <c r="D84" t="s">
        <v>137</v>
      </c>
      <c r="E84" t="s">
        <v>17</v>
      </c>
      <c r="G84">
        <v>0</v>
      </c>
      <c r="H84">
        <v>0</v>
      </c>
      <c r="I84">
        <v>330932</v>
      </c>
      <c r="J84" s="3">
        <v>7.7874999999999996</v>
      </c>
      <c r="L84" t="s">
        <v>27</v>
      </c>
    </row>
    <row r="85" spans="1:12" x14ac:dyDescent="0.2">
      <c r="A85">
        <v>84</v>
      </c>
      <c r="B85">
        <v>0</v>
      </c>
      <c r="C85">
        <v>1</v>
      </c>
      <c r="D85" t="s">
        <v>138</v>
      </c>
      <c r="E85" t="s">
        <v>13</v>
      </c>
      <c r="F85">
        <v>28</v>
      </c>
      <c r="G85">
        <v>0</v>
      </c>
      <c r="H85">
        <v>0</v>
      </c>
      <c r="I85">
        <v>113059</v>
      </c>
      <c r="J85" s="3">
        <v>47.1</v>
      </c>
      <c r="L85" t="s">
        <v>15</v>
      </c>
    </row>
    <row r="86" spans="1:12" x14ac:dyDescent="0.2">
      <c r="A86">
        <v>85</v>
      </c>
      <c r="B86">
        <v>1</v>
      </c>
      <c r="C86">
        <v>2</v>
      </c>
      <c r="D86" t="s">
        <v>139</v>
      </c>
      <c r="E86" t="s">
        <v>17</v>
      </c>
      <c r="F86">
        <v>17</v>
      </c>
      <c r="G86">
        <v>0</v>
      </c>
      <c r="H86">
        <v>0</v>
      </c>
      <c r="I86" t="s">
        <v>140</v>
      </c>
      <c r="J86" s="3">
        <v>10.5</v>
      </c>
      <c r="L86" t="s">
        <v>15</v>
      </c>
    </row>
    <row r="87" spans="1:12" x14ac:dyDescent="0.2">
      <c r="A87">
        <v>86</v>
      </c>
      <c r="B87">
        <v>1</v>
      </c>
      <c r="C87">
        <v>3</v>
      </c>
      <c r="D87" t="s">
        <v>141</v>
      </c>
      <c r="E87" t="s">
        <v>17</v>
      </c>
      <c r="F87">
        <v>33</v>
      </c>
      <c r="G87">
        <v>3</v>
      </c>
      <c r="H87">
        <v>0</v>
      </c>
      <c r="I87">
        <v>3101278</v>
      </c>
      <c r="J87" s="3">
        <v>15.85</v>
      </c>
      <c r="L87" t="s">
        <v>15</v>
      </c>
    </row>
    <row r="88" spans="1:12" x14ac:dyDescent="0.2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 s="3">
        <v>34.375</v>
      </c>
      <c r="L88" t="s">
        <v>15</v>
      </c>
    </row>
    <row r="89" spans="1:12" x14ac:dyDescent="0.2">
      <c r="A89">
        <v>88</v>
      </c>
      <c r="B89">
        <v>0</v>
      </c>
      <c r="C89">
        <v>3</v>
      </c>
      <c r="D89" t="s">
        <v>144</v>
      </c>
      <c r="E89" t="s">
        <v>13</v>
      </c>
      <c r="G89">
        <v>0</v>
      </c>
      <c r="H89">
        <v>0</v>
      </c>
      <c r="I89" t="s">
        <v>145</v>
      </c>
      <c r="J89" s="3">
        <v>8.0500000000000007</v>
      </c>
      <c r="L89" t="s">
        <v>15</v>
      </c>
    </row>
    <row r="90" spans="1:12" x14ac:dyDescent="0.2">
      <c r="A90">
        <v>89</v>
      </c>
      <c r="B90">
        <v>1</v>
      </c>
      <c r="C90">
        <v>1</v>
      </c>
      <c r="D90" t="s">
        <v>146</v>
      </c>
      <c r="E90" t="s">
        <v>17</v>
      </c>
      <c r="F90">
        <v>23</v>
      </c>
      <c r="G90">
        <v>3</v>
      </c>
      <c r="H90">
        <v>2</v>
      </c>
      <c r="I90">
        <v>19950</v>
      </c>
      <c r="J90" s="3">
        <v>263</v>
      </c>
      <c r="K90" t="s">
        <v>57</v>
      </c>
      <c r="L90" t="s">
        <v>15</v>
      </c>
    </row>
    <row r="91" spans="1:12" x14ac:dyDescent="0.2">
      <c r="A91">
        <v>90</v>
      </c>
      <c r="B91">
        <v>0</v>
      </c>
      <c r="C91">
        <v>3</v>
      </c>
      <c r="D91" t="s">
        <v>147</v>
      </c>
      <c r="E91" t="s">
        <v>13</v>
      </c>
      <c r="F91">
        <v>24</v>
      </c>
      <c r="G91">
        <v>0</v>
      </c>
      <c r="H91">
        <v>0</v>
      </c>
      <c r="I91">
        <v>343275</v>
      </c>
      <c r="J91" s="3">
        <v>8.0500000000000007</v>
      </c>
      <c r="L91" t="s">
        <v>15</v>
      </c>
    </row>
    <row r="92" spans="1:12" x14ac:dyDescent="0.2">
      <c r="A92">
        <v>91</v>
      </c>
      <c r="B92">
        <v>0</v>
      </c>
      <c r="C92">
        <v>3</v>
      </c>
      <c r="D92" t="s">
        <v>148</v>
      </c>
      <c r="E92" t="s">
        <v>13</v>
      </c>
      <c r="F92">
        <v>29</v>
      </c>
      <c r="G92">
        <v>0</v>
      </c>
      <c r="H92">
        <v>0</v>
      </c>
      <c r="I92">
        <v>343276</v>
      </c>
      <c r="J92" s="3">
        <v>8.0500000000000007</v>
      </c>
      <c r="L92" t="s">
        <v>15</v>
      </c>
    </row>
    <row r="93" spans="1:12" x14ac:dyDescent="0.2">
      <c r="A93">
        <v>92</v>
      </c>
      <c r="B93">
        <v>0</v>
      </c>
      <c r="C93">
        <v>3</v>
      </c>
      <c r="D93" t="s">
        <v>149</v>
      </c>
      <c r="E93" t="s">
        <v>13</v>
      </c>
      <c r="F93">
        <v>20</v>
      </c>
      <c r="G93">
        <v>0</v>
      </c>
      <c r="H93">
        <v>0</v>
      </c>
      <c r="I93">
        <v>347466</v>
      </c>
      <c r="J93" s="3">
        <v>7.8541999999999996</v>
      </c>
      <c r="L93" t="s">
        <v>15</v>
      </c>
    </row>
    <row r="94" spans="1:12" x14ac:dyDescent="0.2">
      <c r="A94">
        <v>93</v>
      </c>
      <c r="B94">
        <v>0</v>
      </c>
      <c r="C94">
        <v>1</v>
      </c>
      <c r="D94" t="s">
        <v>150</v>
      </c>
      <c r="E94" t="s">
        <v>13</v>
      </c>
      <c r="F94">
        <v>46</v>
      </c>
      <c r="G94">
        <v>1</v>
      </c>
      <c r="H94">
        <v>0</v>
      </c>
      <c r="I94" t="s">
        <v>151</v>
      </c>
      <c r="J94" s="3">
        <v>61.174999999999997</v>
      </c>
      <c r="K94" t="s">
        <v>152</v>
      </c>
      <c r="L94" t="s">
        <v>15</v>
      </c>
    </row>
    <row r="95" spans="1:12" x14ac:dyDescent="0.2">
      <c r="A95">
        <v>94</v>
      </c>
      <c r="B95">
        <v>0</v>
      </c>
      <c r="C95">
        <v>3</v>
      </c>
      <c r="D95" t="s">
        <v>153</v>
      </c>
      <c r="E95" t="s">
        <v>13</v>
      </c>
      <c r="F95">
        <v>26</v>
      </c>
      <c r="G95">
        <v>1</v>
      </c>
      <c r="H95">
        <v>2</v>
      </c>
      <c r="I95" t="s">
        <v>154</v>
      </c>
      <c r="J95" s="3">
        <v>20.574999999999999</v>
      </c>
      <c r="L95" t="s">
        <v>15</v>
      </c>
    </row>
    <row r="96" spans="1:12" x14ac:dyDescent="0.2">
      <c r="A96">
        <v>95</v>
      </c>
      <c r="B96">
        <v>0</v>
      </c>
      <c r="C96">
        <v>3</v>
      </c>
      <c r="D96" t="s">
        <v>155</v>
      </c>
      <c r="E96" t="s">
        <v>13</v>
      </c>
      <c r="F96">
        <v>59</v>
      </c>
      <c r="G96">
        <v>0</v>
      </c>
      <c r="H96">
        <v>0</v>
      </c>
      <c r="I96">
        <v>364500</v>
      </c>
      <c r="J96" s="3">
        <v>7.25</v>
      </c>
      <c r="L96" t="s">
        <v>15</v>
      </c>
    </row>
    <row r="97" spans="1:12" x14ac:dyDescent="0.2">
      <c r="A97">
        <v>96</v>
      </c>
      <c r="B97">
        <v>0</v>
      </c>
      <c r="C97">
        <v>3</v>
      </c>
      <c r="D97" t="s">
        <v>156</v>
      </c>
      <c r="E97" t="s">
        <v>13</v>
      </c>
      <c r="G97">
        <v>0</v>
      </c>
      <c r="H97">
        <v>0</v>
      </c>
      <c r="I97">
        <v>374910</v>
      </c>
      <c r="J97" s="3">
        <v>8.0500000000000007</v>
      </c>
      <c r="L97" t="s">
        <v>15</v>
      </c>
    </row>
    <row r="98" spans="1:12" x14ac:dyDescent="0.2">
      <c r="A98">
        <v>97</v>
      </c>
      <c r="B98">
        <v>0</v>
      </c>
      <c r="C98">
        <v>1</v>
      </c>
      <c r="D98" t="s">
        <v>157</v>
      </c>
      <c r="E98" t="s">
        <v>13</v>
      </c>
      <c r="F98">
        <v>71</v>
      </c>
      <c r="G98">
        <v>0</v>
      </c>
      <c r="H98">
        <v>0</v>
      </c>
      <c r="I98" t="s">
        <v>158</v>
      </c>
      <c r="J98" s="3">
        <v>34.654200000000003</v>
      </c>
      <c r="K98" t="s">
        <v>159</v>
      </c>
      <c r="L98" t="s">
        <v>20</v>
      </c>
    </row>
    <row r="99" spans="1:12" x14ac:dyDescent="0.2">
      <c r="A99">
        <v>98</v>
      </c>
      <c r="B99">
        <v>1</v>
      </c>
      <c r="C99">
        <v>1</v>
      </c>
      <c r="D99" t="s">
        <v>160</v>
      </c>
      <c r="E99" t="s">
        <v>13</v>
      </c>
      <c r="F99">
        <v>23</v>
      </c>
      <c r="G99">
        <v>0</v>
      </c>
      <c r="H99">
        <v>1</v>
      </c>
      <c r="I99" t="s">
        <v>161</v>
      </c>
      <c r="J99" s="3">
        <v>63.3583</v>
      </c>
      <c r="K99" t="s">
        <v>162</v>
      </c>
      <c r="L99" t="s">
        <v>20</v>
      </c>
    </row>
    <row r="100" spans="1:12" x14ac:dyDescent="0.2">
      <c r="A100">
        <v>99</v>
      </c>
      <c r="B100">
        <v>1</v>
      </c>
      <c r="C100">
        <v>2</v>
      </c>
      <c r="D100" t="s">
        <v>163</v>
      </c>
      <c r="E100" t="s">
        <v>17</v>
      </c>
      <c r="F100">
        <v>34</v>
      </c>
      <c r="G100">
        <v>0</v>
      </c>
      <c r="H100">
        <v>1</v>
      </c>
      <c r="I100">
        <v>231919</v>
      </c>
      <c r="J100" s="3">
        <v>23</v>
      </c>
      <c r="L100" t="s">
        <v>15</v>
      </c>
    </row>
    <row r="101" spans="1:12" x14ac:dyDescent="0.2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 s="3">
        <v>26</v>
      </c>
      <c r="L101" t="s">
        <v>15</v>
      </c>
    </row>
    <row r="102" spans="1:12" x14ac:dyDescent="0.2">
      <c r="A102">
        <v>101</v>
      </c>
      <c r="B102">
        <v>0</v>
      </c>
      <c r="C102">
        <v>3</v>
      </c>
      <c r="D102" t="s">
        <v>165</v>
      </c>
      <c r="E102" t="s">
        <v>17</v>
      </c>
      <c r="F102">
        <v>28</v>
      </c>
      <c r="G102">
        <v>0</v>
      </c>
      <c r="H102">
        <v>0</v>
      </c>
      <c r="I102">
        <v>349245</v>
      </c>
      <c r="J102" s="3">
        <v>7.8958000000000004</v>
      </c>
      <c r="L102" t="s">
        <v>15</v>
      </c>
    </row>
    <row r="103" spans="1:12" x14ac:dyDescent="0.2">
      <c r="A103">
        <v>102</v>
      </c>
      <c r="B103">
        <v>0</v>
      </c>
      <c r="C103">
        <v>3</v>
      </c>
      <c r="D103" t="s">
        <v>166</v>
      </c>
      <c r="E103" t="s">
        <v>13</v>
      </c>
      <c r="G103">
        <v>0</v>
      </c>
      <c r="H103">
        <v>0</v>
      </c>
      <c r="I103">
        <v>349215</v>
      </c>
      <c r="J103" s="3">
        <v>7.8958000000000004</v>
      </c>
      <c r="L103" t="s">
        <v>15</v>
      </c>
    </row>
    <row r="104" spans="1:12" x14ac:dyDescent="0.2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 s="3">
        <v>77.287499999999994</v>
      </c>
      <c r="K104" t="s">
        <v>168</v>
      </c>
      <c r="L104" t="s">
        <v>15</v>
      </c>
    </row>
    <row r="105" spans="1:12" x14ac:dyDescent="0.2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33</v>
      </c>
      <c r="G105">
        <v>0</v>
      </c>
      <c r="H105">
        <v>0</v>
      </c>
      <c r="I105">
        <v>7540</v>
      </c>
      <c r="J105" s="3">
        <v>8.6541999999999994</v>
      </c>
      <c r="L105" t="s">
        <v>15</v>
      </c>
    </row>
    <row r="106" spans="1:12" x14ac:dyDescent="0.2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 s="3">
        <v>7.9249999999999998</v>
      </c>
      <c r="L106" t="s">
        <v>15</v>
      </c>
    </row>
    <row r="107" spans="1:12" x14ac:dyDescent="0.2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 s="3">
        <v>7.8958000000000004</v>
      </c>
      <c r="L107" t="s">
        <v>15</v>
      </c>
    </row>
    <row r="108" spans="1:12" x14ac:dyDescent="0.2">
      <c r="A108">
        <v>107</v>
      </c>
      <c r="B108">
        <v>1</v>
      </c>
      <c r="C108">
        <v>3</v>
      </c>
      <c r="D108" t="s">
        <v>172</v>
      </c>
      <c r="E108" t="s">
        <v>17</v>
      </c>
      <c r="F108">
        <v>21</v>
      </c>
      <c r="G108">
        <v>0</v>
      </c>
      <c r="H108">
        <v>0</v>
      </c>
      <c r="I108">
        <v>343120</v>
      </c>
      <c r="J108" s="3">
        <v>7.65</v>
      </c>
      <c r="L108" t="s">
        <v>15</v>
      </c>
    </row>
    <row r="109" spans="1:12" x14ac:dyDescent="0.2">
      <c r="A109">
        <v>108</v>
      </c>
      <c r="B109">
        <v>1</v>
      </c>
      <c r="C109">
        <v>3</v>
      </c>
      <c r="D109" t="s">
        <v>173</v>
      </c>
      <c r="E109" t="s">
        <v>13</v>
      </c>
      <c r="G109">
        <v>0</v>
      </c>
      <c r="H109">
        <v>0</v>
      </c>
      <c r="I109">
        <v>312991</v>
      </c>
      <c r="J109" s="3">
        <v>7.7750000000000004</v>
      </c>
      <c r="L109" t="s">
        <v>15</v>
      </c>
    </row>
    <row r="110" spans="1:12" x14ac:dyDescent="0.2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 s="3">
        <v>7.8958000000000004</v>
      </c>
      <c r="L110" t="s">
        <v>15</v>
      </c>
    </row>
    <row r="111" spans="1:12" x14ac:dyDescent="0.2">
      <c r="A111">
        <v>110</v>
      </c>
      <c r="B111">
        <v>1</v>
      </c>
      <c r="C111">
        <v>3</v>
      </c>
      <c r="D111" t="s">
        <v>175</v>
      </c>
      <c r="E111" t="s">
        <v>17</v>
      </c>
      <c r="G111">
        <v>1</v>
      </c>
      <c r="H111">
        <v>0</v>
      </c>
      <c r="I111">
        <v>371110</v>
      </c>
      <c r="J111" s="3">
        <v>24.15</v>
      </c>
      <c r="L111" t="s">
        <v>27</v>
      </c>
    </row>
    <row r="112" spans="1:12" x14ac:dyDescent="0.2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 s="3">
        <v>52</v>
      </c>
      <c r="K112" t="s">
        <v>177</v>
      </c>
      <c r="L112" t="s">
        <v>15</v>
      </c>
    </row>
    <row r="113" spans="1:12" x14ac:dyDescent="0.2">
      <c r="A113">
        <v>112</v>
      </c>
      <c r="B113">
        <v>0</v>
      </c>
      <c r="C113">
        <v>3</v>
      </c>
      <c r="D113" t="s">
        <v>178</v>
      </c>
      <c r="E113" t="s">
        <v>17</v>
      </c>
      <c r="F113">
        <v>14.5</v>
      </c>
      <c r="G113">
        <v>1</v>
      </c>
      <c r="H113">
        <v>0</v>
      </c>
      <c r="I113">
        <v>2665</v>
      </c>
      <c r="J113" s="3">
        <v>14.4542</v>
      </c>
      <c r="L113" t="s">
        <v>20</v>
      </c>
    </row>
    <row r="114" spans="1:12" x14ac:dyDescent="0.2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 s="3">
        <v>8.0500000000000007</v>
      </c>
      <c r="L114" t="s">
        <v>15</v>
      </c>
    </row>
    <row r="115" spans="1:12" x14ac:dyDescent="0.2">
      <c r="A115">
        <v>114</v>
      </c>
      <c r="B115">
        <v>0</v>
      </c>
      <c r="C115">
        <v>3</v>
      </c>
      <c r="D115" t="s">
        <v>180</v>
      </c>
      <c r="E115" t="s">
        <v>17</v>
      </c>
      <c r="F115">
        <v>20</v>
      </c>
      <c r="G115">
        <v>1</v>
      </c>
      <c r="H115">
        <v>0</v>
      </c>
      <c r="I115">
        <v>4136</v>
      </c>
      <c r="J115" s="3">
        <v>9.8249999999999993</v>
      </c>
      <c r="L115" t="s">
        <v>15</v>
      </c>
    </row>
    <row r="116" spans="1:12" x14ac:dyDescent="0.2">
      <c r="A116">
        <v>115</v>
      </c>
      <c r="B116">
        <v>0</v>
      </c>
      <c r="C116">
        <v>3</v>
      </c>
      <c r="D116" t="s">
        <v>181</v>
      </c>
      <c r="E116" t="s">
        <v>17</v>
      </c>
      <c r="F116">
        <v>17</v>
      </c>
      <c r="G116">
        <v>0</v>
      </c>
      <c r="H116">
        <v>0</v>
      </c>
      <c r="I116">
        <v>2627</v>
      </c>
      <c r="J116" s="3">
        <v>14.458299999999999</v>
      </c>
      <c r="L116" t="s">
        <v>20</v>
      </c>
    </row>
    <row r="117" spans="1:12" x14ac:dyDescent="0.2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21</v>
      </c>
      <c r="G117">
        <v>0</v>
      </c>
      <c r="H117">
        <v>0</v>
      </c>
      <c r="I117" t="s">
        <v>183</v>
      </c>
      <c r="J117" s="3">
        <v>7.9249999999999998</v>
      </c>
      <c r="L117" t="s">
        <v>15</v>
      </c>
    </row>
    <row r="118" spans="1:12" x14ac:dyDescent="0.2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 s="3">
        <v>7.75</v>
      </c>
      <c r="L118" t="s">
        <v>27</v>
      </c>
    </row>
    <row r="119" spans="1:12" x14ac:dyDescent="0.2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 s="3">
        <v>21</v>
      </c>
      <c r="L119" t="s">
        <v>15</v>
      </c>
    </row>
    <row r="120" spans="1:12" x14ac:dyDescent="0.2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24</v>
      </c>
      <c r="G120">
        <v>0</v>
      </c>
      <c r="H120">
        <v>1</v>
      </c>
      <c r="I120" t="s">
        <v>187</v>
      </c>
      <c r="J120" s="3">
        <v>247.52080000000001</v>
      </c>
      <c r="K120" t="s">
        <v>188</v>
      </c>
      <c r="L120" t="s">
        <v>20</v>
      </c>
    </row>
    <row r="121" spans="1:12" x14ac:dyDescent="0.2">
      <c r="A121">
        <v>120</v>
      </c>
      <c r="B121">
        <v>0</v>
      </c>
      <c r="C121">
        <v>3</v>
      </c>
      <c r="D121" t="s">
        <v>189</v>
      </c>
      <c r="E121" t="s">
        <v>17</v>
      </c>
      <c r="F121">
        <v>2</v>
      </c>
      <c r="G121">
        <v>4</v>
      </c>
      <c r="H121">
        <v>2</v>
      </c>
      <c r="I121">
        <v>347082</v>
      </c>
      <c r="J121" s="3">
        <v>31.274999999999999</v>
      </c>
      <c r="L121" t="s">
        <v>15</v>
      </c>
    </row>
    <row r="122" spans="1:12" x14ac:dyDescent="0.2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21</v>
      </c>
      <c r="G122">
        <v>2</v>
      </c>
      <c r="H122">
        <v>0</v>
      </c>
      <c r="I122" t="s">
        <v>126</v>
      </c>
      <c r="J122" s="3">
        <v>73.5</v>
      </c>
      <c r="L122" t="s">
        <v>15</v>
      </c>
    </row>
    <row r="123" spans="1:12" x14ac:dyDescent="0.2">
      <c r="A123">
        <v>122</v>
      </c>
      <c r="B123">
        <v>0</v>
      </c>
      <c r="C123">
        <v>3</v>
      </c>
      <c r="D123" t="s">
        <v>191</v>
      </c>
      <c r="E123" t="s">
        <v>13</v>
      </c>
      <c r="G123">
        <v>0</v>
      </c>
      <c r="H123">
        <v>0</v>
      </c>
      <c r="I123" t="s">
        <v>192</v>
      </c>
      <c r="J123" s="3">
        <v>8.0500000000000007</v>
      </c>
      <c r="L123" t="s">
        <v>15</v>
      </c>
    </row>
    <row r="124" spans="1:12" x14ac:dyDescent="0.2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 s="3">
        <v>30.070799999999998</v>
      </c>
      <c r="L124" t="s">
        <v>20</v>
      </c>
    </row>
    <row r="125" spans="1:12" x14ac:dyDescent="0.2">
      <c r="A125">
        <v>124</v>
      </c>
      <c r="B125">
        <v>1</v>
      </c>
      <c r="C125">
        <v>2</v>
      </c>
      <c r="D125" t="s">
        <v>194</v>
      </c>
      <c r="E125" t="s">
        <v>17</v>
      </c>
      <c r="F125">
        <v>32.5</v>
      </c>
      <c r="G125">
        <v>0</v>
      </c>
      <c r="H125">
        <v>0</v>
      </c>
      <c r="I125">
        <v>27267</v>
      </c>
      <c r="J125" s="3">
        <v>13</v>
      </c>
      <c r="K125" t="s">
        <v>195</v>
      </c>
      <c r="L125" t="s">
        <v>15</v>
      </c>
    </row>
    <row r="126" spans="1:12" x14ac:dyDescent="0.2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 s="3">
        <v>77.287499999999994</v>
      </c>
      <c r="K126" t="s">
        <v>168</v>
      </c>
      <c r="L126" t="s">
        <v>15</v>
      </c>
    </row>
    <row r="127" spans="1:12" x14ac:dyDescent="0.2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12</v>
      </c>
      <c r="G127">
        <v>1</v>
      </c>
      <c r="H127">
        <v>0</v>
      </c>
      <c r="I127">
        <v>2651</v>
      </c>
      <c r="J127" s="3">
        <v>11.2417</v>
      </c>
      <c r="L127" t="s">
        <v>20</v>
      </c>
    </row>
    <row r="128" spans="1:12" x14ac:dyDescent="0.2">
      <c r="A128">
        <v>127</v>
      </c>
      <c r="B128">
        <v>0</v>
      </c>
      <c r="C128">
        <v>3</v>
      </c>
      <c r="D128" t="s">
        <v>198</v>
      </c>
      <c r="E128" t="s">
        <v>13</v>
      </c>
      <c r="G128">
        <v>0</v>
      </c>
      <c r="H128">
        <v>0</v>
      </c>
      <c r="I128">
        <v>370372</v>
      </c>
      <c r="J128" s="3">
        <v>7.75</v>
      </c>
      <c r="L128" t="s">
        <v>27</v>
      </c>
    </row>
    <row r="129" spans="1:12" x14ac:dyDescent="0.2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24</v>
      </c>
      <c r="G129">
        <v>0</v>
      </c>
      <c r="H129">
        <v>0</v>
      </c>
      <c r="I129" t="s">
        <v>200</v>
      </c>
      <c r="J129" s="3">
        <v>7.1417000000000002</v>
      </c>
      <c r="L129" t="s">
        <v>15</v>
      </c>
    </row>
    <row r="130" spans="1:12" x14ac:dyDescent="0.2">
      <c r="A130">
        <v>129</v>
      </c>
      <c r="B130">
        <v>1</v>
      </c>
      <c r="C130">
        <v>3</v>
      </c>
      <c r="D130" t="s">
        <v>201</v>
      </c>
      <c r="E130" t="s">
        <v>17</v>
      </c>
      <c r="G130">
        <v>1</v>
      </c>
      <c r="H130">
        <v>1</v>
      </c>
      <c r="I130">
        <v>2668</v>
      </c>
      <c r="J130" s="3">
        <v>22.3583</v>
      </c>
      <c r="K130" t="s">
        <v>202</v>
      </c>
      <c r="L130" t="s">
        <v>20</v>
      </c>
    </row>
    <row r="131" spans="1:12" x14ac:dyDescent="0.2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 s="3">
        <v>6.9749999999999996</v>
      </c>
      <c r="L131" t="s">
        <v>15</v>
      </c>
    </row>
    <row r="132" spans="1:12" x14ac:dyDescent="0.2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 s="3">
        <v>7.8958000000000004</v>
      </c>
      <c r="L132" t="s">
        <v>20</v>
      </c>
    </row>
    <row r="133" spans="1:12" x14ac:dyDescent="0.2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20</v>
      </c>
      <c r="G133">
        <v>0</v>
      </c>
      <c r="H133">
        <v>0</v>
      </c>
      <c r="I133" t="s">
        <v>206</v>
      </c>
      <c r="J133" s="3">
        <v>7.05</v>
      </c>
      <c r="L133" t="s">
        <v>15</v>
      </c>
    </row>
    <row r="134" spans="1:12" x14ac:dyDescent="0.2">
      <c r="A134">
        <v>133</v>
      </c>
      <c r="B134">
        <v>0</v>
      </c>
      <c r="C134">
        <v>3</v>
      </c>
      <c r="D134" t="s">
        <v>207</v>
      </c>
      <c r="E134" t="s">
        <v>17</v>
      </c>
      <c r="F134">
        <v>47</v>
      </c>
      <c r="G134">
        <v>1</v>
      </c>
      <c r="H134">
        <v>0</v>
      </c>
      <c r="I134" t="s">
        <v>208</v>
      </c>
      <c r="J134" s="3">
        <v>14.5</v>
      </c>
      <c r="L134" t="s">
        <v>15</v>
      </c>
    </row>
    <row r="135" spans="1:12" x14ac:dyDescent="0.2">
      <c r="A135">
        <v>134</v>
      </c>
      <c r="B135">
        <v>1</v>
      </c>
      <c r="C135">
        <v>2</v>
      </c>
      <c r="D135" t="s">
        <v>209</v>
      </c>
      <c r="E135" t="s">
        <v>17</v>
      </c>
      <c r="F135">
        <v>29</v>
      </c>
      <c r="G135">
        <v>1</v>
      </c>
      <c r="H135">
        <v>0</v>
      </c>
      <c r="I135">
        <v>228414</v>
      </c>
      <c r="J135" s="3">
        <v>26</v>
      </c>
      <c r="L135" t="s">
        <v>15</v>
      </c>
    </row>
    <row r="136" spans="1:12" x14ac:dyDescent="0.2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25</v>
      </c>
      <c r="G136">
        <v>0</v>
      </c>
      <c r="H136">
        <v>0</v>
      </c>
      <c r="I136" t="s">
        <v>211</v>
      </c>
      <c r="J136" s="3">
        <v>13</v>
      </c>
      <c r="L136" t="s">
        <v>15</v>
      </c>
    </row>
    <row r="137" spans="1:12" x14ac:dyDescent="0.2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23</v>
      </c>
      <c r="G137">
        <v>0</v>
      </c>
      <c r="H137">
        <v>0</v>
      </c>
      <c r="I137" t="s">
        <v>213</v>
      </c>
      <c r="J137" s="3">
        <v>15.0458</v>
      </c>
      <c r="L137" t="s">
        <v>20</v>
      </c>
    </row>
    <row r="138" spans="1:12" x14ac:dyDescent="0.2">
      <c r="A138">
        <v>137</v>
      </c>
      <c r="B138">
        <v>1</v>
      </c>
      <c r="C138">
        <v>1</v>
      </c>
      <c r="D138" t="s">
        <v>214</v>
      </c>
      <c r="E138" t="s">
        <v>17</v>
      </c>
      <c r="F138">
        <v>19</v>
      </c>
      <c r="G138">
        <v>0</v>
      </c>
      <c r="H138">
        <v>2</v>
      </c>
      <c r="I138">
        <v>11752</v>
      </c>
      <c r="J138" s="3">
        <v>26.283300000000001</v>
      </c>
      <c r="K138" t="s">
        <v>215</v>
      </c>
      <c r="L138" t="s">
        <v>15</v>
      </c>
    </row>
    <row r="139" spans="1:12" x14ac:dyDescent="0.2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 s="3">
        <v>53.1</v>
      </c>
      <c r="K139" t="s">
        <v>24</v>
      </c>
      <c r="L139" t="s">
        <v>15</v>
      </c>
    </row>
    <row r="140" spans="1:12" x14ac:dyDescent="0.2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16</v>
      </c>
      <c r="G140">
        <v>0</v>
      </c>
      <c r="H140">
        <v>0</v>
      </c>
      <c r="I140">
        <v>7534</v>
      </c>
      <c r="J140" s="3">
        <v>9.2166999999999994</v>
      </c>
      <c r="L140" t="s">
        <v>15</v>
      </c>
    </row>
    <row r="141" spans="1:12" x14ac:dyDescent="0.2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24</v>
      </c>
      <c r="G141">
        <v>0</v>
      </c>
      <c r="H141">
        <v>0</v>
      </c>
      <c r="I141" t="s">
        <v>219</v>
      </c>
      <c r="J141" s="3">
        <v>79.2</v>
      </c>
      <c r="K141" t="s">
        <v>220</v>
      </c>
      <c r="L141" t="s">
        <v>20</v>
      </c>
    </row>
    <row r="142" spans="1:12" x14ac:dyDescent="0.2">
      <c r="A142">
        <v>141</v>
      </c>
      <c r="B142">
        <v>0</v>
      </c>
      <c r="C142">
        <v>3</v>
      </c>
      <c r="D142" t="s">
        <v>221</v>
      </c>
      <c r="E142" t="s">
        <v>17</v>
      </c>
      <c r="G142">
        <v>0</v>
      </c>
      <c r="H142">
        <v>2</v>
      </c>
      <c r="I142">
        <v>2678</v>
      </c>
      <c r="J142" s="3">
        <v>15.245799999999999</v>
      </c>
      <c r="L142" t="s">
        <v>20</v>
      </c>
    </row>
    <row r="143" spans="1:12" x14ac:dyDescent="0.2">
      <c r="A143">
        <v>142</v>
      </c>
      <c r="B143">
        <v>1</v>
      </c>
      <c r="C143">
        <v>3</v>
      </c>
      <c r="D143" t="s">
        <v>222</v>
      </c>
      <c r="E143" t="s">
        <v>17</v>
      </c>
      <c r="F143">
        <v>22</v>
      </c>
      <c r="G143">
        <v>0</v>
      </c>
      <c r="H143">
        <v>0</v>
      </c>
      <c r="I143">
        <v>347081</v>
      </c>
      <c r="J143" s="3">
        <v>7.75</v>
      </c>
      <c r="L143" t="s">
        <v>15</v>
      </c>
    </row>
    <row r="144" spans="1:12" x14ac:dyDescent="0.2">
      <c r="A144">
        <v>143</v>
      </c>
      <c r="B144">
        <v>1</v>
      </c>
      <c r="C144">
        <v>3</v>
      </c>
      <c r="D144" t="s">
        <v>223</v>
      </c>
      <c r="E144" t="s">
        <v>17</v>
      </c>
      <c r="F144">
        <v>24</v>
      </c>
      <c r="G144">
        <v>1</v>
      </c>
      <c r="H144">
        <v>0</v>
      </c>
      <c r="I144" t="s">
        <v>224</v>
      </c>
      <c r="J144" s="3">
        <v>15.85</v>
      </c>
      <c r="L144" t="s">
        <v>15</v>
      </c>
    </row>
    <row r="145" spans="1:12" x14ac:dyDescent="0.2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 s="3">
        <v>6.75</v>
      </c>
      <c r="L145" t="s">
        <v>27</v>
      </c>
    </row>
    <row r="146" spans="1:12" x14ac:dyDescent="0.2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 s="3">
        <v>11.5</v>
      </c>
      <c r="L146" t="s">
        <v>15</v>
      </c>
    </row>
    <row r="147" spans="1:12" x14ac:dyDescent="0.2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 s="3">
        <v>36.75</v>
      </c>
      <c r="L147" t="s">
        <v>15</v>
      </c>
    </row>
    <row r="148" spans="1:12" x14ac:dyDescent="0.2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 s="3">
        <v>7.7957999999999998</v>
      </c>
      <c r="L148" t="s">
        <v>15</v>
      </c>
    </row>
    <row r="149" spans="1:12" x14ac:dyDescent="0.2">
      <c r="A149">
        <v>148</v>
      </c>
      <c r="B149">
        <v>0</v>
      </c>
      <c r="C149">
        <v>3</v>
      </c>
      <c r="D149" t="s">
        <v>230</v>
      </c>
      <c r="E149" t="s">
        <v>17</v>
      </c>
      <c r="F149">
        <v>9</v>
      </c>
      <c r="G149">
        <v>2</v>
      </c>
      <c r="H149">
        <v>2</v>
      </c>
      <c r="I149" t="s">
        <v>143</v>
      </c>
      <c r="J149" s="3">
        <v>34.375</v>
      </c>
      <c r="L149" t="s">
        <v>15</v>
      </c>
    </row>
    <row r="150" spans="1:12" x14ac:dyDescent="0.2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 s="3">
        <v>26</v>
      </c>
      <c r="K150" t="s">
        <v>232</v>
      </c>
      <c r="L150" t="s">
        <v>15</v>
      </c>
    </row>
    <row r="151" spans="1:12" x14ac:dyDescent="0.2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 s="3">
        <v>13</v>
      </c>
      <c r="L151" t="s">
        <v>15</v>
      </c>
    </row>
    <row r="152" spans="1:12" x14ac:dyDescent="0.2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51</v>
      </c>
      <c r="G152">
        <v>0</v>
      </c>
      <c r="H152">
        <v>0</v>
      </c>
      <c r="I152" t="s">
        <v>235</v>
      </c>
      <c r="J152" s="3">
        <v>12.525</v>
      </c>
      <c r="L152" t="s">
        <v>15</v>
      </c>
    </row>
    <row r="153" spans="1:12" x14ac:dyDescent="0.2">
      <c r="A153">
        <v>152</v>
      </c>
      <c r="B153">
        <v>1</v>
      </c>
      <c r="C153">
        <v>1</v>
      </c>
      <c r="D153" t="s">
        <v>236</v>
      </c>
      <c r="E153" t="s">
        <v>17</v>
      </c>
      <c r="F153">
        <v>22</v>
      </c>
      <c r="G153">
        <v>1</v>
      </c>
      <c r="H153">
        <v>0</v>
      </c>
      <c r="I153">
        <v>113776</v>
      </c>
      <c r="J153" s="3">
        <v>66.599999999999994</v>
      </c>
      <c r="K153" t="s">
        <v>237</v>
      </c>
      <c r="L153" t="s">
        <v>15</v>
      </c>
    </row>
    <row r="154" spans="1:12" x14ac:dyDescent="0.2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55.5</v>
      </c>
      <c r="G154">
        <v>0</v>
      </c>
      <c r="H154">
        <v>0</v>
      </c>
      <c r="I154" t="s">
        <v>239</v>
      </c>
      <c r="J154" s="3">
        <v>8.0500000000000007</v>
      </c>
      <c r="L154" t="s">
        <v>15</v>
      </c>
    </row>
    <row r="155" spans="1:12" x14ac:dyDescent="0.2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40.5</v>
      </c>
      <c r="G155">
        <v>0</v>
      </c>
      <c r="H155">
        <v>2</v>
      </c>
      <c r="I155" t="s">
        <v>241</v>
      </c>
      <c r="J155" s="3">
        <v>14.5</v>
      </c>
      <c r="L155" t="s">
        <v>15</v>
      </c>
    </row>
    <row r="156" spans="1:12" x14ac:dyDescent="0.2">
      <c r="A156">
        <v>155</v>
      </c>
      <c r="B156">
        <v>0</v>
      </c>
      <c r="C156">
        <v>3</v>
      </c>
      <c r="D156" t="s">
        <v>242</v>
      </c>
      <c r="E156" t="s">
        <v>13</v>
      </c>
      <c r="G156">
        <v>0</v>
      </c>
      <c r="H156">
        <v>0</v>
      </c>
      <c r="I156" t="s">
        <v>243</v>
      </c>
      <c r="J156" s="3">
        <v>7.3125</v>
      </c>
      <c r="L156" t="s">
        <v>15</v>
      </c>
    </row>
    <row r="157" spans="1:12" x14ac:dyDescent="0.2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51</v>
      </c>
      <c r="G157">
        <v>0</v>
      </c>
      <c r="H157">
        <v>1</v>
      </c>
      <c r="I157" t="s">
        <v>245</v>
      </c>
      <c r="J157" s="3">
        <v>61.379199999999997</v>
      </c>
      <c r="L157" t="s">
        <v>20</v>
      </c>
    </row>
    <row r="158" spans="1:12" x14ac:dyDescent="0.2">
      <c r="A158">
        <v>157</v>
      </c>
      <c r="B158">
        <v>1</v>
      </c>
      <c r="C158">
        <v>3</v>
      </c>
      <c r="D158" t="s">
        <v>246</v>
      </c>
      <c r="E158" t="s">
        <v>17</v>
      </c>
      <c r="F158">
        <v>16</v>
      </c>
      <c r="G158">
        <v>0</v>
      </c>
      <c r="H158">
        <v>0</v>
      </c>
      <c r="I158">
        <v>35851</v>
      </c>
      <c r="J158" s="3">
        <v>7.7332999999999998</v>
      </c>
      <c r="L158" t="s">
        <v>27</v>
      </c>
    </row>
    <row r="159" spans="1:12" x14ac:dyDescent="0.2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30</v>
      </c>
      <c r="G159">
        <v>0</v>
      </c>
      <c r="H159">
        <v>0</v>
      </c>
      <c r="I159" t="s">
        <v>248</v>
      </c>
      <c r="J159" s="3">
        <v>8.0500000000000007</v>
      </c>
      <c r="L159" t="s">
        <v>15</v>
      </c>
    </row>
    <row r="160" spans="1:12" x14ac:dyDescent="0.2">
      <c r="A160">
        <v>159</v>
      </c>
      <c r="B160">
        <v>0</v>
      </c>
      <c r="C160">
        <v>3</v>
      </c>
      <c r="D160" t="s">
        <v>249</v>
      </c>
      <c r="E160" t="s">
        <v>13</v>
      </c>
      <c r="G160">
        <v>0</v>
      </c>
      <c r="H160">
        <v>0</v>
      </c>
      <c r="I160">
        <v>315037</v>
      </c>
      <c r="J160" s="3">
        <v>8.6624999999999996</v>
      </c>
      <c r="L160" t="s">
        <v>15</v>
      </c>
    </row>
    <row r="161" spans="1:12" x14ac:dyDescent="0.2">
      <c r="A161">
        <v>160</v>
      </c>
      <c r="B161">
        <v>0</v>
      </c>
      <c r="C161">
        <v>3</v>
      </c>
      <c r="D161" t="s">
        <v>250</v>
      </c>
      <c r="E161" t="s">
        <v>13</v>
      </c>
      <c r="G161">
        <v>8</v>
      </c>
      <c r="H161">
        <v>2</v>
      </c>
      <c r="I161" t="s">
        <v>251</v>
      </c>
      <c r="J161" s="3">
        <v>69.55</v>
      </c>
      <c r="L161" t="s">
        <v>15</v>
      </c>
    </row>
    <row r="162" spans="1:12" x14ac:dyDescent="0.2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 s="3">
        <v>16.100000000000001</v>
      </c>
      <c r="L162" t="s">
        <v>15</v>
      </c>
    </row>
    <row r="163" spans="1:12" x14ac:dyDescent="0.2">
      <c r="A163">
        <v>162</v>
      </c>
      <c r="B163">
        <v>1</v>
      </c>
      <c r="C163">
        <v>2</v>
      </c>
      <c r="D163" t="s">
        <v>253</v>
      </c>
      <c r="E163" t="s">
        <v>17</v>
      </c>
      <c r="F163">
        <v>40</v>
      </c>
      <c r="G163">
        <v>0</v>
      </c>
      <c r="H163">
        <v>0</v>
      </c>
      <c r="I163" t="s">
        <v>254</v>
      </c>
      <c r="J163" s="3">
        <v>15.75</v>
      </c>
      <c r="L163" t="s">
        <v>15</v>
      </c>
    </row>
    <row r="164" spans="1:12" x14ac:dyDescent="0.2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 s="3">
        <v>7.7750000000000004</v>
      </c>
      <c r="L164" t="s">
        <v>15</v>
      </c>
    </row>
    <row r="165" spans="1:12" x14ac:dyDescent="0.2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 s="3">
        <v>8.6624999999999996</v>
      </c>
      <c r="L165" t="s">
        <v>15</v>
      </c>
    </row>
    <row r="166" spans="1:12" x14ac:dyDescent="0.2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 s="3">
        <v>39.6875</v>
      </c>
      <c r="L166" t="s">
        <v>15</v>
      </c>
    </row>
    <row r="167" spans="1:12" x14ac:dyDescent="0.2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 s="3">
        <v>20.524999999999999</v>
      </c>
      <c r="L167" t="s">
        <v>15</v>
      </c>
    </row>
    <row r="168" spans="1:12" x14ac:dyDescent="0.2">
      <c r="A168">
        <v>167</v>
      </c>
      <c r="B168">
        <v>1</v>
      </c>
      <c r="C168">
        <v>1</v>
      </c>
      <c r="D168" t="s">
        <v>259</v>
      </c>
      <c r="E168" t="s">
        <v>17</v>
      </c>
      <c r="G168">
        <v>0</v>
      </c>
      <c r="H168">
        <v>1</v>
      </c>
      <c r="I168">
        <v>113505</v>
      </c>
      <c r="J168" s="3">
        <v>55</v>
      </c>
      <c r="K168" t="s">
        <v>260</v>
      </c>
      <c r="L168" t="s">
        <v>15</v>
      </c>
    </row>
    <row r="169" spans="1:12" x14ac:dyDescent="0.2">
      <c r="A169">
        <v>168</v>
      </c>
      <c r="B169">
        <v>0</v>
      </c>
      <c r="C169">
        <v>3</v>
      </c>
      <c r="D169" t="s">
        <v>261</v>
      </c>
      <c r="E169" t="s">
        <v>17</v>
      </c>
      <c r="F169">
        <v>45</v>
      </c>
      <c r="G169">
        <v>1</v>
      </c>
      <c r="H169">
        <v>4</v>
      </c>
      <c r="I169">
        <v>347088</v>
      </c>
      <c r="J169" s="3">
        <v>27.9</v>
      </c>
      <c r="L169" t="s">
        <v>15</v>
      </c>
    </row>
    <row r="170" spans="1:12" x14ac:dyDescent="0.2">
      <c r="A170">
        <v>169</v>
      </c>
      <c r="B170">
        <v>0</v>
      </c>
      <c r="C170">
        <v>1</v>
      </c>
      <c r="D170" t="s">
        <v>262</v>
      </c>
      <c r="E170" t="s">
        <v>13</v>
      </c>
      <c r="G170">
        <v>0</v>
      </c>
      <c r="H170">
        <v>0</v>
      </c>
      <c r="I170" t="s">
        <v>263</v>
      </c>
      <c r="J170" s="3">
        <v>25.925000000000001</v>
      </c>
      <c r="L170" t="s">
        <v>15</v>
      </c>
    </row>
    <row r="171" spans="1:12" x14ac:dyDescent="0.2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28</v>
      </c>
      <c r="G171">
        <v>0</v>
      </c>
      <c r="H171">
        <v>0</v>
      </c>
      <c r="I171">
        <v>1601</v>
      </c>
      <c r="J171" s="3">
        <v>56.495800000000003</v>
      </c>
      <c r="L171" t="s">
        <v>15</v>
      </c>
    </row>
    <row r="172" spans="1:12" x14ac:dyDescent="0.2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 s="3">
        <v>33.5</v>
      </c>
      <c r="K172" t="s">
        <v>266</v>
      </c>
      <c r="L172" t="s">
        <v>15</v>
      </c>
    </row>
    <row r="173" spans="1:12" x14ac:dyDescent="0.2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 s="3">
        <v>29.125</v>
      </c>
      <c r="L173" t="s">
        <v>27</v>
      </c>
    </row>
    <row r="174" spans="1:12" x14ac:dyDescent="0.2">
      <c r="A174">
        <v>173</v>
      </c>
      <c r="B174">
        <v>1</v>
      </c>
      <c r="C174">
        <v>3</v>
      </c>
      <c r="D174" t="s">
        <v>268</v>
      </c>
      <c r="E174" t="s">
        <v>17</v>
      </c>
      <c r="F174">
        <v>1</v>
      </c>
      <c r="G174">
        <v>1</v>
      </c>
      <c r="H174">
        <v>1</v>
      </c>
      <c r="I174">
        <v>347742</v>
      </c>
      <c r="J174" s="3">
        <v>11.1333</v>
      </c>
      <c r="L174" t="s">
        <v>15</v>
      </c>
    </row>
    <row r="175" spans="1:12" x14ac:dyDescent="0.2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21</v>
      </c>
      <c r="G175">
        <v>0</v>
      </c>
      <c r="H175">
        <v>0</v>
      </c>
      <c r="I175" t="s">
        <v>270</v>
      </c>
      <c r="J175" s="3">
        <v>7.9249999999999998</v>
      </c>
      <c r="L175" t="s">
        <v>15</v>
      </c>
    </row>
    <row r="176" spans="1:12" x14ac:dyDescent="0.2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 s="3">
        <v>30.695799999999998</v>
      </c>
      <c r="K176" t="s">
        <v>272</v>
      </c>
      <c r="L176" t="s">
        <v>20</v>
      </c>
    </row>
    <row r="177" spans="1:12" x14ac:dyDescent="0.2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 s="3">
        <v>7.8541999999999996</v>
      </c>
      <c r="L177" t="s">
        <v>15</v>
      </c>
    </row>
    <row r="178" spans="1:12" x14ac:dyDescent="0.2">
      <c r="A178">
        <v>177</v>
      </c>
      <c r="B178">
        <v>0</v>
      </c>
      <c r="C178">
        <v>3</v>
      </c>
      <c r="D178" t="s">
        <v>274</v>
      </c>
      <c r="E178" t="s">
        <v>13</v>
      </c>
      <c r="G178">
        <v>3</v>
      </c>
      <c r="H178">
        <v>1</v>
      </c>
      <c r="I178">
        <v>4133</v>
      </c>
      <c r="J178" s="3">
        <v>25.466699999999999</v>
      </c>
      <c r="L178" t="s">
        <v>15</v>
      </c>
    </row>
    <row r="179" spans="1:12" x14ac:dyDescent="0.2">
      <c r="A179">
        <v>178</v>
      </c>
      <c r="B179">
        <v>0</v>
      </c>
      <c r="C179">
        <v>1</v>
      </c>
      <c r="D179" t="s">
        <v>275</v>
      </c>
      <c r="E179" t="s">
        <v>17</v>
      </c>
      <c r="F179">
        <v>50</v>
      </c>
      <c r="G179">
        <v>0</v>
      </c>
      <c r="H179">
        <v>0</v>
      </c>
      <c r="I179" t="s">
        <v>276</v>
      </c>
      <c r="J179" s="3">
        <v>28.712499999999999</v>
      </c>
      <c r="K179" t="s">
        <v>277</v>
      </c>
      <c r="L179" t="s">
        <v>20</v>
      </c>
    </row>
    <row r="180" spans="1:12" x14ac:dyDescent="0.2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 s="3">
        <v>13</v>
      </c>
      <c r="L180" t="s">
        <v>15</v>
      </c>
    </row>
    <row r="181" spans="1:12" x14ac:dyDescent="0.2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36</v>
      </c>
      <c r="G181">
        <v>0</v>
      </c>
      <c r="H181">
        <v>0</v>
      </c>
      <c r="I181" t="s">
        <v>280</v>
      </c>
      <c r="J181" s="3">
        <v>0</v>
      </c>
      <c r="L181" t="s">
        <v>15</v>
      </c>
    </row>
    <row r="182" spans="1:12" x14ac:dyDescent="0.2">
      <c r="A182">
        <v>181</v>
      </c>
      <c r="B182">
        <v>0</v>
      </c>
      <c r="C182">
        <v>3</v>
      </c>
      <c r="D182" t="s">
        <v>281</v>
      </c>
      <c r="E182" t="s">
        <v>17</v>
      </c>
      <c r="G182">
        <v>8</v>
      </c>
      <c r="H182">
        <v>2</v>
      </c>
      <c r="I182" t="s">
        <v>251</v>
      </c>
      <c r="J182" s="3">
        <v>69.55</v>
      </c>
      <c r="L182" t="s">
        <v>15</v>
      </c>
    </row>
    <row r="183" spans="1:12" x14ac:dyDescent="0.2">
      <c r="A183">
        <v>182</v>
      </c>
      <c r="B183">
        <v>0</v>
      </c>
      <c r="C183">
        <v>2</v>
      </c>
      <c r="D183" t="s">
        <v>282</v>
      </c>
      <c r="E183" t="s">
        <v>13</v>
      </c>
      <c r="G183">
        <v>0</v>
      </c>
      <c r="H183">
        <v>0</v>
      </c>
      <c r="I183" t="s">
        <v>283</v>
      </c>
      <c r="J183" s="3">
        <v>15.05</v>
      </c>
      <c r="L183" t="s">
        <v>20</v>
      </c>
    </row>
    <row r="184" spans="1:12" x14ac:dyDescent="0.2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 s="3">
        <v>31.387499999999999</v>
      </c>
      <c r="L184" t="s">
        <v>15</v>
      </c>
    </row>
    <row r="185" spans="1:12" x14ac:dyDescent="0.2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 s="3">
        <v>39</v>
      </c>
      <c r="K185" t="s">
        <v>286</v>
      </c>
      <c r="L185" t="s">
        <v>15</v>
      </c>
    </row>
    <row r="186" spans="1:12" x14ac:dyDescent="0.2">
      <c r="A186">
        <v>185</v>
      </c>
      <c r="B186">
        <v>1</v>
      </c>
      <c r="C186">
        <v>3</v>
      </c>
      <c r="D186" t="s">
        <v>287</v>
      </c>
      <c r="E186" t="s">
        <v>17</v>
      </c>
      <c r="F186">
        <v>4</v>
      </c>
      <c r="G186">
        <v>0</v>
      </c>
      <c r="H186">
        <v>2</v>
      </c>
      <c r="I186">
        <v>315153</v>
      </c>
      <c r="J186" s="3">
        <v>22.024999999999999</v>
      </c>
      <c r="L186" t="s">
        <v>15</v>
      </c>
    </row>
    <row r="187" spans="1:12" x14ac:dyDescent="0.2">
      <c r="A187">
        <v>186</v>
      </c>
      <c r="B187">
        <v>0</v>
      </c>
      <c r="C187">
        <v>1</v>
      </c>
      <c r="D187" t="s">
        <v>288</v>
      </c>
      <c r="E187" t="s">
        <v>13</v>
      </c>
      <c r="G187">
        <v>0</v>
      </c>
      <c r="H187">
        <v>0</v>
      </c>
      <c r="I187">
        <v>113767</v>
      </c>
      <c r="J187" s="3">
        <v>50</v>
      </c>
      <c r="K187" t="s">
        <v>289</v>
      </c>
      <c r="L187" t="s">
        <v>15</v>
      </c>
    </row>
    <row r="188" spans="1:12" x14ac:dyDescent="0.2">
      <c r="A188">
        <v>187</v>
      </c>
      <c r="B188">
        <v>1</v>
      </c>
      <c r="C188">
        <v>3</v>
      </c>
      <c r="D188" t="s">
        <v>290</v>
      </c>
      <c r="E188" t="s">
        <v>17</v>
      </c>
      <c r="G188">
        <v>1</v>
      </c>
      <c r="H188">
        <v>0</v>
      </c>
      <c r="I188">
        <v>370365</v>
      </c>
      <c r="J188" s="3">
        <v>15.5</v>
      </c>
      <c r="L188" t="s">
        <v>27</v>
      </c>
    </row>
    <row r="189" spans="1:12" x14ac:dyDescent="0.2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 s="3">
        <v>26.55</v>
      </c>
      <c r="L189" t="s">
        <v>15</v>
      </c>
    </row>
    <row r="190" spans="1:12" x14ac:dyDescent="0.2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 s="3">
        <v>15.5</v>
      </c>
      <c r="L190" t="s">
        <v>27</v>
      </c>
    </row>
    <row r="191" spans="1:12" x14ac:dyDescent="0.2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 s="3">
        <v>7.8958000000000004</v>
      </c>
      <c r="L191" t="s">
        <v>15</v>
      </c>
    </row>
    <row r="192" spans="1:12" x14ac:dyDescent="0.2">
      <c r="A192">
        <v>191</v>
      </c>
      <c r="B192">
        <v>1</v>
      </c>
      <c r="C192">
        <v>2</v>
      </c>
      <c r="D192" t="s">
        <v>294</v>
      </c>
      <c r="E192" t="s">
        <v>17</v>
      </c>
      <c r="F192">
        <v>32</v>
      </c>
      <c r="G192">
        <v>0</v>
      </c>
      <c r="H192">
        <v>0</v>
      </c>
      <c r="I192">
        <v>234604</v>
      </c>
      <c r="J192" s="3">
        <v>13</v>
      </c>
      <c r="L192" t="s">
        <v>15</v>
      </c>
    </row>
    <row r="193" spans="1:12" x14ac:dyDescent="0.2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 s="3">
        <v>13</v>
      </c>
      <c r="L193" t="s">
        <v>15</v>
      </c>
    </row>
    <row r="194" spans="1:12" x14ac:dyDescent="0.2">
      <c r="A194">
        <v>193</v>
      </c>
      <c r="B194">
        <v>1</v>
      </c>
      <c r="C194">
        <v>3</v>
      </c>
      <c r="D194" t="s">
        <v>296</v>
      </c>
      <c r="E194" t="s">
        <v>17</v>
      </c>
      <c r="F194">
        <v>19</v>
      </c>
      <c r="G194">
        <v>1</v>
      </c>
      <c r="H194">
        <v>0</v>
      </c>
      <c r="I194">
        <v>350046</v>
      </c>
      <c r="J194" s="3">
        <v>7.8541999999999996</v>
      </c>
      <c r="L194" t="s">
        <v>15</v>
      </c>
    </row>
    <row r="195" spans="1:12" x14ac:dyDescent="0.2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 s="3">
        <v>26</v>
      </c>
      <c r="K195" t="s">
        <v>232</v>
      </c>
      <c r="L195" t="s">
        <v>15</v>
      </c>
    </row>
    <row r="196" spans="1:12" x14ac:dyDescent="0.2">
      <c r="A196">
        <v>195</v>
      </c>
      <c r="B196">
        <v>1</v>
      </c>
      <c r="C196">
        <v>1</v>
      </c>
      <c r="D196" t="s">
        <v>298</v>
      </c>
      <c r="E196" t="s">
        <v>17</v>
      </c>
      <c r="F196">
        <v>44</v>
      </c>
      <c r="G196">
        <v>0</v>
      </c>
      <c r="H196">
        <v>0</v>
      </c>
      <c r="I196" t="s">
        <v>299</v>
      </c>
      <c r="J196" s="3">
        <v>27.720800000000001</v>
      </c>
      <c r="K196" t="s">
        <v>300</v>
      </c>
      <c r="L196" t="s">
        <v>20</v>
      </c>
    </row>
    <row r="197" spans="1:12" x14ac:dyDescent="0.2">
      <c r="A197">
        <v>196</v>
      </c>
      <c r="B197">
        <v>1</v>
      </c>
      <c r="C197">
        <v>1</v>
      </c>
      <c r="D197" t="s">
        <v>301</v>
      </c>
      <c r="E197" t="s">
        <v>17</v>
      </c>
      <c r="F197">
        <v>58</v>
      </c>
      <c r="G197">
        <v>0</v>
      </c>
      <c r="H197">
        <v>0</v>
      </c>
      <c r="I197" t="s">
        <v>63</v>
      </c>
      <c r="J197" s="3">
        <v>146.52080000000001</v>
      </c>
      <c r="K197" t="s">
        <v>302</v>
      </c>
      <c r="L197" t="s">
        <v>20</v>
      </c>
    </row>
    <row r="198" spans="1:12" x14ac:dyDescent="0.2">
      <c r="A198">
        <v>197</v>
      </c>
      <c r="B198">
        <v>0</v>
      </c>
      <c r="C198">
        <v>3</v>
      </c>
      <c r="D198" t="s">
        <v>303</v>
      </c>
      <c r="E198" t="s">
        <v>13</v>
      </c>
      <c r="G198">
        <v>0</v>
      </c>
      <c r="H198">
        <v>0</v>
      </c>
      <c r="I198">
        <v>368703</v>
      </c>
      <c r="J198" s="3">
        <v>7.75</v>
      </c>
      <c r="L198" t="s">
        <v>27</v>
      </c>
    </row>
    <row r="199" spans="1:12" x14ac:dyDescent="0.2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42</v>
      </c>
      <c r="G199">
        <v>0</v>
      </c>
      <c r="H199">
        <v>1</v>
      </c>
      <c r="I199">
        <v>4579</v>
      </c>
      <c r="J199" s="3">
        <v>8.4041999999999994</v>
      </c>
      <c r="L199" t="s">
        <v>15</v>
      </c>
    </row>
    <row r="200" spans="1:12" x14ac:dyDescent="0.2">
      <c r="A200">
        <v>199</v>
      </c>
      <c r="B200">
        <v>1</v>
      </c>
      <c r="C200">
        <v>3</v>
      </c>
      <c r="D200" t="s">
        <v>305</v>
      </c>
      <c r="E200" t="s">
        <v>17</v>
      </c>
      <c r="G200">
        <v>0</v>
      </c>
      <c r="H200">
        <v>0</v>
      </c>
      <c r="I200">
        <v>370370</v>
      </c>
      <c r="J200" s="3">
        <v>7.75</v>
      </c>
      <c r="L200" t="s">
        <v>27</v>
      </c>
    </row>
    <row r="201" spans="1:12" x14ac:dyDescent="0.2">
      <c r="A201">
        <v>200</v>
      </c>
      <c r="B201">
        <v>0</v>
      </c>
      <c r="C201">
        <v>2</v>
      </c>
      <c r="D201" t="s">
        <v>306</v>
      </c>
      <c r="E201" t="s">
        <v>17</v>
      </c>
      <c r="F201">
        <v>24</v>
      </c>
      <c r="G201">
        <v>0</v>
      </c>
      <c r="H201">
        <v>0</v>
      </c>
      <c r="I201">
        <v>248747</v>
      </c>
      <c r="J201" s="3">
        <v>13</v>
      </c>
      <c r="L201" t="s">
        <v>15</v>
      </c>
    </row>
    <row r="202" spans="1:12" x14ac:dyDescent="0.2">
      <c r="A202">
        <v>201</v>
      </c>
      <c r="B202">
        <v>0</v>
      </c>
      <c r="C202">
        <v>3</v>
      </c>
      <c r="D202" t="s">
        <v>307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 s="3">
        <v>9.5</v>
      </c>
      <c r="L202" t="s">
        <v>15</v>
      </c>
    </row>
    <row r="203" spans="1:12" x14ac:dyDescent="0.2">
      <c r="A203">
        <v>202</v>
      </c>
      <c r="B203">
        <v>0</v>
      </c>
      <c r="C203">
        <v>3</v>
      </c>
      <c r="D203" t="s">
        <v>308</v>
      </c>
      <c r="E203" t="s">
        <v>13</v>
      </c>
      <c r="G203">
        <v>8</v>
      </c>
      <c r="H203">
        <v>2</v>
      </c>
      <c r="I203" t="s">
        <v>251</v>
      </c>
      <c r="J203" s="3">
        <v>69.55</v>
      </c>
      <c r="L203" t="s">
        <v>15</v>
      </c>
    </row>
    <row r="204" spans="1:12" x14ac:dyDescent="0.2">
      <c r="A204">
        <v>203</v>
      </c>
      <c r="B204">
        <v>0</v>
      </c>
      <c r="C204">
        <v>3</v>
      </c>
      <c r="D204" t="s">
        <v>309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 s="3">
        <v>6.4958</v>
      </c>
      <c r="L204" t="s">
        <v>15</v>
      </c>
    </row>
    <row r="205" spans="1:12" x14ac:dyDescent="0.2">
      <c r="A205">
        <v>204</v>
      </c>
      <c r="B205">
        <v>0</v>
      </c>
      <c r="C205">
        <v>3</v>
      </c>
      <c r="D205" t="s">
        <v>310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 s="3">
        <v>7.2249999999999996</v>
      </c>
      <c r="L205" t="s">
        <v>20</v>
      </c>
    </row>
    <row r="206" spans="1:12" x14ac:dyDescent="0.2">
      <c r="A206">
        <v>205</v>
      </c>
      <c r="B206">
        <v>1</v>
      </c>
      <c r="C206">
        <v>3</v>
      </c>
      <c r="D206" t="s">
        <v>311</v>
      </c>
      <c r="E206" t="s">
        <v>13</v>
      </c>
      <c r="F206">
        <v>18</v>
      </c>
      <c r="G206">
        <v>0</v>
      </c>
      <c r="H206">
        <v>0</v>
      </c>
      <c r="I206" t="s">
        <v>312</v>
      </c>
      <c r="J206" s="3">
        <v>8.0500000000000007</v>
      </c>
      <c r="L206" t="s">
        <v>15</v>
      </c>
    </row>
    <row r="207" spans="1:12" x14ac:dyDescent="0.2">
      <c r="A207">
        <v>206</v>
      </c>
      <c r="B207">
        <v>0</v>
      </c>
      <c r="C207">
        <v>3</v>
      </c>
      <c r="D207" t="s">
        <v>313</v>
      </c>
      <c r="E207" t="s">
        <v>17</v>
      </c>
      <c r="F207">
        <v>2</v>
      </c>
      <c r="G207">
        <v>0</v>
      </c>
      <c r="H207">
        <v>1</v>
      </c>
      <c r="I207">
        <v>347054</v>
      </c>
      <c r="J207" s="3">
        <v>10.4625</v>
      </c>
      <c r="K207" t="s">
        <v>35</v>
      </c>
      <c r="L207" t="s">
        <v>15</v>
      </c>
    </row>
    <row r="208" spans="1:12" x14ac:dyDescent="0.2">
      <c r="A208">
        <v>207</v>
      </c>
      <c r="B208">
        <v>0</v>
      </c>
      <c r="C208">
        <v>3</v>
      </c>
      <c r="D208" t="s">
        <v>314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 s="3">
        <v>15.85</v>
      </c>
      <c r="L208" t="s">
        <v>15</v>
      </c>
    </row>
    <row r="209" spans="1:12" x14ac:dyDescent="0.2">
      <c r="A209">
        <v>208</v>
      </c>
      <c r="B209">
        <v>1</v>
      </c>
      <c r="C209">
        <v>3</v>
      </c>
      <c r="D209" t="s">
        <v>315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 s="3">
        <v>18.787500000000001</v>
      </c>
      <c r="L209" t="s">
        <v>20</v>
      </c>
    </row>
    <row r="210" spans="1:12" x14ac:dyDescent="0.2">
      <c r="A210">
        <v>209</v>
      </c>
      <c r="B210">
        <v>1</v>
      </c>
      <c r="C210">
        <v>3</v>
      </c>
      <c r="D210" t="s">
        <v>316</v>
      </c>
      <c r="E210" t="s">
        <v>17</v>
      </c>
      <c r="F210">
        <v>16</v>
      </c>
      <c r="G210">
        <v>0</v>
      </c>
      <c r="H210">
        <v>0</v>
      </c>
      <c r="I210">
        <v>367231</v>
      </c>
      <c r="J210" s="3">
        <v>7.75</v>
      </c>
      <c r="L210" t="s">
        <v>27</v>
      </c>
    </row>
    <row r="211" spans="1:12" x14ac:dyDescent="0.2">
      <c r="A211">
        <v>210</v>
      </c>
      <c r="B211">
        <v>1</v>
      </c>
      <c r="C211">
        <v>1</v>
      </c>
      <c r="D211" t="s">
        <v>317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 s="3">
        <v>31</v>
      </c>
      <c r="K211" t="s">
        <v>318</v>
      </c>
      <c r="L211" t="s">
        <v>20</v>
      </c>
    </row>
    <row r="212" spans="1:12" x14ac:dyDescent="0.2">
      <c r="A212">
        <v>211</v>
      </c>
      <c r="B212">
        <v>0</v>
      </c>
      <c r="C212">
        <v>3</v>
      </c>
      <c r="D212" t="s">
        <v>319</v>
      </c>
      <c r="E212" t="s">
        <v>13</v>
      </c>
      <c r="F212">
        <v>24</v>
      </c>
      <c r="G212">
        <v>0</v>
      </c>
      <c r="H212">
        <v>0</v>
      </c>
      <c r="I212" t="s">
        <v>320</v>
      </c>
      <c r="J212" s="3">
        <v>7.05</v>
      </c>
      <c r="L212" t="s">
        <v>15</v>
      </c>
    </row>
    <row r="213" spans="1:12" x14ac:dyDescent="0.2">
      <c r="A213">
        <v>212</v>
      </c>
      <c r="B213">
        <v>1</v>
      </c>
      <c r="C213">
        <v>2</v>
      </c>
      <c r="D213" t="s">
        <v>321</v>
      </c>
      <c r="E213" t="s">
        <v>17</v>
      </c>
      <c r="F213">
        <v>35</v>
      </c>
      <c r="G213">
        <v>0</v>
      </c>
      <c r="H213">
        <v>0</v>
      </c>
      <c r="I213" t="s">
        <v>322</v>
      </c>
      <c r="J213" s="3">
        <v>21</v>
      </c>
      <c r="L213" t="s">
        <v>15</v>
      </c>
    </row>
    <row r="214" spans="1:12" x14ac:dyDescent="0.2">
      <c r="A214">
        <v>213</v>
      </c>
      <c r="B214">
        <v>0</v>
      </c>
      <c r="C214">
        <v>3</v>
      </c>
      <c r="D214" t="s">
        <v>323</v>
      </c>
      <c r="E214" t="s">
        <v>13</v>
      </c>
      <c r="F214">
        <v>22</v>
      </c>
      <c r="G214">
        <v>0</v>
      </c>
      <c r="H214">
        <v>0</v>
      </c>
      <c r="I214" t="s">
        <v>324</v>
      </c>
      <c r="J214" s="3">
        <v>7.25</v>
      </c>
      <c r="L214" t="s">
        <v>15</v>
      </c>
    </row>
    <row r="215" spans="1:12" x14ac:dyDescent="0.2">
      <c r="A215">
        <v>214</v>
      </c>
      <c r="B215">
        <v>0</v>
      </c>
      <c r="C215">
        <v>2</v>
      </c>
      <c r="D215" t="s">
        <v>325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 s="3">
        <v>13</v>
      </c>
      <c r="L215" t="s">
        <v>15</v>
      </c>
    </row>
    <row r="216" spans="1:12" x14ac:dyDescent="0.2">
      <c r="A216">
        <v>215</v>
      </c>
      <c r="B216">
        <v>0</v>
      </c>
      <c r="C216">
        <v>3</v>
      </c>
      <c r="D216" t="s">
        <v>326</v>
      </c>
      <c r="E216" t="s">
        <v>13</v>
      </c>
      <c r="G216">
        <v>1</v>
      </c>
      <c r="H216">
        <v>0</v>
      </c>
      <c r="I216">
        <v>367229</v>
      </c>
      <c r="J216" s="3">
        <v>7.75</v>
      </c>
      <c r="L216" t="s">
        <v>27</v>
      </c>
    </row>
    <row r="217" spans="1:12" x14ac:dyDescent="0.2">
      <c r="A217">
        <v>216</v>
      </c>
      <c r="B217">
        <v>1</v>
      </c>
      <c r="C217">
        <v>1</v>
      </c>
      <c r="D217" t="s">
        <v>327</v>
      </c>
      <c r="E217" t="s">
        <v>17</v>
      </c>
      <c r="F217">
        <v>31</v>
      </c>
      <c r="G217">
        <v>1</v>
      </c>
      <c r="H217">
        <v>0</v>
      </c>
      <c r="I217">
        <v>35273</v>
      </c>
      <c r="J217" s="3">
        <v>113.27500000000001</v>
      </c>
      <c r="K217" t="s">
        <v>328</v>
      </c>
      <c r="L217" t="s">
        <v>20</v>
      </c>
    </row>
    <row r="218" spans="1:12" x14ac:dyDescent="0.2">
      <c r="A218">
        <v>217</v>
      </c>
      <c r="B218">
        <v>1</v>
      </c>
      <c r="C218">
        <v>3</v>
      </c>
      <c r="D218" t="s">
        <v>329</v>
      </c>
      <c r="E218" t="s">
        <v>17</v>
      </c>
      <c r="F218">
        <v>27</v>
      </c>
      <c r="G218">
        <v>0</v>
      </c>
      <c r="H218">
        <v>0</v>
      </c>
      <c r="I218" t="s">
        <v>330</v>
      </c>
      <c r="J218" s="3">
        <v>7.9249999999999998</v>
      </c>
      <c r="L218" t="s">
        <v>15</v>
      </c>
    </row>
    <row r="219" spans="1:12" x14ac:dyDescent="0.2">
      <c r="A219">
        <v>218</v>
      </c>
      <c r="B219">
        <v>0</v>
      </c>
      <c r="C219">
        <v>2</v>
      </c>
      <c r="D219" t="s">
        <v>331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 s="3">
        <v>27</v>
      </c>
      <c r="L219" t="s">
        <v>15</v>
      </c>
    </row>
    <row r="220" spans="1:12" x14ac:dyDescent="0.2">
      <c r="A220">
        <v>219</v>
      </c>
      <c r="B220">
        <v>1</v>
      </c>
      <c r="C220">
        <v>1</v>
      </c>
      <c r="D220" t="s">
        <v>332</v>
      </c>
      <c r="E220" t="s">
        <v>17</v>
      </c>
      <c r="F220">
        <v>32</v>
      </c>
      <c r="G220">
        <v>0</v>
      </c>
      <c r="H220">
        <v>0</v>
      </c>
      <c r="I220">
        <v>11813</v>
      </c>
      <c r="J220" s="3">
        <v>76.291700000000006</v>
      </c>
      <c r="K220" t="s">
        <v>333</v>
      </c>
      <c r="L220" t="s">
        <v>20</v>
      </c>
    </row>
    <row r="221" spans="1:12" x14ac:dyDescent="0.2">
      <c r="A221">
        <v>220</v>
      </c>
      <c r="B221">
        <v>0</v>
      </c>
      <c r="C221">
        <v>2</v>
      </c>
      <c r="D221" t="s">
        <v>334</v>
      </c>
      <c r="E221" t="s">
        <v>13</v>
      </c>
      <c r="F221">
        <v>30</v>
      </c>
      <c r="G221">
        <v>0</v>
      </c>
      <c r="H221">
        <v>0</v>
      </c>
      <c r="I221" t="s">
        <v>335</v>
      </c>
      <c r="J221" s="3">
        <v>10.5</v>
      </c>
      <c r="L221" t="s">
        <v>15</v>
      </c>
    </row>
    <row r="222" spans="1:12" x14ac:dyDescent="0.2">
      <c r="A222">
        <v>221</v>
      </c>
      <c r="B222">
        <v>1</v>
      </c>
      <c r="C222">
        <v>3</v>
      </c>
      <c r="D222" t="s">
        <v>336</v>
      </c>
      <c r="E222" t="s">
        <v>13</v>
      </c>
      <c r="F222">
        <v>16</v>
      </c>
      <c r="G222">
        <v>0</v>
      </c>
      <c r="H222">
        <v>0</v>
      </c>
      <c r="I222" t="s">
        <v>337</v>
      </c>
      <c r="J222" s="3">
        <v>8.0500000000000007</v>
      </c>
      <c r="L222" t="s">
        <v>15</v>
      </c>
    </row>
    <row r="223" spans="1:12" x14ac:dyDescent="0.2">
      <c r="A223">
        <v>222</v>
      </c>
      <c r="B223">
        <v>0</v>
      </c>
      <c r="C223">
        <v>2</v>
      </c>
      <c r="D223" t="s">
        <v>338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 s="3">
        <v>13</v>
      </c>
      <c r="L223" t="s">
        <v>15</v>
      </c>
    </row>
    <row r="224" spans="1:12" x14ac:dyDescent="0.2">
      <c r="A224">
        <v>223</v>
      </c>
      <c r="B224">
        <v>0</v>
      </c>
      <c r="C224">
        <v>3</v>
      </c>
      <c r="D224" t="s">
        <v>339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 s="3">
        <v>8.0500000000000007</v>
      </c>
      <c r="L224" t="s">
        <v>15</v>
      </c>
    </row>
    <row r="225" spans="1:12" x14ac:dyDescent="0.2">
      <c r="A225">
        <v>224</v>
      </c>
      <c r="B225">
        <v>0</v>
      </c>
      <c r="C225">
        <v>3</v>
      </c>
      <c r="D225" t="s">
        <v>340</v>
      </c>
      <c r="E225" t="s">
        <v>13</v>
      </c>
      <c r="G225">
        <v>0</v>
      </c>
      <c r="H225">
        <v>0</v>
      </c>
      <c r="I225">
        <v>349234</v>
      </c>
      <c r="J225" s="3">
        <v>7.8958000000000004</v>
      </c>
      <c r="L225" t="s">
        <v>15</v>
      </c>
    </row>
    <row r="226" spans="1:12" x14ac:dyDescent="0.2">
      <c r="A226">
        <v>225</v>
      </c>
      <c r="B226">
        <v>1</v>
      </c>
      <c r="C226">
        <v>1</v>
      </c>
      <c r="D226" t="s">
        <v>341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 s="3">
        <v>90</v>
      </c>
      <c r="K226" t="s">
        <v>342</v>
      </c>
      <c r="L226" t="s">
        <v>15</v>
      </c>
    </row>
    <row r="227" spans="1:12" x14ac:dyDescent="0.2">
      <c r="A227">
        <v>226</v>
      </c>
      <c r="B227">
        <v>0</v>
      </c>
      <c r="C227">
        <v>3</v>
      </c>
      <c r="D227" t="s">
        <v>343</v>
      </c>
      <c r="E227" t="s">
        <v>13</v>
      </c>
      <c r="F227">
        <v>22</v>
      </c>
      <c r="G227">
        <v>0</v>
      </c>
      <c r="H227">
        <v>0</v>
      </c>
      <c r="I227" t="s">
        <v>344</v>
      </c>
      <c r="J227" s="3">
        <v>9.35</v>
      </c>
      <c r="L227" t="s">
        <v>15</v>
      </c>
    </row>
    <row r="228" spans="1:12" x14ac:dyDescent="0.2">
      <c r="A228">
        <v>227</v>
      </c>
      <c r="B228">
        <v>1</v>
      </c>
      <c r="C228">
        <v>2</v>
      </c>
      <c r="D228" t="s">
        <v>345</v>
      </c>
      <c r="E228" t="s">
        <v>13</v>
      </c>
      <c r="F228">
        <v>19</v>
      </c>
      <c r="G228">
        <v>0</v>
      </c>
      <c r="H228">
        <v>0</v>
      </c>
      <c r="I228" t="s">
        <v>346</v>
      </c>
      <c r="J228" s="3">
        <v>10.5</v>
      </c>
      <c r="L228" t="s">
        <v>15</v>
      </c>
    </row>
    <row r="229" spans="1:12" x14ac:dyDescent="0.2">
      <c r="A229">
        <v>228</v>
      </c>
      <c r="B229">
        <v>0</v>
      </c>
      <c r="C229">
        <v>3</v>
      </c>
      <c r="D229" t="s">
        <v>347</v>
      </c>
      <c r="E229" t="s">
        <v>13</v>
      </c>
      <c r="F229">
        <v>20.5</v>
      </c>
      <c r="G229">
        <v>0</v>
      </c>
      <c r="H229">
        <v>0</v>
      </c>
      <c r="I229" t="s">
        <v>348</v>
      </c>
      <c r="J229" s="3">
        <v>7.25</v>
      </c>
      <c r="L229" t="s">
        <v>15</v>
      </c>
    </row>
    <row r="230" spans="1:12" x14ac:dyDescent="0.2">
      <c r="A230">
        <v>229</v>
      </c>
      <c r="B230">
        <v>0</v>
      </c>
      <c r="C230">
        <v>2</v>
      </c>
      <c r="D230" t="s">
        <v>349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 s="3">
        <v>13</v>
      </c>
      <c r="L230" t="s">
        <v>15</v>
      </c>
    </row>
    <row r="231" spans="1:12" x14ac:dyDescent="0.2">
      <c r="A231">
        <v>230</v>
      </c>
      <c r="B231">
        <v>0</v>
      </c>
      <c r="C231">
        <v>3</v>
      </c>
      <c r="D231" t="s">
        <v>350</v>
      </c>
      <c r="E231" t="s">
        <v>17</v>
      </c>
      <c r="G231">
        <v>3</v>
      </c>
      <c r="H231">
        <v>1</v>
      </c>
      <c r="I231">
        <v>4133</v>
      </c>
      <c r="J231" s="3">
        <v>25.466699999999999</v>
      </c>
      <c r="L231" t="s">
        <v>15</v>
      </c>
    </row>
    <row r="232" spans="1:12" x14ac:dyDescent="0.2">
      <c r="A232">
        <v>231</v>
      </c>
      <c r="B232">
        <v>1</v>
      </c>
      <c r="C232">
        <v>1</v>
      </c>
      <c r="D232" t="s">
        <v>351</v>
      </c>
      <c r="E232" t="s">
        <v>17</v>
      </c>
      <c r="F232">
        <v>35</v>
      </c>
      <c r="G232">
        <v>1</v>
      </c>
      <c r="H232">
        <v>0</v>
      </c>
      <c r="I232">
        <v>36973</v>
      </c>
      <c r="J232" s="3">
        <v>83.474999999999994</v>
      </c>
      <c r="K232" t="s">
        <v>110</v>
      </c>
      <c r="L232" t="s">
        <v>15</v>
      </c>
    </row>
    <row r="233" spans="1:12" x14ac:dyDescent="0.2">
      <c r="A233">
        <v>232</v>
      </c>
      <c r="B233">
        <v>0</v>
      </c>
      <c r="C233">
        <v>3</v>
      </c>
      <c r="D233" t="s">
        <v>352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 s="3">
        <v>7.7750000000000004</v>
      </c>
      <c r="L233" t="s">
        <v>15</v>
      </c>
    </row>
    <row r="234" spans="1:12" x14ac:dyDescent="0.2">
      <c r="A234">
        <v>233</v>
      </c>
      <c r="B234">
        <v>0</v>
      </c>
      <c r="C234">
        <v>2</v>
      </c>
      <c r="D234" t="s">
        <v>353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 s="3">
        <v>13.5</v>
      </c>
      <c r="L234" t="s">
        <v>15</v>
      </c>
    </row>
    <row r="235" spans="1:12" x14ac:dyDescent="0.2">
      <c r="A235">
        <v>234</v>
      </c>
      <c r="B235">
        <v>1</v>
      </c>
      <c r="C235">
        <v>3</v>
      </c>
      <c r="D235" t="s">
        <v>354</v>
      </c>
      <c r="E235" t="s">
        <v>17</v>
      </c>
      <c r="F235">
        <v>5</v>
      </c>
      <c r="G235">
        <v>4</v>
      </c>
      <c r="H235">
        <v>2</v>
      </c>
      <c r="I235">
        <v>347077</v>
      </c>
      <c r="J235" s="3">
        <v>31.387499999999999</v>
      </c>
      <c r="L235" t="s">
        <v>15</v>
      </c>
    </row>
    <row r="236" spans="1:12" x14ac:dyDescent="0.2">
      <c r="A236">
        <v>235</v>
      </c>
      <c r="B236">
        <v>0</v>
      </c>
      <c r="C236">
        <v>2</v>
      </c>
      <c r="D236" t="s">
        <v>355</v>
      </c>
      <c r="E236" t="s">
        <v>13</v>
      </c>
      <c r="F236">
        <v>24</v>
      </c>
      <c r="G236">
        <v>0</v>
      </c>
      <c r="H236">
        <v>0</v>
      </c>
      <c r="I236" t="s">
        <v>356</v>
      </c>
      <c r="J236" s="3">
        <v>10.5</v>
      </c>
      <c r="L236" t="s">
        <v>15</v>
      </c>
    </row>
    <row r="237" spans="1:12" x14ac:dyDescent="0.2">
      <c r="A237">
        <v>236</v>
      </c>
      <c r="B237">
        <v>0</v>
      </c>
      <c r="C237">
        <v>3</v>
      </c>
      <c r="D237" t="s">
        <v>357</v>
      </c>
      <c r="E237" t="s">
        <v>17</v>
      </c>
      <c r="G237">
        <v>0</v>
      </c>
      <c r="H237">
        <v>0</v>
      </c>
      <c r="I237" t="s">
        <v>358</v>
      </c>
      <c r="J237" s="3">
        <v>7.55</v>
      </c>
      <c r="L237" t="s">
        <v>15</v>
      </c>
    </row>
    <row r="238" spans="1:12" x14ac:dyDescent="0.2">
      <c r="A238">
        <v>237</v>
      </c>
      <c r="B238">
        <v>0</v>
      </c>
      <c r="C238">
        <v>2</v>
      </c>
      <c r="D238" t="s">
        <v>359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 s="3">
        <v>26</v>
      </c>
      <c r="L238" t="s">
        <v>15</v>
      </c>
    </row>
    <row r="239" spans="1:12" x14ac:dyDescent="0.2">
      <c r="A239">
        <v>238</v>
      </c>
      <c r="B239">
        <v>1</v>
      </c>
      <c r="C239">
        <v>2</v>
      </c>
      <c r="D239" t="s">
        <v>360</v>
      </c>
      <c r="E239" t="s">
        <v>17</v>
      </c>
      <c r="F239">
        <v>8</v>
      </c>
      <c r="G239">
        <v>0</v>
      </c>
      <c r="H239">
        <v>2</v>
      </c>
      <c r="I239" t="s">
        <v>361</v>
      </c>
      <c r="J239" s="3">
        <v>26.25</v>
      </c>
      <c r="L239" t="s">
        <v>15</v>
      </c>
    </row>
    <row r="240" spans="1:12" x14ac:dyDescent="0.2">
      <c r="A240">
        <v>239</v>
      </c>
      <c r="B240">
        <v>0</v>
      </c>
      <c r="C240">
        <v>2</v>
      </c>
      <c r="D240" t="s">
        <v>362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 s="3">
        <v>10.5</v>
      </c>
      <c r="L240" t="s">
        <v>15</v>
      </c>
    </row>
    <row r="241" spans="1:12" x14ac:dyDescent="0.2">
      <c r="A241">
        <v>240</v>
      </c>
      <c r="B241">
        <v>0</v>
      </c>
      <c r="C241">
        <v>2</v>
      </c>
      <c r="D241" t="s">
        <v>363</v>
      </c>
      <c r="E241" t="s">
        <v>13</v>
      </c>
      <c r="F241">
        <v>33</v>
      </c>
      <c r="G241">
        <v>0</v>
      </c>
      <c r="H241">
        <v>0</v>
      </c>
      <c r="I241" t="s">
        <v>364</v>
      </c>
      <c r="J241" s="3">
        <v>12.275</v>
      </c>
      <c r="L241" t="s">
        <v>15</v>
      </c>
    </row>
    <row r="242" spans="1:12" x14ac:dyDescent="0.2">
      <c r="A242">
        <v>241</v>
      </c>
      <c r="B242">
        <v>0</v>
      </c>
      <c r="C242">
        <v>3</v>
      </c>
      <c r="D242" t="s">
        <v>365</v>
      </c>
      <c r="E242" t="s">
        <v>17</v>
      </c>
      <c r="G242">
        <v>1</v>
      </c>
      <c r="H242">
        <v>0</v>
      </c>
      <c r="I242">
        <v>2665</v>
      </c>
      <c r="J242" s="3">
        <v>14.4542</v>
      </c>
      <c r="L242" t="s">
        <v>20</v>
      </c>
    </row>
    <row r="243" spans="1:12" x14ac:dyDescent="0.2">
      <c r="A243">
        <v>242</v>
      </c>
      <c r="B243">
        <v>1</v>
      </c>
      <c r="C243">
        <v>3</v>
      </c>
      <c r="D243" t="s">
        <v>366</v>
      </c>
      <c r="E243" t="s">
        <v>17</v>
      </c>
      <c r="G243">
        <v>1</v>
      </c>
      <c r="H243">
        <v>0</v>
      </c>
      <c r="I243">
        <v>367230</v>
      </c>
      <c r="J243" s="3">
        <v>15.5</v>
      </c>
      <c r="L243" t="s">
        <v>27</v>
      </c>
    </row>
    <row r="244" spans="1:12" x14ac:dyDescent="0.2">
      <c r="A244">
        <v>243</v>
      </c>
      <c r="B244">
        <v>0</v>
      </c>
      <c r="C244">
        <v>2</v>
      </c>
      <c r="D244" t="s">
        <v>367</v>
      </c>
      <c r="E244" t="s">
        <v>13</v>
      </c>
      <c r="F244">
        <v>29</v>
      </c>
      <c r="G244">
        <v>0</v>
      </c>
      <c r="H244">
        <v>0</v>
      </c>
      <c r="I244" t="s">
        <v>368</v>
      </c>
      <c r="J244" s="3">
        <v>10.5</v>
      </c>
      <c r="L244" t="s">
        <v>15</v>
      </c>
    </row>
    <row r="245" spans="1:12" x14ac:dyDescent="0.2">
      <c r="A245">
        <v>244</v>
      </c>
      <c r="B245">
        <v>0</v>
      </c>
      <c r="C245">
        <v>3</v>
      </c>
      <c r="D245" t="s">
        <v>369</v>
      </c>
      <c r="E245" t="s">
        <v>13</v>
      </c>
      <c r="F245">
        <v>22</v>
      </c>
      <c r="G245">
        <v>0</v>
      </c>
      <c r="H245">
        <v>0</v>
      </c>
      <c r="I245" t="s">
        <v>370</v>
      </c>
      <c r="J245" s="3">
        <v>7.125</v>
      </c>
      <c r="L245" t="s">
        <v>15</v>
      </c>
    </row>
    <row r="246" spans="1:12" x14ac:dyDescent="0.2">
      <c r="A246">
        <v>245</v>
      </c>
      <c r="B246">
        <v>0</v>
      </c>
      <c r="C246">
        <v>3</v>
      </c>
      <c r="D246" t="s">
        <v>371</v>
      </c>
      <c r="E246" t="s">
        <v>13</v>
      </c>
      <c r="F246">
        <v>30</v>
      </c>
      <c r="G246">
        <v>0</v>
      </c>
      <c r="H246">
        <v>0</v>
      </c>
      <c r="I246">
        <v>2694</v>
      </c>
      <c r="J246" s="3">
        <v>7.2249999999999996</v>
      </c>
      <c r="L246" t="s">
        <v>20</v>
      </c>
    </row>
    <row r="247" spans="1:12" x14ac:dyDescent="0.2">
      <c r="A247">
        <v>246</v>
      </c>
      <c r="B247">
        <v>0</v>
      </c>
      <c r="C247">
        <v>1</v>
      </c>
      <c r="D247" t="s">
        <v>372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 s="3">
        <v>90</v>
      </c>
      <c r="K247" t="s">
        <v>373</v>
      </c>
      <c r="L247" t="s">
        <v>27</v>
      </c>
    </row>
    <row r="248" spans="1:12" x14ac:dyDescent="0.2">
      <c r="A248">
        <v>247</v>
      </c>
      <c r="B248">
        <v>0</v>
      </c>
      <c r="C248">
        <v>3</v>
      </c>
      <c r="D248" t="s">
        <v>374</v>
      </c>
      <c r="E248" t="s">
        <v>17</v>
      </c>
      <c r="F248">
        <v>25</v>
      </c>
      <c r="G248">
        <v>0</v>
      </c>
      <c r="H248">
        <v>0</v>
      </c>
      <c r="I248">
        <v>347071</v>
      </c>
      <c r="J248" s="3">
        <v>7.7750000000000004</v>
      </c>
      <c r="L248" t="s">
        <v>15</v>
      </c>
    </row>
    <row r="249" spans="1:12" x14ac:dyDescent="0.2">
      <c r="A249">
        <v>248</v>
      </c>
      <c r="B249">
        <v>1</v>
      </c>
      <c r="C249">
        <v>2</v>
      </c>
      <c r="D249" t="s">
        <v>375</v>
      </c>
      <c r="E249" t="s">
        <v>17</v>
      </c>
      <c r="F249">
        <v>24</v>
      </c>
      <c r="G249">
        <v>0</v>
      </c>
      <c r="H249">
        <v>2</v>
      </c>
      <c r="I249">
        <v>250649</v>
      </c>
      <c r="J249" s="3">
        <v>14.5</v>
      </c>
      <c r="L249" t="s">
        <v>15</v>
      </c>
    </row>
    <row r="250" spans="1:12" x14ac:dyDescent="0.2">
      <c r="A250">
        <v>249</v>
      </c>
      <c r="B250">
        <v>1</v>
      </c>
      <c r="C250">
        <v>1</v>
      </c>
      <c r="D250" t="s">
        <v>376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 s="3">
        <v>52.554200000000002</v>
      </c>
      <c r="K250" t="s">
        <v>377</v>
      </c>
      <c r="L250" t="s">
        <v>15</v>
      </c>
    </row>
    <row r="251" spans="1:12" x14ac:dyDescent="0.2">
      <c r="A251">
        <v>250</v>
      </c>
      <c r="B251">
        <v>0</v>
      </c>
      <c r="C251">
        <v>2</v>
      </c>
      <c r="D251" t="s">
        <v>378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 s="3">
        <v>26</v>
      </c>
      <c r="L251" t="s">
        <v>15</v>
      </c>
    </row>
    <row r="252" spans="1:12" x14ac:dyDescent="0.2">
      <c r="A252">
        <v>251</v>
      </c>
      <c r="B252">
        <v>0</v>
      </c>
      <c r="C252">
        <v>3</v>
      </c>
      <c r="D252" t="s">
        <v>379</v>
      </c>
      <c r="E252" t="s">
        <v>13</v>
      </c>
      <c r="G252">
        <v>0</v>
      </c>
      <c r="H252">
        <v>0</v>
      </c>
      <c r="I252">
        <v>362316</v>
      </c>
      <c r="J252" s="3">
        <v>7.25</v>
      </c>
      <c r="L252" t="s">
        <v>15</v>
      </c>
    </row>
    <row r="253" spans="1:12" x14ac:dyDescent="0.2">
      <c r="A253">
        <v>252</v>
      </c>
      <c r="B253">
        <v>0</v>
      </c>
      <c r="C253">
        <v>3</v>
      </c>
      <c r="D253" t="s">
        <v>380</v>
      </c>
      <c r="E253" t="s">
        <v>17</v>
      </c>
      <c r="F253">
        <v>29</v>
      </c>
      <c r="G253">
        <v>1</v>
      </c>
      <c r="H253">
        <v>1</v>
      </c>
      <c r="I253">
        <v>347054</v>
      </c>
      <c r="J253" s="3">
        <v>10.4625</v>
      </c>
      <c r="K253" t="s">
        <v>35</v>
      </c>
      <c r="L253" t="s">
        <v>15</v>
      </c>
    </row>
    <row r="254" spans="1:12" x14ac:dyDescent="0.2">
      <c r="A254">
        <v>253</v>
      </c>
      <c r="B254">
        <v>0</v>
      </c>
      <c r="C254">
        <v>1</v>
      </c>
      <c r="D254" t="s">
        <v>381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 s="3">
        <v>26.55</v>
      </c>
      <c r="K254" t="s">
        <v>382</v>
      </c>
      <c r="L254" t="s">
        <v>15</v>
      </c>
    </row>
    <row r="255" spans="1:12" x14ac:dyDescent="0.2">
      <c r="A255">
        <v>254</v>
      </c>
      <c r="B255">
        <v>0</v>
      </c>
      <c r="C255">
        <v>3</v>
      </c>
      <c r="D255" t="s">
        <v>383</v>
      </c>
      <c r="E255" t="s">
        <v>13</v>
      </c>
      <c r="F255">
        <v>30</v>
      </c>
      <c r="G255">
        <v>1</v>
      </c>
      <c r="H255">
        <v>0</v>
      </c>
      <c r="I255" t="s">
        <v>384</v>
      </c>
      <c r="J255" s="3">
        <v>16.100000000000001</v>
      </c>
      <c r="L255" t="s">
        <v>15</v>
      </c>
    </row>
    <row r="256" spans="1:12" x14ac:dyDescent="0.2">
      <c r="A256">
        <v>255</v>
      </c>
      <c r="B256">
        <v>0</v>
      </c>
      <c r="C256">
        <v>3</v>
      </c>
      <c r="D256" t="s">
        <v>385</v>
      </c>
      <c r="E256" t="s">
        <v>17</v>
      </c>
      <c r="F256">
        <v>41</v>
      </c>
      <c r="G256">
        <v>0</v>
      </c>
      <c r="H256">
        <v>2</v>
      </c>
      <c r="I256">
        <v>370129</v>
      </c>
      <c r="J256" s="3">
        <v>20.212499999999999</v>
      </c>
      <c r="L256" t="s">
        <v>15</v>
      </c>
    </row>
    <row r="257" spans="1:12" x14ac:dyDescent="0.2">
      <c r="A257">
        <v>256</v>
      </c>
      <c r="B257">
        <v>1</v>
      </c>
      <c r="C257">
        <v>3</v>
      </c>
      <c r="D257" t="s">
        <v>386</v>
      </c>
      <c r="E257" t="s">
        <v>17</v>
      </c>
      <c r="F257">
        <v>29</v>
      </c>
      <c r="G257">
        <v>0</v>
      </c>
      <c r="H257">
        <v>2</v>
      </c>
      <c r="I257">
        <v>2650</v>
      </c>
      <c r="J257" s="3">
        <v>15.245799999999999</v>
      </c>
      <c r="L257" t="s">
        <v>20</v>
      </c>
    </row>
    <row r="258" spans="1:12" x14ac:dyDescent="0.2">
      <c r="A258">
        <v>257</v>
      </c>
      <c r="B258">
        <v>1</v>
      </c>
      <c r="C258">
        <v>1</v>
      </c>
      <c r="D258" t="s">
        <v>387</v>
      </c>
      <c r="E258" t="s">
        <v>17</v>
      </c>
      <c r="G258">
        <v>0</v>
      </c>
      <c r="H258">
        <v>0</v>
      </c>
      <c r="I258" t="s">
        <v>388</v>
      </c>
      <c r="J258" s="3">
        <v>79.2</v>
      </c>
      <c r="L258" t="s">
        <v>20</v>
      </c>
    </row>
    <row r="259" spans="1:12" x14ac:dyDescent="0.2">
      <c r="A259">
        <v>258</v>
      </c>
      <c r="B259">
        <v>1</v>
      </c>
      <c r="C259">
        <v>1</v>
      </c>
      <c r="D259" t="s">
        <v>389</v>
      </c>
      <c r="E259" t="s">
        <v>17</v>
      </c>
      <c r="F259">
        <v>30</v>
      </c>
      <c r="G259">
        <v>0</v>
      </c>
      <c r="H259">
        <v>0</v>
      </c>
      <c r="I259">
        <v>110152</v>
      </c>
      <c r="J259" s="3">
        <v>86.5</v>
      </c>
      <c r="K259" t="s">
        <v>390</v>
      </c>
      <c r="L259" t="s">
        <v>15</v>
      </c>
    </row>
    <row r="260" spans="1:12" x14ac:dyDescent="0.2">
      <c r="A260">
        <v>259</v>
      </c>
      <c r="B260">
        <v>1</v>
      </c>
      <c r="C260">
        <v>1</v>
      </c>
      <c r="D260" t="s">
        <v>391</v>
      </c>
      <c r="E260" t="s">
        <v>17</v>
      </c>
      <c r="F260">
        <v>35</v>
      </c>
      <c r="G260">
        <v>0</v>
      </c>
      <c r="H260">
        <v>0</v>
      </c>
      <c r="I260" t="s">
        <v>392</v>
      </c>
      <c r="J260" s="3">
        <v>512.32920000000001</v>
      </c>
      <c r="L260" t="s">
        <v>20</v>
      </c>
    </row>
    <row r="261" spans="1:12" x14ac:dyDescent="0.2">
      <c r="A261">
        <v>260</v>
      </c>
      <c r="B261">
        <v>1</v>
      </c>
      <c r="C261">
        <v>2</v>
      </c>
      <c r="D261" t="s">
        <v>393</v>
      </c>
      <c r="E261" t="s">
        <v>17</v>
      </c>
      <c r="F261">
        <v>50</v>
      </c>
      <c r="G261">
        <v>0</v>
      </c>
      <c r="H261">
        <v>1</v>
      </c>
      <c r="I261">
        <v>230433</v>
      </c>
      <c r="J261" s="3">
        <v>26</v>
      </c>
      <c r="L261" t="s">
        <v>15</v>
      </c>
    </row>
    <row r="262" spans="1:12" x14ac:dyDescent="0.2">
      <c r="A262">
        <v>261</v>
      </c>
      <c r="B262">
        <v>0</v>
      </c>
      <c r="C262">
        <v>3</v>
      </c>
      <c r="D262" t="s">
        <v>394</v>
      </c>
      <c r="E262" t="s">
        <v>13</v>
      </c>
      <c r="G262">
        <v>0</v>
      </c>
      <c r="H262">
        <v>0</v>
      </c>
      <c r="I262">
        <v>384461</v>
      </c>
      <c r="J262" s="3">
        <v>7.75</v>
      </c>
      <c r="L262" t="s">
        <v>27</v>
      </c>
    </row>
    <row r="263" spans="1:12" x14ac:dyDescent="0.2">
      <c r="A263">
        <v>262</v>
      </c>
      <c r="B263">
        <v>1</v>
      </c>
      <c r="C263">
        <v>3</v>
      </c>
      <c r="D263" t="s">
        <v>395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 s="3">
        <v>31.387499999999999</v>
      </c>
      <c r="L263" t="s">
        <v>15</v>
      </c>
    </row>
    <row r="264" spans="1:12" x14ac:dyDescent="0.2">
      <c r="A264">
        <v>263</v>
      </c>
      <c r="B264">
        <v>0</v>
      </c>
      <c r="C264">
        <v>1</v>
      </c>
      <c r="D264" t="s">
        <v>396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 s="3">
        <v>79.650000000000006</v>
      </c>
      <c r="K264" t="s">
        <v>397</v>
      </c>
      <c r="L264" t="s">
        <v>15</v>
      </c>
    </row>
    <row r="265" spans="1:12" x14ac:dyDescent="0.2">
      <c r="A265">
        <v>264</v>
      </c>
      <c r="B265">
        <v>0</v>
      </c>
      <c r="C265">
        <v>1</v>
      </c>
      <c r="D265" t="s">
        <v>398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 s="3">
        <v>0</v>
      </c>
      <c r="K265" t="s">
        <v>399</v>
      </c>
      <c r="L265" t="s">
        <v>15</v>
      </c>
    </row>
    <row r="266" spans="1:12" x14ac:dyDescent="0.2">
      <c r="A266">
        <v>265</v>
      </c>
      <c r="B266">
        <v>0</v>
      </c>
      <c r="C266">
        <v>3</v>
      </c>
      <c r="D266" t="s">
        <v>400</v>
      </c>
      <c r="E266" t="s">
        <v>17</v>
      </c>
      <c r="G266">
        <v>0</v>
      </c>
      <c r="H266">
        <v>0</v>
      </c>
      <c r="I266">
        <v>382649</v>
      </c>
      <c r="J266" s="3">
        <v>7.75</v>
      </c>
      <c r="L266" t="s">
        <v>27</v>
      </c>
    </row>
    <row r="267" spans="1:12" x14ac:dyDescent="0.2">
      <c r="A267">
        <v>266</v>
      </c>
      <c r="B267">
        <v>0</v>
      </c>
      <c r="C267">
        <v>2</v>
      </c>
      <c r="D267" t="s">
        <v>401</v>
      </c>
      <c r="E267" t="s">
        <v>13</v>
      </c>
      <c r="F267">
        <v>36</v>
      </c>
      <c r="G267">
        <v>0</v>
      </c>
      <c r="H267">
        <v>0</v>
      </c>
      <c r="I267" t="s">
        <v>402</v>
      </c>
      <c r="J267" s="3">
        <v>10.5</v>
      </c>
      <c r="L267" t="s">
        <v>15</v>
      </c>
    </row>
    <row r="268" spans="1:12" x14ac:dyDescent="0.2">
      <c r="A268">
        <v>267</v>
      </c>
      <c r="B268">
        <v>0</v>
      </c>
      <c r="C268">
        <v>3</v>
      </c>
      <c r="D268" t="s">
        <v>403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 s="3">
        <v>39.6875</v>
      </c>
      <c r="L268" t="s">
        <v>15</v>
      </c>
    </row>
    <row r="269" spans="1:12" x14ac:dyDescent="0.2">
      <c r="A269">
        <v>268</v>
      </c>
      <c r="B269">
        <v>1</v>
      </c>
      <c r="C269">
        <v>3</v>
      </c>
      <c r="D269" t="s">
        <v>404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 s="3">
        <v>7.7750000000000004</v>
      </c>
      <c r="L269" t="s">
        <v>15</v>
      </c>
    </row>
    <row r="270" spans="1:12" x14ac:dyDescent="0.2">
      <c r="A270">
        <v>269</v>
      </c>
      <c r="B270">
        <v>1</v>
      </c>
      <c r="C270">
        <v>1</v>
      </c>
      <c r="D270" t="s">
        <v>405</v>
      </c>
      <c r="E270" t="s">
        <v>17</v>
      </c>
      <c r="F270">
        <v>58</v>
      </c>
      <c r="G270">
        <v>0</v>
      </c>
      <c r="H270">
        <v>1</v>
      </c>
      <c r="I270" t="s">
        <v>406</v>
      </c>
      <c r="J270" s="3">
        <v>153.46250000000001</v>
      </c>
      <c r="K270" t="s">
        <v>407</v>
      </c>
      <c r="L270" t="s">
        <v>15</v>
      </c>
    </row>
    <row r="271" spans="1:12" x14ac:dyDescent="0.2">
      <c r="A271">
        <v>270</v>
      </c>
      <c r="B271">
        <v>1</v>
      </c>
      <c r="C271">
        <v>1</v>
      </c>
      <c r="D271" t="s">
        <v>408</v>
      </c>
      <c r="E271" t="s">
        <v>17</v>
      </c>
      <c r="F271">
        <v>35</v>
      </c>
      <c r="G271">
        <v>0</v>
      </c>
      <c r="H271">
        <v>0</v>
      </c>
      <c r="I271" t="s">
        <v>409</v>
      </c>
      <c r="J271" s="3">
        <v>135.63329999999999</v>
      </c>
      <c r="K271" t="s">
        <v>410</v>
      </c>
      <c r="L271" t="s">
        <v>15</v>
      </c>
    </row>
    <row r="272" spans="1:12" x14ac:dyDescent="0.2">
      <c r="A272">
        <v>271</v>
      </c>
      <c r="B272">
        <v>0</v>
      </c>
      <c r="C272">
        <v>1</v>
      </c>
      <c r="D272" t="s">
        <v>411</v>
      </c>
      <c r="E272" t="s">
        <v>13</v>
      </c>
      <c r="G272">
        <v>0</v>
      </c>
      <c r="H272">
        <v>0</v>
      </c>
      <c r="I272">
        <v>113798</v>
      </c>
      <c r="J272" s="3">
        <v>31</v>
      </c>
      <c r="L272" t="s">
        <v>15</v>
      </c>
    </row>
    <row r="273" spans="1:12" x14ac:dyDescent="0.2">
      <c r="A273">
        <v>272</v>
      </c>
      <c r="B273">
        <v>1</v>
      </c>
      <c r="C273">
        <v>3</v>
      </c>
      <c r="D273" t="s">
        <v>412</v>
      </c>
      <c r="E273" t="s">
        <v>13</v>
      </c>
      <c r="F273">
        <v>25</v>
      </c>
      <c r="G273">
        <v>0</v>
      </c>
      <c r="H273">
        <v>0</v>
      </c>
      <c r="I273" t="s">
        <v>280</v>
      </c>
      <c r="J273" s="3">
        <v>0</v>
      </c>
      <c r="L273" t="s">
        <v>15</v>
      </c>
    </row>
    <row r="274" spans="1:12" x14ac:dyDescent="0.2">
      <c r="A274">
        <v>273</v>
      </c>
      <c r="B274">
        <v>1</v>
      </c>
      <c r="C274">
        <v>2</v>
      </c>
      <c r="D274" t="s">
        <v>413</v>
      </c>
      <c r="E274" t="s">
        <v>17</v>
      </c>
      <c r="F274">
        <v>41</v>
      </c>
      <c r="G274">
        <v>0</v>
      </c>
      <c r="H274">
        <v>1</v>
      </c>
      <c r="I274">
        <v>250644</v>
      </c>
      <c r="J274" s="3">
        <v>19.5</v>
      </c>
      <c r="L274" t="s">
        <v>15</v>
      </c>
    </row>
    <row r="275" spans="1:12" x14ac:dyDescent="0.2">
      <c r="A275">
        <v>274</v>
      </c>
      <c r="B275">
        <v>0</v>
      </c>
      <c r="C275">
        <v>1</v>
      </c>
      <c r="D275" t="s">
        <v>414</v>
      </c>
      <c r="E275" t="s">
        <v>13</v>
      </c>
      <c r="F275">
        <v>37</v>
      </c>
      <c r="G275">
        <v>0</v>
      </c>
      <c r="H275">
        <v>1</v>
      </c>
      <c r="I275" t="s">
        <v>415</v>
      </c>
      <c r="J275" s="3">
        <v>29.7</v>
      </c>
      <c r="K275" t="s">
        <v>416</v>
      </c>
      <c r="L275" t="s">
        <v>20</v>
      </c>
    </row>
    <row r="276" spans="1:12" x14ac:dyDescent="0.2">
      <c r="A276">
        <v>275</v>
      </c>
      <c r="B276">
        <v>1</v>
      </c>
      <c r="C276">
        <v>3</v>
      </c>
      <c r="D276" t="s">
        <v>417</v>
      </c>
      <c r="E276" t="s">
        <v>17</v>
      </c>
      <c r="G276">
        <v>0</v>
      </c>
      <c r="H276">
        <v>0</v>
      </c>
      <c r="I276">
        <v>370375</v>
      </c>
      <c r="J276" s="3">
        <v>7.75</v>
      </c>
      <c r="L276" t="s">
        <v>27</v>
      </c>
    </row>
    <row r="277" spans="1:12" x14ac:dyDescent="0.2">
      <c r="A277">
        <v>276</v>
      </c>
      <c r="B277">
        <v>1</v>
      </c>
      <c r="C277">
        <v>1</v>
      </c>
      <c r="D277" t="s">
        <v>418</v>
      </c>
      <c r="E277" t="s">
        <v>17</v>
      </c>
      <c r="F277">
        <v>63</v>
      </c>
      <c r="G277">
        <v>1</v>
      </c>
      <c r="H277">
        <v>0</v>
      </c>
      <c r="I277">
        <v>13502</v>
      </c>
      <c r="J277" s="3">
        <v>77.958299999999994</v>
      </c>
      <c r="K277" t="s">
        <v>419</v>
      </c>
      <c r="L277" t="s">
        <v>15</v>
      </c>
    </row>
    <row r="278" spans="1:12" x14ac:dyDescent="0.2">
      <c r="A278">
        <v>277</v>
      </c>
      <c r="B278">
        <v>0</v>
      </c>
      <c r="C278">
        <v>3</v>
      </c>
      <c r="D278" t="s">
        <v>420</v>
      </c>
      <c r="E278" t="s">
        <v>17</v>
      </c>
      <c r="F278">
        <v>45</v>
      </c>
      <c r="G278">
        <v>0</v>
      </c>
      <c r="H278">
        <v>0</v>
      </c>
      <c r="I278">
        <v>347073</v>
      </c>
      <c r="J278" s="3">
        <v>7.75</v>
      </c>
      <c r="L278" t="s">
        <v>15</v>
      </c>
    </row>
    <row r="279" spans="1:12" x14ac:dyDescent="0.2">
      <c r="A279">
        <v>278</v>
      </c>
      <c r="B279">
        <v>0</v>
      </c>
      <c r="C279">
        <v>2</v>
      </c>
      <c r="D279" t="s">
        <v>421</v>
      </c>
      <c r="E279" t="s">
        <v>13</v>
      </c>
      <c r="G279">
        <v>0</v>
      </c>
      <c r="H279">
        <v>0</v>
      </c>
      <c r="I279">
        <v>239853</v>
      </c>
      <c r="J279" s="3">
        <v>0</v>
      </c>
      <c r="L279" t="s">
        <v>15</v>
      </c>
    </row>
    <row r="280" spans="1:12" x14ac:dyDescent="0.2">
      <c r="A280">
        <v>279</v>
      </c>
      <c r="B280">
        <v>0</v>
      </c>
      <c r="C280">
        <v>3</v>
      </c>
      <c r="D280" t="s">
        <v>422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 s="3">
        <v>29.125</v>
      </c>
      <c r="L280" t="s">
        <v>27</v>
      </c>
    </row>
    <row r="281" spans="1:12" x14ac:dyDescent="0.2">
      <c r="A281">
        <v>280</v>
      </c>
      <c r="B281">
        <v>1</v>
      </c>
      <c r="C281">
        <v>3</v>
      </c>
      <c r="D281" t="s">
        <v>423</v>
      </c>
      <c r="E281" t="s">
        <v>17</v>
      </c>
      <c r="F281">
        <v>35</v>
      </c>
      <c r="G281">
        <v>1</v>
      </c>
      <c r="H281">
        <v>1</v>
      </c>
      <c r="I281" t="s">
        <v>424</v>
      </c>
      <c r="J281" s="3">
        <v>20.25</v>
      </c>
      <c r="L281" t="s">
        <v>15</v>
      </c>
    </row>
    <row r="282" spans="1:12" x14ac:dyDescent="0.2">
      <c r="A282">
        <v>281</v>
      </c>
      <c r="B282">
        <v>0</v>
      </c>
      <c r="C282">
        <v>3</v>
      </c>
      <c r="D282" t="s">
        <v>425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 s="3">
        <v>7.75</v>
      </c>
      <c r="L282" t="s">
        <v>27</v>
      </c>
    </row>
    <row r="283" spans="1:12" x14ac:dyDescent="0.2">
      <c r="A283">
        <v>282</v>
      </c>
      <c r="B283">
        <v>0</v>
      </c>
      <c r="C283">
        <v>3</v>
      </c>
      <c r="D283" t="s">
        <v>426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 s="3">
        <v>7.8541999999999996</v>
      </c>
      <c r="L283" t="s">
        <v>15</v>
      </c>
    </row>
    <row r="284" spans="1:12" x14ac:dyDescent="0.2">
      <c r="A284">
        <v>283</v>
      </c>
      <c r="B284">
        <v>0</v>
      </c>
      <c r="C284">
        <v>3</v>
      </c>
      <c r="D284" t="s">
        <v>427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 s="3">
        <v>9.5</v>
      </c>
      <c r="L284" t="s">
        <v>15</v>
      </c>
    </row>
    <row r="285" spans="1:12" x14ac:dyDescent="0.2">
      <c r="A285">
        <v>284</v>
      </c>
      <c r="B285">
        <v>1</v>
      </c>
      <c r="C285">
        <v>3</v>
      </c>
      <c r="D285" t="s">
        <v>428</v>
      </c>
      <c r="E285" t="s">
        <v>13</v>
      </c>
      <c r="F285">
        <v>19</v>
      </c>
      <c r="G285">
        <v>0</v>
      </c>
      <c r="H285">
        <v>0</v>
      </c>
      <c r="I285" t="s">
        <v>429</v>
      </c>
      <c r="J285" s="3">
        <v>8.0500000000000007</v>
      </c>
      <c r="L285" t="s">
        <v>15</v>
      </c>
    </row>
    <row r="286" spans="1:12" x14ac:dyDescent="0.2">
      <c r="A286">
        <v>285</v>
      </c>
      <c r="B286">
        <v>0</v>
      </c>
      <c r="C286">
        <v>1</v>
      </c>
      <c r="D286" t="s">
        <v>430</v>
      </c>
      <c r="E286" t="s">
        <v>13</v>
      </c>
      <c r="G286">
        <v>0</v>
      </c>
      <c r="H286">
        <v>0</v>
      </c>
      <c r="I286">
        <v>113056</v>
      </c>
      <c r="J286" s="3">
        <v>26</v>
      </c>
      <c r="K286" t="s">
        <v>431</v>
      </c>
      <c r="L286" t="s">
        <v>15</v>
      </c>
    </row>
    <row r="287" spans="1:12" x14ac:dyDescent="0.2">
      <c r="A287">
        <v>286</v>
      </c>
      <c r="B287">
        <v>0</v>
      </c>
      <c r="C287">
        <v>3</v>
      </c>
      <c r="D287" t="s">
        <v>432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 s="3">
        <v>8.6624999999999996</v>
      </c>
      <c r="L287" t="s">
        <v>20</v>
      </c>
    </row>
    <row r="288" spans="1:12" x14ac:dyDescent="0.2">
      <c r="A288">
        <v>287</v>
      </c>
      <c r="B288">
        <v>1</v>
      </c>
      <c r="C288">
        <v>3</v>
      </c>
      <c r="D288" t="s">
        <v>433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 s="3">
        <v>9.5</v>
      </c>
      <c r="L288" t="s">
        <v>15</v>
      </c>
    </row>
    <row r="289" spans="1:12" x14ac:dyDescent="0.2">
      <c r="A289">
        <v>288</v>
      </c>
      <c r="B289">
        <v>0</v>
      </c>
      <c r="C289">
        <v>3</v>
      </c>
      <c r="D289" t="s">
        <v>434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 s="3">
        <v>7.8958000000000004</v>
      </c>
      <c r="L289" t="s">
        <v>15</v>
      </c>
    </row>
    <row r="290" spans="1:12" x14ac:dyDescent="0.2">
      <c r="A290">
        <v>289</v>
      </c>
      <c r="B290">
        <v>1</v>
      </c>
      <c r="C290">
        <v>2</v>
      </c>
      <c r="D290" t="s">
        <v>435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 s="3">
        <v>13</v>
      </c>
      <c r="L290" t="s">
        <v>15</v>
      </c>
    </row>
    <row r="291" spans="1:12" x14ac:dyDescent="0.2">
      <c r="A291">
        <v>290</v>
      </c>
      <c r="B291">
        <v>1</v>
      </c>
      <c r="C291">
        <v>3</v>
      </c>
      <c r="D291" t="s">
        <v>436</v>
      </c>
      <c r="E291" t="s">
        <v>17</v>
      </c>
      <c r="F291">
        <v>22</v>
      </c>
      <c r="G291">
        <v>0</v>
      </c>
      <c r="H291">
        <v>0</v>
      </c>
      <c r="I291">
        <v>370373</v>
      </c>
      <c r="J291" s="3">
        <v>7.75</v>
      </c>
      <c r="L291" t="s">
        <v>27</v>
      </c>
    </row>
    <row r="292" spans="1:12" x14ac:dyDescent="0.2">
      <c r="A292">
        <v>291</v>
      </c>
      <c r="B292">
        <v>1</v>
      </c>
      <c r="C292">
        <v>1</v>
      </c>
      <c r="D292" t="s">
        <v>437</v>
      </c>
      <c r="E292" t="s">
        <v>17</v>
      </c>
      <c r="F292">
        <v>26</v>
      </c>
      <c r="G292">
        <v>0</v>
      </c>
      <c r="H292">
        <v>0</v>
      </c>
      <c r="I292">
        <v>19877</v>
      </c>
      <c r="J292" s="3">
        <v>78.849999999999994</v>
      </c>
      <c r="L292" t="s">
        <v>15</v>
      </c>
    </row>
    <row r="293" spans="1:12" x14ac:dyDescent="0.2">
      <c r="A293">
        <v>292</v>
      </c>
      <c r="B293">
        <v>1</v>
      </c>
      <c r="C293">
        <v>1</v>
      </c>
      <c r="D293" t="s">
        <v>438</v>
      </c>
      <c r="E293" t="s">
        <v>17</v>
      </c>
      <c r="F293">
        <v>19</v>
      </c>
      <c r="G293">
        <v>1</v>
      </c>
      <c r="H293">
        <v>0</v>
      </c>
      <c r="I293">
        <v>11967</v>
      </c>
      <c r="J293" s="3">
        <v>91.0792</v>
      </c>
      <c r="K293" t="s">
        <v>439</v>
      </c>
      <c r="L293" t="s">
        <v>20</v>
      </c>
    </row>
    <row r="294" spans="1:12" x14ac:dyDescent="0.2">
      <c r="A294">
        <v>293</v>
      </c>
      <c r="B294">
        <v>0</v>
      </c>
      <c r="C294">
        <v>2</v>
      </c>
      <c r="D294" t="s">
        <v>440</v>
      </c>
      <c r="E294" t="s">
        <v>13</v>
      </c>
      <c r="F294">
        <v>36</v>
      </c>
      <c r="G294">
        <v>0</v>
      </c>
      <c r="H294">
        <v>0</v>
      </c>
      <c r="I294" t="s">
        <v>441</v>
      </c>
      <c r="J294" s="3">
        <v>12.875</v>
      </c>
      <c r="K294" t="s">
        <v>442</v>
      </c>
      <c r="L294" t="s">
        <v>20</v>
      </c>
    </row>
    <row r="295" spans="1:12" x14ac:dyDescent="0.2">
      <c r="A295">
        <v>294</v>
      </c>
      <c r="B295">
        <v>0</v>
      </c>
      <c r="C295">
        <v>3</v>
      </c>
      <c r="D295" t="s">
        <v>443</v>
      </c>
      <c r="E295" t="s">
        <v>17</v>
      </c>
      <c r="F295">
        <v>24</v>
      </c>
      <c r="G295">
        <v>0</v>
      </c>
      <c r="H295">
        <v>0</v>
      </c>
      <c r="I295">
        <v>349236</v>
      </c>
      <c r="J295" s="3">
        <v>8.85</v>
      </c>
      <c r="L295" t="s">
        <v>15</v>
      </c>
    </row>
    <row r="296" spans="1:12" x14ac:dyDescent="0.2">
      <c r="A296">
        <v>295</v>
      </c>
      <c r="B296">
        <v>0</v>
      </c>
      <c r="C296">
        <v>3</v>
      </c>
      <c r="D296" t="s">
        <v>444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 s="3">
        <v>7.8958000000000004</v>
      </c>
      <c r="L296" t="s">
        <v>15</v>
      </c>
    </row>
    <row r="297" spans="1:12" x14ac:dyDescent="0.2">
      <c r="A297">
        <v>296</v>
      </c>
      <c r="B297">
        <v>0</v>
      </c>
      <c r="C297">
        <v>1</v>
      </c>
      <c r="D297" t="s">
        <v>445</v>
      </c>
      <c r="E297" t="s">
        <v>13</v>
      </c>
      <c r="G297">
        <v>0</v>
      </c>
      <c r="H297">
        <v>0</v>
      </c>
      <c r="I297" t="s">
        <v>446</v>
      </c>
      <c r="J297" s="3">
        <v>27.720800000000001</v>
      </c>
      <c r="L297" t="s">
        <v>20</v>
      </c>
    </row>
    <row r="298" spans="1:12" x14ac:dyDescent="0.2">
      <c r="A298">
        <v>297</v>
      </c>
      <c r="B298">
        <v>0</v>
      </c>
      <c r="C298">
        <v>3</v>
      </c>
      <c r="D298" t="s">
        <v>447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 s="3">
        <v>7.2291999999999996</v>
      </c>
      <c r="L298" t="s">
        <v>20</v>
      </c>
    </row>
    <row r="299" spans="1:12" x14ac:dyDescent="0.2">
      <c r="A299">
        <v>298</v>
      </c>
      <c r="B299">
        <v>0</v>
      </c>
      <c r="C299">
        <v>1</v>
      </c>
      <c r="D299" t="s">
        <v>448</v>
      </c>
      <c r="E299" t="s">
        <v>17</v>
      </c>
      <c r="F299">
        <v>2</v>
      </c>
      <c r="G299">
        <v>1</v>
      </c>
      <c r="H299">
        <v>2</v>
      </c>
      <c r="I299">
        <v>113781</v>
      </c>
      <c r="J299" s="3">
        <v>151.55000000000001</v>
      </c>
      <c r="K299" t="s">
        <v>449</v>
      </c>
      <c r="L299" t="s">
        <v>15</v>
      </c>
    </row>
    <row r="300" spans="1:12" x14ac:dyDescent="0.2">
      <c r="A300">
        <v>299</v>
      </c>
      <c r="B300">
        <v>1</v>
      </c>
      <c r="C300">
        <v>1</v>
      </c>
      <c r="D300" t="s">
        <v>450</v>
      </c>
      <c r="E300" t="s">
        <v>13</v>
      </c>
      <c r="G300">
        <v>0</v>
      </c>
      <c r="H300">
        <v>0</v>
      </c>
      <c r="I300">
        <v>19988</v>
      </c>
      <c r="J300" s="3">
        <v>30.5</v>
      </c>
      <c r="K300" t="s">
        <v>451</v>
      </c>
      <c r="L300" t="s">
        <v>15</v>
      </c>
    </row>
    <row r="301" spans="1:12" x14ac:dyDescent="0.2">
      <c r="A301">
        <v>300</v>
      </c>
      <c r="B301">
        <v>1</v>
      </c>
      <c r="C301">
        <v>1</v>
      </c>
      <c r="D301" t="s">
        <v>452</v>
      </c>
      <c r="E301" t="s">
        <v>17</v>
      </c>
      <c r="F301">
        <v>50</v>
      </c>
      <c r="G301">
        <v>0</v>
      </c>
      <c r="H301">
        <v>1</v>
      </c>
      <c r="I301" t="s">
        <v>187</v>
      </c>
      <c r="J301" s="3">
        <v>247.52080000000001</v>
      </c>
      <c r="K301" t="s">
        <v>188</v>
      </c>
      <c r="L301" t="s">
        <v>20</v>
      </c>
    </row>
    <row r="302" spans="1:12" x14ac:dyDescent="0.2">
      <c r="A302">
        <v>301</v>
      </c>
      <c r="B302">
        <v>1</v>
      </c>
      <c r="C302">
        <v>3</v>
      </c>
      <c r="D302" t="s">
        <v>453</v>
      </c>
      <c r="E302" t="s">
        <v>17</v>
      </c>
      <c r="G302">
        <v>0</v>
      </c>
      <c r="H302">
        <v>0</v>
      </c>
      <c r="I302">
        <v>9234</v>
      </c>
      <c r="J302" s="3">
        <v>7.75</v>
      </c>
      <c r="L302" t="s">
        <v>27</v>
      </c>
    </row>
    <row r="303" spans="1:12" x14ac:dyDescent="0.2">
      <c r="A303">
        <v>302</v>
      </c>
      <c r="B303">
        <v>1</v>
      </c>
      <c r="C303">
        <v>3</v>
      </c>
      <c r="D303" t="s">
        <v>454</v>
      </c>
      <c r="E303" t="s">
        <v>13</v>
      </c>
      <c r="G303">
        <v>2</v>
      </c>
      <c r="H303">
        <v>0</v>
      </c>
      <c r="I303">
        <v>367226</v>
      </c>
      <c r="J303" s="3">
        <v>23.25</v>
      </c>
      <c r="L303" t="s">
        <v>27</v>
      </c>
    </row>
    <row r="304" spans="1:12" x14ac:dyDescent="0.2">
      <c r="A304">
        <v>303</v>
      </c>
      <c r="B304">
        <v>0</v>
      </c>
      <c r="C304">
        <v>3</v>
      </c>
      <c r="D304" t="s">
        <v>455</v>
      </c>
      <c r="E304" t="s">
        <v>13</v>
      </c>
      <c r="F304">
        <v>19</v>
      </c>
      <c r="G304">
        <v>0</v>
      </c>
      <c r="H304">
        <v>0</v>
      </c>
      <c r="I304" t="s">
        <v>280</v>
      </c>
      <c r="J304" s="3">
        <v>0</v>
      </c>
      <c r="L304" t="s">
        <v>15</v>
      </c>
    </row>
    <row r="305" spans="1:12" x14ac:dyDescent="0.2">
      <c r="A305">
        <v>304</v>
      </c>
      <c r="B305">
        <v>1</v>
      </c>
      <c r="C305">
        <v>2</v>
      </c>
      <c r="D305" t="s">
        <v>456</v>
      </c>
      <c r="E305" t="s">
        <v>17</v>
      </c>
      <c r="G305">
        <v>0</v>
      </c>
      <c r="H305">
        <v>0</v>
      </c>
      <c r="I305">
        <v>226593</v>
      </c>
      <c r="J305" s="3">
        <v>12.35</v>
      </c>
      <c r="K305" t="s">
        <v>195</v>
      </c>
      <c r="L305" t="s">
        <v>27</v>
      </c>
    </row>
    <row r="306" spans="1:12" x14ac:dyDescent="0.2">
      <c r="A306">
        <v>305</v>
      </c>
      <c r="B306">
        <v>0</v>
      </c>
      <c r="C306">
        <v>3</v>
      </c>
      <c r="D306" t="s">
        <v>457</v>
      </c>
      <c r="E306" t="s">
        <v>13</v>
      </c>
      <c r="G306">
        <v>0</v>
      </c>
      <c r="H306">
        <v>0</v>
      </c>
      <c r="I306" t="s">
        <v>458</v>
      </c>
      <c r="J306" s="3">
        <v>8.0500000000000007</v>
      </c>
      <c r="L306" t="s">
        <v>15</v>
      </c>
    </row>
    <row r="307" spans="1:12" x14ac:dyDescent="0.2">
      <c r="A307">
        <v>306</v>
      </c>
      <c r="B307">
        <v>1</v>
      </c>
      <c r="C307">
        <v>1</v>
      </c>
      <c r="D307" t="s">
        <v>459</v>
      </c>
      <c r="E307" t="s">
        <v>13</v>
      </c>
      <c r="F307">
        <v>0.92</v>
      </c>
      <c r="G307">
        <v>1</v>
      </c>
      <c r="H307">
        <v>2</v>
      </c>
      <c r="I307">
        <v>113781</v>
      </c>
      <c r="J307" s="3">
        <v>151.55000000000001</v>
      </c>
      <c r="K307" t="s">
        <v>449</v>
      </c>
      <c r="L307" t="s">
        <v>15</v>
      </c>
    </row>
    <row r="308" spans="1:12" x14ac:dyDescent="0.2">
      <c r="A308">
        <v>307</v>
      </c>
      <c r="B308">
        <v>1</v>
      </c>
      <c r="C308">
        <v>1</v>
      </c>
      <c r="D308" t="s">
        <v>460</v>
      </c>
      <c r="E308" t="s">
        <v>17</v>
      </c>
      <c r="G308">
        <v>0</v>
      </c>
      <c r="H308">
        <v>0</v>
      </c>
      <c r="I308">
        <v>17421</v>
      </c>
      <c r="J308" s="3">
        <v>110.88330000000001</v>
      </c>
      <c r="L308" t="s">
        <v>20</v>
      </c>
    </row>
    <row r="309" spans="1:12" x14ac:dyDescent="0.2">
      <c r="A309">
        <v>308</v>
      </c>
      <c r="B309">
        <v>1</v>
      </c>
      <c r="C309">
        <v>1</v>
      </c>
      <c r="D309" t="s">
        <v>461</v>
      </c>
      <c r="E309" t="s">
        <v>17</v>
      </c>
      <c r="F309">
        <v>17</v>
      </c>
      <c r="G309">
        <v>1</v>
      </c>
      <c r="H309">
        <v>0</v>
      </c>
      <c r="I309" t="s">
        <v>462</v>
      </c>
      <c r="J309" s="3">
        <v>108.9</v>
      </c>
      <c r="K309" t="s">
        <v>463</v>
      </c>
      <c r="L309" t="s">
        <v>20</v>
      </c>
    </row>
    <row r="310" spans="1:12" x14ac:dyDescent="0.2">
      <c r="A310">
        <v>309</v>
      </c>
      <c r="B310">
        <v>0</v>
      </c>
      <c r="C310">
        <v>2</v>
      </c>
      <c r="D310" t="s">
        <v>464</v>
      </c>
      <c r="E310" t="s">
        <v>13</v>
      </c>
      <c r="F310">
        <v>30</v>
      </c>
      <c r="G310">
        <v>1</v>
      </c>
      <c r="H310">
        <v>0</v>
      </c>
      <c r="I310" t="s">
        <v>465</v>
      </c>
      <c r="J310" s="3">
        <v>24</v>
      </c>
      <c r="L310" t="s">
        <v>20</v>
      </c>
    </row>
    <row r="311" spans="1:12" x14ac:dyDescent="0.2">
      <c r="A311">
        <v>310</v>
      </c>
      <c r="B311">
        <v>1</v>
      </c>
      <c r="C311">
        <v>1</v>
      </c>
      <c r="D311" t="s">
        <v>466</v>
      </c>
      <c r="E311" t="s">
        <v>17</v>
      </c>
      <c r="F311">
        <v>30</v>
      </c>
      <c r="G311">
        <v>0</v>
      </c>
      <c r="H311">
        <v>0</v>
      </c>
      <c r="I311" t="s">
        <v>467</v>
      </c>
      <c r="J311" s="3">
        <v>56.929200000000002</v>
      </c>
      <c r="K311" t="s">
        <v>468</v>
      </c>
      <c r="L311" t="s">
        <v>20</v>
      </c>
    </row>
    <row r="312" spans="1:12" x14ac:dyDescent="0.2">
      <c r="A312">
        <v>311</v>
      </c>
      <c r="B312">
        <v>1</v>
      </c>
      <c r="C312">
        <v>1</v>
      </c>
      <c r="D312" t="s">
        <v>469</v>
      </c>
      <c r="E312" t="s">
        <v>17</v>
      </c>
      <c r="F312">
        <v>24</v>
      </c>
      <c r="G312">
        <v>0</v>
      </c>
      <c r="H312">
        <v>0</v>
      </c>
      <c r="I312">
        <v>11767</v>
      </c>
      <c r="J312" s="3">
        <v>83.158299999999997</v>
      </c>
      <c r="K312" t="s">
        <v>470</v>
      </c>
      <c r="L312" t="s">
        <v>20</v>
      </c>
    </row>
    <row r="313" spans="1:12" x14ac:dyDescent="0.2">
      <c r="A313">
        <v>312</v>
      </c>
      <c r="B313">
        <v>1</v>
      </c>
      <c r="C313">
        <v>1</v>
      </c>
      <c r="D313" t="s">
        <v>471</v>
      </c>
      <c r="E313" t="s">
        <v>17</v>
      </c>
      <c r="F313">
        <v>18</v>
      </c>
      <c r="G313">
        <v>2</v>
      </c>
      <c r="H313">
        <v>2</v>
      </c>
      <c r="I313" t="s">
        <v>472</v>
      </c>
      <c r="J313" s="3">
        <v>262.375</v>
      </c>
      <c r="K313" t="s">
        <v>473</v>
      </c>
      <c r="L313" t="s">
        <v>20</v>
      </c>
    </row>
    <row r="314" spans="1:12" x14ac:dyDescent="0.2">
      <c r="A314">
        <v>313</v>
      </c>
      <c r="B314">
        <v>0</v>
      </c>
      <c r="C314">
        <v>2</v>
      </c>
      <c r="D314" t="s">
        <v>474</v>
      </c>
      <c r="E314" t="s">
        <v>17</v>
      </c>
      <c r="F314">
        <v>26</v>
      </c>
      <c r="G314">
        <v>1</v>
      </c>
      <c r="H314">
        <v>1</v>
      </c>
      <c r="I314">
        <v>250651</v>
      </c>
      <c r="J314" s="3">
        <v>26</v>
      </c>
      <c r="L314" t="s">
        <v>15</v>
      </c>
    </row>
    <row r="315" spans="1:12" x14ac:dyDescent="0.2">
      <c r="A315">
        <v>314</v>
      </c>
      <c r="B315">
        <v>0</v>
      </c>
      <c r="C315">
        <v>3</v>
      </c>
      <c r="D315" t="s">
        <v>475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 s="3">
        <v>7.8958000000000004</v>
      </c>
      <c r="L315" t="s">
        <v>15</v>
      </c>
    </row>
    <row r="316" spans="1:12" x14ac:dyDescent="0.2">
      <c r="A316">
        <v>315</v>
      </c>
      <c r="B316">
        <v>0</v>
      </c>
      <c r="C316">
        <v>2</v>
      </c>
      <c r="D316" t="s">
        <v>476</v>
      </c>
      <c r="E316" t="s">
        <v>13</v>
      </c>
      <c r="F316">
        <v>43</v>
      </c>
      <c r="G316">
        <v>1</v>
      </c>
      <c r="H316">
        <v>1</v>
      </c>
      <c r="I316" t="s">
        <v>477</v>
      </c>
      <c r="J316" s="3">
        <v>26.25</v>
      </c>
      <c r="L316" t="s">
        <v>15</v>
      </c>
    </row>
    <row r="317" spans="1:12" x14ac:dyDescent="0.2">
      <c r="A317">
        <v>316</v>
      </c>
      <c r="B317">
        <v>1</v>
      </c>
      <c r="C317">
        <v>3</v>
      </c>
      <c r="D317" t="s">
        <v>478</v>
      </c>
      <c r="E317" t="s">
        <v>17</v>
      </c>
      <c r="F317">
        <v>26</v>
      </c>
      <c r="G317">
        <v>0</v>
      </c>
      <c r="H317">
        <v>0</v>
      </c>
      <c r="I317">
        <v>347470</v>
      </c>
      <c r="J317" s="3">
        <v>7.8541999999999996</v>
      </c>
      <c r="L317" t="s">
        <v>15</v>
      </c>
    </row>
    <row r="318" spans="1:12" x14ac:dyDescent="0.2">
      <c r="A318">
        <v>317</v>
      </c>
      <c r="B318">
        <v>1</v>
      </c>
      <c r="C318">
        <v>2</v>
      </c>
      <c r="D318" t="s">
        <v>479</v>
      </c>
      <c r="E318" t="s">
        <v>17</v>
      </c>
      <c r="F318">
        <v>24</v>
      </c>
      <c r="G318">
        <v>1</v>
      </c>
      <c r="H318">
        <v>0</v>
      </c>
      <c r="I318">
        <v>244367</v>
      </c>
      <c r="J318" s="3">
        <v>26</v>
      </c>
      <c r="L318" t="s">
        <v>15</v>
      </c>
    </row>
    <row r="319" spans="1:12" x14ac:dyDescent="0.2">
      <c r="A319">
        <v>318</v>
      </c>
      <c r="B319">
        <v>0</v>
      </c>
      <c r="C319">
        <v>2</v>
      </c>
      <c r="D319" t="s">
        <v>480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 s="3">
        <v>14</v>
      </c>
      <c r="L319" t="s">
        <v>15</v>
      </c>
    </row>
    <row r="320" spans="1:12" x14ac:dyDescent="0.2">
      <c r="A320">
        <v>319</v>
      </c>
      <c r="B320">
        <v>1</v>
      </c>
      <c r="C320">
        <v>1</v>
      </c>
      <c r="D320" t="s">
        <v>481</v>
      </c>
      <c r="E320" t="s">
        <v>17</v>
      </c>
      <c r="F320">
        <v>31</v>
      </c>
      <c r="G320">
        <v>0</v>
      </c>
      <c r="H320">
        <v>2</v>
      </c>
      <c r="I320">
        <v>36928</v>
      </c>
      <c r="J320" s="3">
        <v>164.86670000000001</v>
      </c>
      <c r="K320" t="s">
        <v>482</v>
      </c>
      <c r="L320" t="s">
        <v>15</v>
      </c>
    </row>
    <row r="321" spans="1:12" x14ac:dyDescent="0.2">
      <c r="A321">
        <v>320</v>
      </c>
      <c r="B321">
        <v>1</v>
      </c>
      <c r="C321">
        <v>1</v>
      </c>
      <c r="D321" t="s">
        <v>483</v>
      </c>
      <c r="E321" t="s">
        <v>17</v>
      </c>
      <c r="F321">
        <v>40</v>
      </c>
      <c r="G321">
        <v>1</v>
      </c>
      <c r="H321">
        <v>1</v>
      </c>
      <c r="I321">
        <v>16966</v>
      </c>
      <c r="J321" s="3">
        <v>134.5</v>
      </c>
      <c r="K321" t="s">
        <v>484</v>
      </c>
      <c r="L321" t="s">
        <v>20</v>
      </c>
    </row>
    <row r="322" spans="1:12" x14ac:dyDescent="0.2">
      <c r="A322">
        <v>321</v>
      </c>
      <c r="B322">
        <v>0</v>
      </c>
      <c r="C322">
        <v>3</v>
      </c>
      <c r="D322" t="s">
        <v>485</v>
      </c>
      <c r="E322" t="s">
        <v>13</v>
      </c>
      <c r="F322">
        <v>22</v>
      </c>
      <c r="G322">
        <v>0</v>
      </c>
      <c r="H322">
        <v>0</v>
      </c>
      <c r="I322" t="s">
        <v>486</v>
      </c>
      <c r="J322" s="3">
        <v>7.25</v>
      </c>
      <c r="L322" t="s">
        <v>15</v>
      </c>
    </row>
    <row r="323" spans="1:12" x14ac:dyDescent="0.2">
      <c r="A323">
        <v>322</v>
      </c>
      <c r="B323">
        <v>0</v>
      </c>
      <c r="C323">
        <v>3</v>
      </c>
      <c r="D323" t="s">
        <v>487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 s="3">
        <v>7.8958000000000004</v>
      </c>
      <c r="L323" t="s">
        <v>15</v>
      </c>
    </row>
    <row r="324" spans="1:12" x14ac:dyDescent="0.2">
      <c r="A324">
        <v>323</v>
      </c>
      <c r="B324">
        <v>1</v>
      </c>
      <c r="C324">
        <v>2</v>
      </c>
      <c r="D324" t="s">
        <v>488</v>
      </c>
      <c r="E324" t="s">
        <v>17</v>
      </c>
      <c r="F324">
        <v>30</v>
      </c>
      <c r="G324">
        <v>0</v>
      </c>
      <c r="H324">
        <v>0</v>
      </c>
      <c r="I324">
        <v>234818</v>
      </c>
      <c r="J324" s="3">
        <v>12.35</v>
      </c>
      <c r="L324" t="s">
        <v>27</v>
      </c>
    </row>
    <row r="325" spans="1:12" x14ac:dyDescent="0.2">
      <c r="A325">
        <v>324</v>
      </c>
      <c r="B325">
        <v>1</v>
      </c>
      <c r="C325">
        <v>2</v>
      </c>
      <c r="D325" t="s">
        <v>489</v>
      </c>
      <c r="E325" t="s">
        <v>17</v>
      </c>
      <c r="F325">
        <v>22</v>
      </c>
      <c r="G325">
        <v>1</v>
      </c>
      <c r="H325">
        <v>1</v>
      </c>
      <c r="I325">
        <v>248738</v>
      </c>
      <c r="J325" s="3">
        <v>29</v>
      </c>
      <c r="L325" t="s">
        <v>15</v>
      </c>
    </row>
    <row r="326" spans="1:12" x14ac:dyDescent="0.2">
      <c r="A326">
        <v>325</v>
      </c>
      <c r="B326">
        <v>0</v>
      </c>
      <c r="C326">
        <v>3</v>
      </c>
      <c r="D326" t="s">
        <v>490</v>
      </c>
      <c r="E326" t="s">
        <v>13</v>
      </c>
      <c r="G326">
        <v>8</v>
      </c>
      <c r="H326">
        <v>2</v>
      </c>
      <c r="I326" t="s">
        <v>251</v>
      </c>
      <c r="J326" s="3">
        <v>69.55</v>
      </c>
      <c r="L326" t="s">
        <v>15</v>
      </c>
    </row>
    <row r="327" spans="1:12" x14ac:dyDescent="0.2">
      <c r="A327">
        <v>326</v>
      </c>
      <c r="B327">
        <v>1</v>
      </c>
      <c r="C327">
        <v>1</v>
      </c>
      <c r="D327" t="s">
        <v>491</v>
      </c>
      <c r="E327" t="s">
        <v>17</v>
      </c>
      <c r="F327">
        <v>36</v>
      </c>
      <c r="G327">
        <v>0</v>
      </c>
      <c r="H327">
        <v>0</v>
      </c>
      <c r="I327" t="s">
        <v>409</v>
      </c>
      <c r="J327" s="3">
        <v>135.63329999999999</v>
      </c>
      <c r="K327" t="s">
        <v>492</v>
      </c>
      <c r="L327" t="s">
        <v>20</v>
      </c>
    </row>
    <row r="328" spans="1:12" x14ac:dyDescent="0.2">
      <c r="A328">
        <v>327</v>
      </c>
      <c r="B328">
        <v>0</v>
      </c>
      <c r="C328">
        <v>3</v>
      </c>
      <c r="D328" t="s">
        <v>493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 s="3">
        <v>6.2374999999999998</v>
      </c>
      <c r="L328" t="s">
        <v>15</v>
      </c>
    </row>
    <row r="329" spans="1:12" x14ac:dyDescent="0.2">
      <c r="A329">
        <v>328</v>
      </c>
      <c r="B329">
        <v>1</v>
      </c>
      <c r="C329">
        <v>2</v>
      </c>
      <c r="D329" t="s">
        <v>494</v>
      </c>
      <c r="E329" t="s">
        <v>17</v>
      </c>
      <c r="F329">
        <v>36</v>
      </c>
      <c r="G329">
        <v>0</v>
      </c>
      <c r="H329">
        <v>0</v>
      </c>
      <c r="I329">
        <v>28551</v>
      </c>
      <c r="J329" s="3">
        <v>13</v>
      </c>
      <c r="K329" t="s">
        <v>442</v>
      </c>
      <c r="L329" t="s">
        <v>15</v>
      </c>
    </row>
    <row r="330" spans="1:12" x14ac:dyDescent="0.2">
      <c r="A330">
        <v>329</v>
      </c>
      <c r="B330">
        <v>1</v>
      </c>
      <c r="C330">
        <v>3</v>
      </c>
      <c r="D330" t="s">
        <v>495</v>
      </c>
      <c r="E330" t="s">
        <v>17</v>
      </c>
      <c r="F330">
        <v>31</v>
      </c>
      <c r="G330">
        <v>1</v>
      </c>
      <c r="H330">
        <v>1</v>
      </c>
      <c r="I330">
        <v>363291</v>
      </c>
      <c r="J330" s="3">
        <v>20.524999999999999</v>
      </c>
      <c r="L330" t="s">
        <v>15</v>
      </c>
    </row>
    <row r="331" spans="1:12" x14ac:dyDescent="0.2">
      <c r="A331">
        <v>330</v>
      </c>
      <c r="B331">
        <v>1</v>
      </c>
      <c r="C331">
        <v>1</v>
      </c>
      <c r="D331" t="s">
        <v>496</v>
      </c>
      <c r="E331" t="s">
        <v>17</v>
      </c>
      <c r="F331">
        <v>16</v>
      </c>
      <c r="G331">
        <v>0</v>
      </c>
      <c r="H331">
        <v>1</v>
      </c>
      <c r="I331">
        <v>111361</v>
      </c>
      <c r="J331" s="3">
        <v>57.979199999999999</v>
      </c>
      <c r="K331" t="s">
        <v>497</v>
      </c>
      <c r="L331" t="s">
        <v>20</v>
      </c>
    </row>
    <row r="332" spans="1:12" x14ac:dyDescent="0.2">
      <c r="A332">
        <v>331</v>
      </c>
      <c r="B332">
        <v>1</v>
      </c>
      <c r="C332">
        <v>3</v>
      </c>
      <c r="D332" t="s">
        <v>498</v>
      </c>
      <c r="E332" t="s">
        <v>17</v>
      </c>
      <c r="G332">
        <v>2</v>
      </c>
      <c r="H332">
        <v>0</v>
      </c>
      <c r="I332">
        <v>367226</v>
      </c>
      <c r="J332" s="3">
        <v>23.25</v>
      </c>
      <c r="L332" t="s">
        <v>27</v>
      </c>
    </row>
    <row r="333" spans="1:12" x14ac:dyDescent="0.2">
      <c r="A333">
        <v>332</v>
      </c>
      <c r="B333">
        <v>0</v>
      </c>
      <c r="C333">
        <v>1</v>
      </c>
      <c r="D333" t="s">
        <v>499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 s="3">
        <v>28.5</v>
      </c>
      <c r="K333" t="s">
        <v>500</v>
      </c>
      <c r="L333" t="s">
        <v>15</v>
      </c>
    </row>
    <row r="334" spans="1:12" x14ac:dyDescent="0.2">
      <c r="A334">
        <v>333</v>
      </c>
      <c r="B334">
        <v>0</v>
      </c>
      <c r="C334">
        <v>1</v>
      </c>
      <c r="D334" t="s">
        <v>501</v>
      </c>
      <c r="E334" t="s">
        <v>13</v>
      </c>
      <c r="F334">
        <v>38</v>
      </c>
      <c r="G334">
        <v>0</v>
      </c>
      <c r="H334">
        <v>1</v>
      </c>
      <c r="I334" t="s">
        <v>406</v>
      </c>
      <c r="J334" s="3">
        <v>153.46250000000001</v>
      </c>
      <c r="K334" t="s">
        <v>502</v>
      </c>
      <c r="L334" t="s">
        <v>15</v>
      </c>
    </row>
    <row r="335" spans="1:12" x14ac:dyDescent="0.2">
      <c r="A335">
        <v>334</v>
      </c>
      <c r="B335">
        <v>0</v>
      </c>
      <c r="C335">
        <v>3</v>
      </c>
      <c r="D335" t="s">
        <v>503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 s="3">
        <v>18</v>
      </c>
      <c r="L335" t="s">
        <v>15</v>
      </c>
    </row>
    <row r="336" spans="1:12" x14ac:dyDescent="0.2">
      <c r="A336">
        <v>335</v>
      </c>
      <c r="B336">
        <v>1</v>
      </c>
      <c r="C336">
        <v>1</v>
      </c>
      <c r="D336" t="s">
        <v>504</v>
      </c>
      <c r="E336" t="s">
        <v>17</v>
      </c>
      <c r="G336">
        <v>1</v>
      </c>
      <c r="H336">
        <v>0</v>
      </c>
      <c r="I336" t="s">
        <v>505</v>
      </c>
      <c r="J336" s="3">
        <v>133.65</v>
      </c>
      <c r="L336" t="s">
        <v>15</v>
      </c>
    </row>
    <row r="337" spans="1:12" x14ac:dyDescent="0.2">
      <c r="A337">
        <v>336</v>
      </c>
      <c r="B337">
        <v>0</v>
      </c>
      <c r="C337">
        <v>3</v>
      </c>
      <c r="D337" t="s">
        <v>506</v>
      </c>
      <c r="E337" t="s">
        <v>13</v>
      </c>
      <c r="G337">
        <v>0</v>
      </c>
      <c r="H337">
        <v>0</v>
      </c>
      <c r="I337">
        <v>349225</v>
      </c>
      <c r="J337" s="3">
        <v>7.8958000000000004</v>
      </c>
      <c r="L337" t="s">
        <v>15</v>
      </c>
    </row>
    <row r="338" spans="1:12" x14ac:dyDescent="0.2">
      <c r="A338">
        <v>337</v>
      </c>
      <c r="B338">
        <v>0</v>
      </c>
      <c r="C338">
        <v>1</v>
      </c>
      <c r="D338" t="s">
        <v>507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 s="3">
        <v>66.599999999999994</v>
      </c>
      <c r="K338" t="s">
        <v>237</v>
      </c>
      <c r="L338" t="s">
        <v>15</v>
      </c>
    </row>
    <row r="339" spans="1:12" x14ac:dyDescent="0.2">
      <c r="A339">
        <v>338</v>
      </c>
      <c r="B339">
        <v>1</v>
      </c>
      <c r="C339">
        <v>1</v>
      </c>
      <c r="D339" t="s">
        <v>508</v>
      </c>
      <c r="E339" t="s">
        <v>17</v>
      </c>
      <c r="F339">
        <v>41</v>
      </c>
      <c r="G339">
        <v>0</v>
      </c>
      <c r="H339">
        <v>0</v>
      </c>
      <c r="I339">
        <v>16966</v>
      </c>
      <c r="J339" s="3">
        <v>134.5</v>
      </c>
      <c r="K339" t="s">
        <v>509</v>
      </c>
      <c r="L339" t="s">
        <v>20</v>
      </c>
    </row>
    <row r="340" spans="1:12" x14ac:dyDescent="0.2">
      <c r="A340">
        <v>339</v>
      </c>
      <c r="B340">
        <v>1</v>
      </c>
      <c r="C340">
        <v>3</v>
      </c>
      <c r="D340" t="s">
        <v>510</v>
      </c>
      <c r="E340" t="s">
        <v>13</v>
      </c>
      <c r="F340">
        <v>45</v>
      </c>
      <c r="G340">
        <v>0</v>
      </c>
      <c r="H340">
        <v>0</v>
      </c>
      <c r="I340">
        <v>7598</v>
      </c>
      <c r="J340" s="3">
        <v>8.0500000000000007</v>
      </c>
      <c r="L340" t="s">
        <v>15</v>
      </c>
    </row>
    <row r="341" spans="1:12" x14ac:dyDescent="0.2">
      <c r="A341">
        <v>340</v>
      </c>
      <c r="B341">
        <v>0</v>
      </c>
      <c r="C341">
        <v>1</v>
      </c>
      <c r="D341" t="s">
        <v>511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 s="3">
        <v>35.5</v>
      </c>
      <c r="K341" t="s">
        <v>512</v>
      </c>
      <c r="L341" t="s">
        <v>15</v>
      </c>
    </row>
    <row r="342" spans="1:12" x14ac:dyDescent="0.2">
      <c r="A342">
        <v>341</v>
      </c>
      <c r="B342">
        <v>1</v>
      </c>
      <c r="C342">
        <v>2</v>
      </c>
      <c r="D342" t="s">
        <v>513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 s="3">
        <v>26</v>
      </c>
      <c r="K342" t="s">
        <v>232</v>
      </c>
      <c r="L342" t="s">
        <v>15</v>
      </c>
    </row>
    <row r="343" spans="1:12" x14ac:dyDescent="0.2">
      <c r="A343">
        <v>342</v>
      </c>
      <c r="B343">
        <v>1</v>
      </c>
      <c r="C343">
        <v>1</v>
      </c>
      <c r="D343" t="s">
        <v>514</v>
      </c>
      <c r="E343" t="s">
        <v>17</v>
      </c>
      <c r="F343">
        <v>24</v>
      </c>
      <c r="G343">
        <v>3</v>
      </c>
      <c r="H343">
        <v>2</v>
      </c>
      <c r="I343">
        <v>19950</v>
      </c>
      <c r="J343" s="3">
        <v>263</v>
      </c>
      <c r="K343" t="s">
        <v>57</v>
      </c>
      <c r="L343" t="s">
        <v>15</v>
      </c>
    </row>
    <row r="344" spans="1:12" x14ac:dyDescent="0.2">
      <c r="A344">
        <v>343</v>
      </c>
      <c r="B344">
        <v>0</v>
      </c>
      <c r="C344">
        <v>2</v>
      </c>
      <c r="D344" t="s">
        <v>515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 s="3">
        <v>13</v>
      </c>
      <c r="L344" t="s">
        <v>15</v>
      </c>
    </row>
    <row r="345" spans="1:12" x14ac:dyDescent="0.2">
      <c r="A345">
        <v>344</v>
      </c>
      <c r="B345">
        <v>0</v>
      </c>
      <c r="C345">
        <v>2</v>
      </c>
      <c r="D345" t="s">
        <v>516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 s="3">
        <v>13</v>
      </c>
      <c r="L345" t="s">
        <v>15</v>
      </c>
    </row>
    <row r="346" spans="1:12" x14ac:dyDescent="0.2">
      <c r="A346">
        <v>345</v>
      </c>
      <c r="B346">
        <v>0</v>
      </c>
      <c r="C346">
        <v>2</v>
      </c>
      <c r="D346" t="s">
        <v>517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 s="3">
        <v>13</v>
      </c>
      <c r="L346" t="s">
        <v>15</v>
      </c>
    </row>
    <row r="347" spans="1:12" x14ac:dyDescent="0.2">
      <c r="A347">
        <v>346</v>
      </c>
      <c r="B347">
        <v>1</v>
      </c>
      <c r="C347">
        <v>2</v>
      </c>
      <c r="D347" t="s">
        <v>518</v>
      </c>
      <c r="E347" t="s">
        <v>17</v>
      </c>
      <c r="F347">
        <v>24</v>
      </c>
      <c r="G347">
        <v>0</v>
      </c>
      <c r="H347">
        <v>0</v>
      </c>
      <c r="I347">
        <v>248733</v>
      </c>
      <c r="J347" s="3">
        <v>13</v>
      </c>
      <c r="K347" t="s">
        <v>117</v>
      </c>
      <c r="L347" t="s">
        <v>15</v>
      </c>
    </row>
    <row r="348" spans="1:12" x14ac:dyDescent="0.2">
      <c r="A348">
        <v>347</v>
      </c>
      <c r="B348">
        <v>1</v>
      </c>
      <c r="C348">
        <v>2</v>
      </c>
      <c r="D348" t="s">
        <v>519</v>
      </c>
      <c r="E348" t="s">
        <v>17</v>
      </c>
      <c r="F348">
        <v>40</v>
      </c>
      <c r="G348">
        <v>0</v>
      </c>
      <c r="H348">
        <v>0</v>
      </c>
      <c r="I348">
        <v>31418</v>
      </c>
      <c r="J348" s="3">
        <v>13</v>
      </c>
      <c r="L348" t="s">
        <v>15</v>
      </c>
    </row>
    <row r="349" spans="1:12" x14ac:dyDescent="0.2">
      <c r="A349">
        <v>348</v>
      </c>
      <c r="B349">
        <v>1</v>
      </c>
      <c r="C349">
        <v>3</v>
      </c>
      <c r="D349" t="s">
        <v>520</v>
      </c>
      <c r="E349" t="s">
        <v>17</v>
      </c>
      <c r="G349">
        <v>1</v>
      </c>
      <c r="H349">
        <v>0</v>
      </c>
      <c r="I349">
        <v>386525</v>
      </c>
      <c r="J349" s="3">
        <v>16.100000000000001</v>
      </c>
      <c r="L349" t="s">
        <v>15</v>
      </c>
    </row>
    <row r="350" spans="1:12" x14ac:dyDescent="0.2">
      <c r="A350">
        <v>349</v>
      </c>
      <c r="B350">
        <v>1</v>
      </c>
      <c r="C350">
        <v>3</v>
      </c>
      <c r="D350" t="s">
        <v>521</v>
      </c>
      <c r="E350" t="s">
        <v>13</v>
      </c>
      <c r="F350">
        <v>3</v>
      </c>
      <c r="G350">
        <v>1</v>
      </c>
      <c r="H350">
        <v>1</v>
      </c>
      <c r="I350" t="s">
        <v>522</v>
      </c>
      <c r="J350" s="3">
        <v>15.9</v>
      </c>
      <c r="L350" t="s">
        <v>15</v>
      </c>
    </row>
    <row r="351" spans="1:12" x14ac:dyDescent="0.2">
      <c r="A351">
        <v>350</v>
      </c>
      <c r="B351">
        <v>0</v>
      </c>
      <c r="C351">
        <v>3</v>
      </c>
      <c r="D351" t="s">
        <v>523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 s="3">
        <v>8.6624999999999996</v>
      </c>
      <c r="L351" t="s">
        <v>15</v>
      </c>
    </row>
    <row r="352" spans="1:12" x14ac:dyDescent="0.2">
      <c r="A352">
        <v>351</v>
      </c>
      <c r="B352">
        <v>0</v>
      </c>
      <c r="C352">
        <v>3</v>
      </c>
      <c r="D352" t="s">
        <v>524</v>
      </c>
      <c r="E352" t="s">
        <v>13</v>
      </c>
      <c r="F352">
        <v>23</v>
      </c>
      <c r="G352">
        <v>0</v>
      </c>
      <c r="H352">
        <v>0</v>
      </c>
      <c r="I352">
        <v>7267</v>
      </c>
      <c r="J352" s="3">
        <v>9.2249999999999996</v>
      </c>
      <c r="L352" t="s">
        <v>15</v>
      </c>
    </row>
    <row r="353" spans="1:12" x14ac:dyDescent="0.2">
      <c r="A353">
        <v>352</v>
      </c>
      <c r="B353">
        <v>0</v>
      </c>
      <c r="C353">
        <v>1</v>
      </c>
      <c r="D353" t="s">
        <v>525</v>
      </c>
      <c r="E353" t="s">
        <v>13</v>
      </c>
      <c r="G353">
        <v>0</v>
      </c>
      <c r="H353">
        <v>0</v>
      </c>
      <c r="I353">
        <v>113510</v>
      </c>
      <c r="J353" s="3">
        <v>35</v>
      </c>
      <c r="K353" t="s">
        <v>526</v>
      </c>
      <c r="L353" t="s">
        <v>15</v>
      </c>
    </row>
    <row r="354" spans="1:12" x14ac:dyDescent="0.2">
      <c r="A354">
        <v>353</v>
      </c>
      <c r="B354">
        <v>0</v>
      </c>
      <c r="C354">
        <v>3</v>
      </c>
      <c r="D354" t="s">
        <v>527</v>
      </c>
      <c r="E354" t="s">
        <v>13</v>
      </c>
      <c r="F354">
        <v>15</v>
      </c>
      <c r="G354">
        <v>1</v>
      </c>
      <c r="H354">
        <v>1</v>
      </c>
      <c r="I354">
        <v>2695</v>
      </c>
      <c r="J354" s="3">
        <v>7.2291999999999996</v>
      </c>
      <c r="L354" t="s">
        <v>20</v>
      </c>
    </row>
    <row r="355" spans="1:12" x14ac:dyDescent="0.2">
      <c r="A355">
        <v>354</v>
      </c>
      <c r="B355">
        <v>0</v>
      </c>
      <c r="C355">
        <v>3</v>
      </c>
      <c r="D355" t="s">
        <v>528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 s="3">
        <v>17.8</v>
      </c>
      <c r="L355" t="s">
        <v>15</v>
      </c>
    </row>
    <row r="356" spans="1:12" x14ac:dyDescent="0.2">
      <c r="A356">
        <v>355</v>
      </c>
      <c r="B356">
        <v>0</v>
      </c>
      <c r="C356">
        <v>3</v>
      </c>
      <c r="D356" t="s">
        <v>529</v>
      </c>
      <c r="E356" t="s">
        <v>13</v>
      </c>
      <c r="G356">
        <v>0</v>
      </c>
      <c r="H356">
        <v>0</v>
      </c>
      <c r="I356">
        <v>2647</v>
      </c>
      <c r="J356" s="3">
        <v>7.2249999999999996</v>
      </c>
      <c r="L356" t="s">
        <v>20</v>
      </c>
    </row>
    <row r="357" spans="1:12" x14ac:dyDescent="0.2">
      <c r="A357">
        <v>356</v>
      </c>
      <c r="B357">
        <v>0</v>
      </c>
      <c r="C357">
        <v>3</v>
      </c>
      <c r="D357" t="s">
        <v>530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 s="3">
        <v>9.5</v>
      </c>
      <c r="L357" t="s">
        <v>15</v>
      </c>
    </row>
    <row r="358" spans="1:12" x14ac:dyDescent="0.2">
      <c r="A358">
        <v>357</v>
      </c>
      <c r="B358">
        <v>1</v>
      </c>
      <c r="C358">
        <v>1</v>
      </c>
      <c r="D358" t="s">
        <v>531</v>
      </c>
      <c r="E358" t="s">
        <v>17</v>
      </c>
      <c r="F358">
        <v>22</v>
      </c>
      <c r="G358">
        <v>0</v>
      </c>
      <c r="H358">
        <v>1</v>
      </c>
      <c r="I358">
        <v>113505</v>
      </c>
      <c r="J358" s="3">
        <v>55</v>
      </c>
      <c r="K358" t="s">
        <v>260</v>
      </c>
      <c r="L358" t="s">
        <v>15</v>
      </c>
    </row>
    <row r="359" spans="1:12" x14ac:dyDescent="0.2">
      <c r="A359">
        <v>358</v>
      </c>
      <c r="B359">
        <v>0</v>
      </c>
      <c r="C359">
        <v>2</v>
      </c>
      <c r="D359" t="s">
        <v>532</v>
      </c>
      <c r="E359" t="s">
        <v>17</v>
      </c>
      <c r="F359">
        <v>38</v>
      </c>
      <c r="G359">
        <v>0</v>
      </c>
      <c r="H359">
        <v>0</v>
      </c>
      <c r="I359">
        <v>237671</v>
      </c>
      <c r="J359" s="3">
        <v>13</v>
      </c>
      <c r="L359" t="s">
        <v>15</v>
      </c>
    </row>
    <row r="360" spans="1:12" x14ac:dyDescent="0.2">
      <c r="A360">
        <v>359</v>
      </c>
      <c r="B360">
        <v>1</v>
      </c>
      <c r="C360">
        <v>3</v>
      </c>
      <c r="D360" t="s">
        <v>533</v>
      </c>
      <c r="E360" t="s">
        <v>17</v>
      </c>
      <c r="G360">
        <v>0</v>
      </c>
      <c r="H360">
        <v>0</v>
      </c>
      <c r="I360">
        <v>330931</v>
      </c>
      <c r="J360" s="3">
        <v>7.8792</v>
      </c>
      <c r="L360" t="s">
        <v>27</v>
      </c>
    </row>
    <row r="361" spans="1:12" x14ac:dyDescent="0.2">
      <c r="A361">
        <v>360</v>
      </c>
      <c r="B361">
        <v>1</v>
      </c>
      <c r="C361">
        <v>3</v>
      </c>
      <c r="D361" t="s">
        <v>534</v>
      </c>
      <c r="E361" t="s">
        <v>17</v>
      </c>
      <c r="G361">
        <v>0</v>
      </c>
      <c r="H361">
        <v>0</v>
      </c>
      <c r="I361">
        <v>330980</v>
      </c>
      <c r="J361" s="3">
        <v>7.8792</v>
      </c>
      <c r="L361" t="s">
        <v>27</v>
      </c>
    </row>
    <row r="362" spans="1:12" x14ac:dyDescent="0.2">
      <c r="A362">
        <v>361</v>
      </c>
      <c r="B362">
        <v>0</v>
      </c>
      <c r="C362">
        <v>3</v>
      </c>
      <c r="D362" t="s">
        <v>535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 s="3">
        <v>27.9</v>
      </c>
      <c r="L362" t="s">
        <v>15</v>
      </c>
    </row>
    <row r="363" spans="1:12" x14ac:dyDescent="0.2">
      <c r="A363">
        <v>362</v>
      </c>
      <c r="B363">
        <v>0</v>
      </c>
      <c r="C363">
        <v>2</v>
      </c>
      <c r="D363" t="s">
        <v>536</v>
      </c>
      <c r="E363" t="s">
        <v>13</v>
      </c>
      <c r="F363">
        <v>29</v>
      </c>
      <c r="G363">
        <v>1</v>
      </c>
      <c r="H363">
        <v>0</v>
      </c>
      <c r="I363" t="s">
        <v>537</v>
      </c>
      <c r="J363" s="3">
        <v>27.720800000000001</v>
      </c>
      <c r="L363" t="s">
        <v>20</v>
      </c>
    </row>
    <row r="364" spans="1:12" x14ac:dyDescent="0.2">
      <c r="A364">
        <v>363</v>
      </c>
      <c r="B364">
        <v>0</v>
      </c>
      <c r="C364">
        <v>3</v>
      </c>
      <c r="D364" t="s">
        <v>538</v>
      </c>
      <c r="E364" t="s">
        <v>17</v>
      </c>
      <c r="F364">
        <v>45</v>
      </c>
      <c r="G364">
        <v>0</v>
      </c>
      <c r="H364">
        <v>1</v>
      </c>
      <c r="I364">
        <v>2691</v>
      </c>
      <c r="J364" s="3">
        <v>14.4542</v>
      </c>
      <c r="L364" t="s">
        <v>20</v>
      </c>
    </row>
    <row r="365" spans="1:12" x14ac:dyDescent="0.2">
      <c r="A365">
        <v>364</v>
      </c>
      <c r="B365">
        <v>0</v>
      </c>
      <c r="C365">
        <v>3</v>
      </c>
      <c r="D365" t="s">
        <v>539</v>
      </c>
      <c r="E365" t="s">
        <v>13</v>
      </c>
      <c r="F365">
        <v>35</v>
      </c>
      <c r="G365">
        <v>0</v>
      </c>
      <c r="H365">
        <v>0</v>
      </c>
      <c r="I365" t="s">
        <v>540</v>
      </c>
      <c r="J365" s="3">
        <v>7.05</v>
      </c>
      <c r="L365" t="s">
        <v>15</v>
      </c>
    </row>
    <row r="366" spans="1:12" x14ac:dyDescent="0.2">
      <c r="A366">
        <v>365</v>
      </c>
      <c r="B366">
        <v>0</v>
      </c>
      <c r="C366">
        <v>3</v>
      </c>
      <c r="D366" t="s">
        <v>541</v>
      </c>
      <c r="E366" t="s">
        <v>13</v>
      </c>
      <c r="G366">
        <v>1</v>
      </c>
      <c r="H366">
        <v>0</v>
      </c>
      <c r="I366">
        <v>370365</v>
      </c>
      <c r="J366" s="3">
        <v>15.5</v>
      </c>
      <c r="L366" t="s">
        <v>27</v>
      </c>
    </row>
    <row r="367" spans="1:12" x14ac:dyDescent="0.2">
      <c r="A367">
        <v>366</v>
      </c>
      <c r="B367">
        <v>0</v>
      </c>
      <c r="C367">
        <v>3</v>
      </c>
      <c r="D367" t="s">
        <v>542</v>
      </c>
      <c r="E367" t="s">
        <v>13</v>
      </c>
      <c r="F367">
        <v>30</v>
      </c>
      <c r="G367">
        <v>0</v>
      </c>
      <c r="H367">
        <v>0</v>
      </c>
      <c r="I367" t="s">
        <v>543</v>
      </c>
      <c r="J367" s="3">
        <v>7.25</v>
      </c>
      <c r="L367" t="s">
        <v>15</v>
      </c>
    </row>
    <row r="368" spans="1:12" x14ac:dyDescent="0.2">
      <c r="A368">
        <v>367</v>
      </c>
      <c r="B368">
        <v>1</v>
      </c>
      <c r="C368">
        <v>1</v>
      </c>
      <c r="D368" t="s">
        <v>544</v>
      </c>
      <c r="E368" t="s">
        <v>17</v>
      </c>
      <c r="F368">
        <v>60</v>
      </c>
      <c r="G368">
        <v>1</v>
      </c>
      <c r="H368">
        <v>0</v>
      </c>
      <c r="I368">
        <v>110813</v>
      </c>
      <c r="J368" s="3">
        <v>75.25</v>
      </c>
      <c r="K368" t="s">
        <v>545</v>
      </c>
      <c r="L368" t="s">
        <v>20</v>
      </c>
    </row>
    <row r="369" spans="1:12" x14ac:dyDescent="0.2">
      <c r="A369">
        <v>368</v>
      </c>
      <c r="B369">
        <v>1</v>
      </c>
      <c r="C369">
        <v>3</v>
      </c>
      <c r="D369" t="s">
        <v>546</v>
      </c>
      <c r="E369" t="s">
        <v>17</v>
      </c>
      <c r="G369">
        <v>0</v>
      </c>
      <c r="H369">
        <v>0</v>
      </c>
      <c r="I369">
        <v>2626</v>
      </c>
      <c r="J369" s="3">
        <v>7.2291999999999996</v>
      </c>
      <c r="L369" t="s">
        <v>20</v>
      </c>
    </row>
    <row r="370" spans="1:12" x14ac:dyDescent="0.2">
      <c r="A370">
        <v>369</v>
      </c>
      <c r="B370">
        <v>1</v>
      </c>
      <c r="C370">
        <v>3</v>
      </c>
      <c r="D370" t="s">
        <v>547</v>
      </c>
      <c r="E370" t="s">
        <v>17</v>
      </c>
      <c r="G370">
        <v>0</v>
      </c>
      <c r="H370">
        <v>0</v>
      </c>
      <c r="I370">
        <v>14313</v>
      </c>
      <c r="J370" s="3">
        <v>7.75</v>
      </c>
      <c r="L370" t="s">
        <v>27</v>
      </c>
    </row>
    <row r="371" spans="1:12" x14ac:dyDescent="0.2">
      <c r="A371">
        <v>370</v>
      </c>
      <c r="B371">
        <v>1</v>
      </c>
      <c r="C371">
        <v>1</v>
      </c>
      <c r="D371" t="s">
        <v>548</v>
      </c>
      <c r="E371" t="s">
        <v>17</v>
      </c>
      <c r="F371">
        <v>24</v>
      </c>
      <c r="G371">
        <v>0</v>
      </c>
      <c r="H371">
        <v>0</v>
      </c>
      <c r="I371" t="s">
        <v>549</v>
      </c>
      <c r="J371" s="3">
        <v>69.3</v>
      </c>
      <c r="K371" t="s">
        <v>550</v>
      </c>
      <c r="L371" t="s">
        <v>20</v>
      </c>
    </row>
    <row r="372" spans="1:12" x14ac:dyDescent="0.2">
      <c r="A372">
        <v>371</v>
      </c>
      <c r="B372">
        <v>1</v>
      </c>
      <c r="C372">
        <v>1</v>
      </c>
      <c r="D372" t="s">
        <v>551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 s="3">
        <v>55.441699999999997</v>
      </c>
      <c r="K372" t="s">
        <v>552</v>
      </c>
      <c r="L372" t="s">
        <v>20</v>
      </c>
    </row>
    <row r="373" spans="1:12" x14ac:dyDescent="0.2">
      <c r="A373">
        <v>372</v>
      </c>
      <c r="B373">
        <v>0</v>
      </c>
      <c r="C373">
        <v>3</v>
      </c>
      <c r="D373" t="s">
        <v>553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 s="3">
        <v>6.4958</v>
      </c>
      <c r="L373" t="s">
        <v>15</v>
      </c>
    </row>
    <row r="374" spans="1:12" x14ac:dyDescent="0.2">
      <c r="A374">
        <v>373</v>
      </c>
      <c r="B374">
        <v>0</v>
      </c>
      <c r="C374">
        <v>3</v>
      </c>
      <c r="D374" t="s">
        <v>554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 s="3">
        <v>8.0500000000000007</v>
      </c>
      <c r="L374" t="s">
        <v>15</v>
      </c>
    </row>
    <row r="375" spans="1:12" x14ac:dyDescent="0.2">
      <c r="A375">
        <v>374</v>
      </c>
      <c r="B375">
        <v>0</v>
      </c>
      <c r="C375">
        <v>1</v>
      </c>
      <c r="D375" t="s">
        <v>555</v>
      </c>
      <c r="E375" t="s">
        <v>13</v>
      </c>
      <c r="F375">
        <v>22</v>
      </c>
      <c r="G375">
        <v>0</v>
      </c>
      <c r="H375">
        <v>0</v>
      </c>
      <c r="I375" t="s">
        <v>409</v>
      </c>
      <c r="J375" s="3">
        <v>135.63329999999999</v>
      </c>
      <c r="L375" t="s">
        <v>20</v>
      </c>
    </row>
    <row r="376" spans="1:12" x14ac:dyDescent="0.2">
      <c r="A376">
        <v>375</v>
      </c>
      <c r="B376">
        <v>0</v>
      </c>
      <c r="C376">
        <v>3</v>
      </c>
      <c r="D376" t="s">
        <v>556</v>
      </c>
      <c r="E376" t="s">
        <v>17</v>
      </c>
      <c r="F376">
        <v>3</v>
      </c>
      <c r="G376">
        <v>3</v>
      </c>
      <c r="H376">
        <v>1</v>
      </c>
      <c r="I376">
        <v>349909</v>
      </c>
      <c r="J376" s="3">
        <v>21.074999999999999</v>
      </c>
      <c r="L376" t="s">
        <v>15</v>
      </c>
    </row>
    <row r="377" spans="1:12" x14ac:dyDescent="0.2">
      <c r="A377">
        <v>376</v>
      </c>
      <c r="B377">
        <v>1</v>
      </c>
      <c r="C377">
        <v>1</v>
      </c>
      <c r="D377" t="s">
        <v>557</v>
      </c>
      <c r="E377" t="s">
        <v>17</v>
      </c>
      <c r="G377">
        <v>1</v>
      </c>
      <c r="H377">
        <v>0</v>
      </c>
      <c r="I377" t="s">
        <v>69</v>
      </c>
      <c r="J377" s="3">
        <v>82.1708</v>
      </c>
      <c r="L377" t="s">
        <v>20</v>
      </c>
    </row>
    <row r="378" spans="1:12" x14ac:dyDescent="0.2">
      <c r="A378">
        <v>377</v>
      </c>
      <c r="B378">
        <v>1</v>
      </c>
      <c r="C378">
        <v>3</v>
      </c>
      <c r="D378" t="s">
        <v>558</v>
      </c>
      <c r="E378" t="s">
        <v>17</v>
      </c>
      <c r="F378">
        <v>22</v>
      </c>
      <c r="G378">
        <v>0</v>
      </c>
      <c r="H378">
        <v>0</v>
      </c>
      <c r="I378" t="s">
        <v>559</v>
      </c>
      <c r="J378" s="3">
        <v>7.25</v>
      </c>
      <c r="L378" t="s">
        <v>15</v>
      </c>
    </row>
    <row r="379" spans="1:12" x14ac:dyDescent="0.2">
      <c r="A379">
        <v>378</v>
      </c>
      <c r="B379">
        <v>0</v>
      </c>
      <c r="C379">
        <v>1</v>
      </c>
      <c r="D379" t="s">
        <v>560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 s="3">
        <v>211.5</v>
      </c>
      <c r="K379" t="s">
        <v>561</v>
      </c>
      <c r="L379" t="s">
        <v>20</v>
      </c>
    </row>
    <row r="380" spans="1:12" x14ac:dyDescent="0.2">
      <c r="A380">
        <v>379</v>
      </c>
      <c r="B380">
        <v>0</v>
      </c>
      <c r="C380">
        <v>3</v>
      </c>
      <c r="D380" t="s">
        <v>562</v>
      </c>
      <c r="E380" t="s">
        <v>13</v>
      </c>
      <c r="F380">
        <v>20</v>
      </c>
      <c r="G380">
        <v>0</v>
      </c>
      <c r="H380">
        <v>0</v>
      </c>
      <c r="I380">
        <v>2648</v>
      </c>
      <c r="J380" s="3">
        <v>4.0125000000000002</v>
      </c>
      <c r="L380" t="s">
        <v>20</v>
      </c>
    </row>
    <row r="381" spans="1:12" x14ac:dyDescent="0.2">
      <c r="A381">
        <v>380</v>
      </c>
      <c r="B381">
        <v>0</v>
      </c>
      <c r="C381">
        <v>3</v>
      </c>
      <c r="D381" t="s">
        <v>563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 s="3">
        <v>7.7750000000000004</v>
      </c>
      <c r="L381" t="s">
        <v>15</v>
      </c>
    </row>
    <row r="382" spans="1:12" x14ac:dyDescent="0.2">
      <c r="A382">
        <v>381</v>
      </c>
      <c r="B382">
        <v>1</v>
      </c>
      <c r="C382">
        <v>1</v>
      </c>
      <c r="D382" t="s">
        <v>564</v>
      </c>
      <c r="E382" t="s">
        <v>17</v>
      </c>
      <c r="F382">
        <v>42</v>
      </c>
      <c r="G382">
        <v>0</v>
      </c>
      <c r="H382">
        <v>0</v>
      </c>
      <c r="I382" t="s">
        <v>565</v>
      </c>
      <c r="J382" s="3">
        <v>227.52500000000001</v>
      </c>
      <c r="L382" t="s">
        <v>20</v>
      </c>
    </row>
    <row r="383" spans="1:12" x14ac:dyDescent="0.2">
      <c r="A383">
        <v>382</v>
      </c>
      <c r="B383">
        <v>1</v>
      </c>
      <c r="C383">
        <v>3</v>
      </c>
      <c r="D383" t="s">
        <v>566</v>
      </c>
      <c r="E383" t="s">
        <v>17</v>
      </c>
      <c r="F383">
        <v>1</v>
      </c>
      <c r="G383">
        <v>0</v>
      </c>
      <c r="H383">
        <v>2</v>
      </c>
      <c r="I383">
        <v>2653</v>
      </c>
      <c r="J383" s="3">
        <v>15.7417</v>
      </c>
      <c r="L383" t="s">
        <v>20</v>
      </c>
    </row>
    <row r="384" spans="1:12" x14ac:dyDescent="0.2">
      <c r="A384">
        <v>383</v>
      </c>
      <c r="B384">
        <v>0</v>
      </c>
      <c r="C384">
        <v>3</v>
      </c>
      <c r="D384" t="s">
        <v>567</v>
      </c>
      <c r="E384" t="s">
        <v>13</v>
      </c>
      <c r="F384">
        <v>32</v>
      </c>
      <c r="G384">
        <v>0</v>
      </c>
      <c r="H384">
        <v>0</v>
      </c>
      <c r="I384" t="s">
        <v>568</v>
      </c>
      <c r="J384" s="3">
        <v>7.9249999999999998</v>
      </c>
      <c r="L384" t="s">
        <v>15</v>
      </c>
    </row>
    <row r="385" spans="1:12" x14ac:dyDescent="0.2">
      <c r="A385">
        <v>384</v>
      </c>
      <c r="B385">
        <v>1</v>
      </c>
      <c r="C385">
        <v>1</v>
      </c>
      <c r="D385" t="s">
        <v>569</v>
      </c>
      <c r="E385" t="s">
        <v>17</v>
      </c>
      <c r="F385">
        <v>35</v>
      </c>
      <c r="G385">
        <v>1</v>
      </c>
      <c r="H385">
        <v>0</v>
      </c>
      <c r="I385">
        <v>113789</v>
      </c>
      <c r="J385" s="3">
        <v>52</v>
      </c>
      <c r="L385" t="s">
        <v>15</v>
      </c>
    </row>
    <row r="386" spans="1:12" x14ac:dyDescent="0.2">
      <c r="A386">
        <v>385</v>
      </c>
      <c r="B386">
        <v>0</v>
      </c>
      <c r="C386">
        <v>3</v>
      </c>
      <c r="D386" t="s">
        <v>570</v>
      </c>
      <c r="E386" t="s">
        <v>13</v>
      </c>
      <c r="G386">
        <v>0</v>
      </c>
      <c r="H386">
        <v>0</v>
      </c>
      <c r="I386">
        <v>349227</v>
      </c>
      <c r="J386" s="3">
        <v>7.8958000000000004</v>
      </c>
      <c r="L386" t="s">
        <v>15</v>
      </c>
    </row>
    <row r="387" spans="1:12" x14ac:dyDescent="0.2">
      <c r="A387">
        <v>386</v>
      </c>
      <c r="B387">
        <v>0</v>
      </c>
      <c r="C387">
        <v>2</v>
      </c>
      <c r="D387" t="s">
        <v>571</v>
      </c>
      <c r="E387" t="s">
        <v>13</v>
      </c>
      <c r="F387">
        <v>18</v>
      </c>
      <c r="G387">
        <v>0</v>
      </c>
      <c r="H387">
        <v>0</v>
      </c>
      <c r="I387" t="s">
        <v>126</v>
      </c>
      <c r="J387" s="3">
        <v>73.5</v>
      </c>
      <c r="L387" t="s">
        <v>15</v>
      </c>
    </row>
    <row r="388" spans="1:12" x14ac:dyDescent="0.2">
      <c r="A388">
        <v>387</v>
      </c>
      <c r="B388">
        <v>0</v>
      </c>
      <c r="C388">
        <v>3</v>
      </c>
      <c r="D388" t="s">
        <v>572</v>
      </c>
      <c r="E388" t="s">
        <v>13</v>
      </c>
      <c r="F388">
        <v>1</v>
      </c>
      <c r="G388">
        <v>5</v>
      </c>
      <c r="H388">
        <v>2</v>
      </c>
      <c r="I388" t="s">
        <v>105</v>
      </c>
      <c r="J388" s="3">
        <v>46.9</v>
      </c>
      <c r="L388" t="s">
        <v>15</v>
      </c>
    </row>
    <row r="389" spans="1:12" x14ac:dyDescent="0.2">
      <c r="A389">
        <v>388</v>
      </c>
      <c r="B389">
        <v>1</v>
      </c>
      <c r="C389">
        <v>2</v>
      </c>
      <c r="D389" t="s">
        <v>573</v>
      </c>
      <c r="E389" t="s">
        <v>17</v>
      </c>
      <c r="F389">
        <v>36</v>
      </c>
      <c r="G389">
        <v>0</v>
      </c>
      <c r="H389">
        <v>0</v>
      </c>
      <c r="I389">
        <v>27849</v>
      </c>
      <c r="J389" s="3">
        <v>13</v>
      </c>
      <c r="L389" t="s">
        <v>15</v>
      </c>
    </row>
    <row r="390" spans="1:12" x14ac:dyDescent="0.2">
      <c r="A390">
        <v>389</v>
      </c>
      <c r="B390">
        <v>0</v>
      </c>
      <c r="C390">
        <v>3</v>
      </c>
      <c r="D390" t="s">
        <v>574</v>
      </c>
      <c r="E390" t="s">
        <v>13</v>
      </c>
      <c r="G390">
        <v>0</v>
      </c>
      <c r="H390">
        <v>0</v>
      </c>
      <c r="I390">
        <v>367655</v>
      </c>
      <c r="J390" s="3">
        <v>7.7291999999999996</v>
      </c>
      <c r="L390" t="s">
        <v>27</v>
      </c>
    </row>
    <row r="391" spans="1:12" x14ac:dyDescent="0.2">
      <c r="A391">
        <v>390</v>
      </c>
      <c r="B391">
        <v>1</v>
      </c>
      <c r="C391">
        <v>2</v>
      </c>
      <c r="D391" t="s">
        <v>575</v>
      </c>
      <c r="E391" t="s">
        <v>17</v>
      </c>
      <c r="F391">
        <v>17</v>
      </c>
      <c r="G391">
        <v>0</v>
      </c>
      <c r="H391">
        <v>0</v>
      </c>
      <c r="I391" t="s">
        <v>576</v>
      </c>
      <c r="J391" s="3">
        <v>12</v>
      </c>
      <c r="L391" t="s">
        <v>20</v>
      </c>
    </row>
    <row r="392" spans="1:12" x14ac:dyDescent="0.2">
      <c r="A392">
        <v>391</v>
      </c>
      <c r="B392">
        <v>1</v>
      </c>
      <c r="C392">
        <v>1</v>
      </c>
      <c r="D392" t="s">
        <v>577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 s="3">
        <v>120</v>
      </c>
      <c r="K392" t="s">
        <v>578</v>
      </c>
      <c r="L392" t="s">
        <v>15</v>
      </c>
    </row>
    <row r="393" spans="1:12" x14ac:dyDescent="0.2">
      <c r="A393">
        <v>392</v>
      </c>
      <c r="B393">
        <v>1</v>
      </c>
      <c r="C393">
        <v>3</v>
      </c>
      <c r="D393" t="s">
        <v>579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 s="3">
        <v>7.7957999999999998</v>
      </c>
      <c r="L393" t="s">
        <v>15</v>
      </c>
    </row>
    <row r="394" spans="1:12" x14ac:dyDescent="0.2">
      <c r="A394">
        <v>393</v>
      </c>
      <c r="B394">
        <v>0</v>
      </c>
      <c r="C394">
        <v>3</v>
      </c>
      <c r="D394" t="s">
        <v>580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 s="3">
        <v>7.9249999999999998</v>
      </c>
      <c r="L394" t="s">
        <v>15</v>
      </c>
    </row>
    <row r="395" spans="1:12" x14ac:dyDescent="0.2">
      <c r="A395">
        <v>394</v>
      </c>
      <c r="B395">
        <v>1</v>
      </c>
      <c r="C395">
        <v>1</v>
      </c>
      <c r="D395" t="s">
        <v>581</v>
      </c>
      <c r="E395" t="s">
        <v>17</v>
      </c>
      <c r="F395">
        <v>23</v>
      </c>
      <c r="G395">
        <v>1</v>
      </c>
      <c r="H395">
        <v>0</v>
      </c>
      <c r="I395">
        <v>35273</v>
      </c>
      <c r="J395" s="3">
        <v>113.27500000000001</v>
      </c>
      <c r="K395" t="s">
        <v>328</v>
      </c>
      <c r="L395" t="s">
        <v>20</v>
      </c>
    </row>
    <row r="396" spans="1:12" x14ac:dyDescent="0.2">
      <c r="A396">
        <v>395</v>
      </c>
      <c r="B396">
        <v>1</v>
      </c>
      <c r="C396">
        <v>3</v>
      </c>
      <c r="D396" t="s">
        <v>582</v>
      </c>
      <c r="E396" t="s">
        <v>17</v>
      </c>
      <c r="F396">
        <v>24</v>
      </c>
      <c r="G396">
        <v>0</v>
      </c>
      <c r="H396">
        <v>2</v>
      </c>
      <c r="I396" t="s">
        <v>34</v>
      </c>
      <c r="J396" s="3">
        <v>16.7</v>
      </c>
      <c r="K396" t="s">
        <v>35</v>
      </c>
      <c r="L396" t="s">
        <v>15</v>
      </c>
    </row>
    <row r="397" spans="1:12" x14ac:dyDescent="0.2">
      <c r="A397">
        <v>396</v>
      </c>
      <c r="B397">
        <v>0</v>
      </c>
      <c r="C397">
        <v>3</v>
      </c>
      <c r="D397" t="s">
        <v>583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 s="3">
        <v>7.7957999999999998</v>
      </c>
      <c r="L397" t="s">
        <v>15</v>
      </c>
    </row>
    <row r="398" spans="1:12" x14ac:dyDescent="0.2">
      <c r="A398">
        <v>397</v>
      </c>
      <c r="B398">
        <v>0</v>
      </c>
      <c r="C398">
        <v>3</v>
      </c>
      <c r="D398" t="s">
        <v>584</v>
      </c>
      <c r="E398" t="s">
        <v>17</v>
      </c>
      <c r="F398">
        <v>31</v>
      </c>
      <c r="G398">
        <v>0</v>
      </c>
      <c r="H398">
        <v>0</v>
      </c>
      <c r="I398">
        <v>350407</v>
      </c>
      <c r="J398" s="3">
        <v>7.8541999999999996</v>
      </c>
      <c r="L398" t="s">
        <v>15</v>
      </c>
    </row>
    <row r="399" spans="1:12" x14ac:dyDescent="0.2">
      <c r="A399">
        <v>398</v>
      </c>
      <c r="B399">
        <v>0</v>
      </c>
      <c r="C399">
        <v>2</v>
      </c>
      <c r="D399" t="s">
        <v>585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 s="3">
        <v>26</v>
      </c>
      <c r="L399" t="s">
        <v>15</v>
      </c>
    </row>
    <row r="400" spans="1:12" x14ac:dyDescent="0.2">
      <c r="A400">
        <v>399</v>
      </c>
      <c r="B400">
        <v>0</v>
      </c>
      <c r="C400">
        <v>2</v>
      </c>
      <c r="D400" t="s">
        <v>586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 s="3">
        <v>10.5</v>
      </c>
      <c r="L400" t="s">
        <v>15</v>
      </c>
    </row>
    <row r="401" spans="1:12" x14ac:dyDescent="0.2">
      <c r="A401">
        <v>400</v>
      </c>
      <c r="B401">
        <v>1</v>
      </c>
      <c r="C401">
        <v>2</v>
      </c>
      <c r="D401" t="s">
        <v>587</v>
      </c>
      <c r="E401" t="s">
        <v>17</v>
      </c>
      <c r="F401">
        <v>28</v>
      </c>
      <c r="G401">
        <v>0</v>
      </c>
      <c r="H401">
        <v>0</v>
      </c>
      <c r="I401">
        <v>240929</v>
      </c>
      <c r="J401" s="3">
        <v>12.65</v>
      </c>
      <c r="L401" t="s">
        <v>15</v>
      </c>
    </row>
    <row r="402" spans="1:12" x14ac:dyDescent="0.2">
      <c r="A402">
        <v>401</v>
      </c>
      <c r="B402">
        <v>1</v>
      </c>
      <c r="C402">
        <v>3</v>
      </c>
      <c r="D402" t="s">
        <v>588</v>
      </c>
      <c r="E402" t="s">
        <v>13</v>
      </c>
      <c r="F402">
        <v>39</v>
      </c>
      <c r="G402">
        <v>0</v>
      </c>
      <c r="H402">
        <v>0</v>
      </c>
      <c r="I402" t="s">
        <v>589</v>
      </c>
      <c r="J402" s="3">
        <v>7.9249999999999998</v>
      </c>
      <c r="L402" t="s">
        <v>15</v>
      </c>
    </row>
    <row r="403" spans="1:12" x14ac:dyDescent="0.2">
      <c r="A403">
        <v>402</v>
      </c>
      <c r="B403">
        <v>0</v>
      </c>
      <c r="C403">
        <v>3</v>
      </c>
      <c r="D403" t="s">
        <v>590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 s="3">
        <v>8.0500000000000007</v>
      </c>
      <c r="L403" t="s">
        <v>15</v>
      </c>
    </row>
    <row r="404" spans="1:12" x14ac:dyDescent="0.2">
      <c r="A404">
        <v>403</v>
      </c>
      <c r="B404">
        <v>0</v>
      </c>
      <c r="C404">
        <v>3</v>
      </c>
      <c r="D404" t="s">
        <v>591</v>
      </c>
      <c r="E404" t="s">
        <v>17</v>
      </c>
      <c r="F404">
        <v>21</v>
      </c>
      <c r="G404">
        <v>1</v>
      </c>
      <c r="H404">
        <v>0</v>
      </c>
      <c r="I404">
        <v>4137</v>
      </c>
      <c r="J404" s="3">
        <v>9.8249999999999993</v>
      </c>
      <c r="L404" t="s">
        <v>15</v>
      </c>
    </row>
    <row r="405" spans="1:12" x14ac:dyDescent="0.2">
      <c r="A405">
        <v>404</v>
      </c>
      <c r="B405">
        <v>0</v>
      </c>
      <c r="C405">
        <v>3</v>
      </c>
      <c r="D405" t="s">
        <v>592</v>
      </c>
      <c r="E405" t="s">
        <v>13</v>
      </c>
      <c r="F405">
        <v>28</v>
      </c>
      <c r="G405">
        <v>1</v>
      </c>
      <c r="H405">
        <v>0</v>
      </c>
      <c r="I405" t="s">
        <v>224</v>
      </c>
      <c r="J405" s="3">
        <v>15.85</v>
      </c>
      <c r="L405" t="s">
        <v>15</v>
      </c>
    </row>
    <row r="406" spans="1:12" x14ac:dyDescent="0.2">
      <c r="A406">
        <v>405</v>
      </c>
      <c r="B406">
        <v>0</v>
      </c>
      <c r="C406">
        <v>3</v>
      </c>
      <c r="D406" t="s">
        <v>593</v>
      </c>
      <c r="E406" t="s">
        <v>17</v>
      </c>
      <c r="F406">
        <v>20</v>
      </c>
      <c r="G406">
        <v>0</v>
      </c>
      <c r="H406">
        <v>0</v>
      </c>
      <c r="I406">
        <v>315096</v>
      </c>
      <c r="J406" s="3">
        <v>8.6624999999999996</v>
      </c>
      <c r="L406" t="s">
        <v>15</v>
      </c>
    </row>
    <row r="407" spans="1:12" x14ac:dyDescent="0.2">
      <c r="A407">
        <v>406</v>
      </c>
      <c r="B407">
        <v>0</v>
      </c>
      <c r="C407">
        <v>2</v>
      </c>
      <c r="D407" t="s">
        <v>594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 s="3">
        <v>21</v>
      </c>
      <c r="L407" t="s">
        <v>15</v>
      </c>
    </row>
    <row r="408" spans="1:12" x14ac:dyDescent="0.2">
      <c r="A408">
        <v>407</v>
      </c>
      <c r="B408">
        <v>0</v>
      </c>
      <c r="C408">
        <v>3</v>
      </c>
      <c r="D408" t="s">
        <v>595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 s="3">
        <v>7.75</v>
      </c>
      <c r="L408" t="s">
        <v>15</v>
      </c>
    </row>
    <row r="409" spans="1:12" x14ac:dyDescent="0.2">
      <c r="A409">
        <v>408</v>
      </c>
      <c r="B409">
        <v>1</v>
      </c>
      <c r="C409">
        <v>2</v>
      </c>
      <c r="D409" t="s">
        <v>596</v>
      </c>
      <c r="E409" t="s">
        <v>13</v>
      </c>
      <c r="F409">
        <v>3</v>
      </c>
      <c r="G409">
        <v>1</v>
      </c>
      <c r="H409">
        <v>1</v>
      </c>
      <c r="I409">
        <v>29106</v>
      </c>
      <c r="J409" s="3">
        <v>18.75</v>
      </c>
      <c r="L409" t="s">
        <v>15</v>
      </c>
    </row>
    <row r="410" spans="1:12" x14ac:dyDescent="0.2">
      <c r="A410">
        <v>409</v>
      </c>
      <c r="B410">
        <v>0</v>
      </c>
      <c r="C410">
        <v>3</v>
      </c>
      <c r="D410" t="s">
        <v>597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 s="3">
        <v>7.7750000000000004</v>
      </c>
      <c r="L410" t="s">
        <v>15</v>
      </c>
    </row>
    <row r="411" spans="1:12" x14ac:dyDescent="0.2">
      <c r="A411">
        <v>410</v>
      </c>
      <c r="B411">
        <v>0</v>
      </c>
      <c r="C411">
        <v>3</v>
      </c>
      <c r="D411" t="s">
        <v>598</v>
      </c>
      <c r="E411" t="s">
        <v>17</v>
      </c>
      <c r="G411">
        <v>3</v>
      </c>
      <c r="H411">
        <v>1</v>
      </c>
      <c r="I411">
        <v>4133</v>
      </c>
      <c r="J411" s="3">
        <v>25.466699999999999</v>
      </c>
      <c r="L411" t="s">
        <v>15</v>
      </c>
    </row>
    <row r="412" spans="1:12" x14ac:dyDescent="0.2">
      <c r="A412">
        <v>411</v>
      </c>
      <c r="B412">
        <v>0</v>
      </c>
      <c r="C412">
        <v>3</v>
      </c>
      <c r="D412" t="s">
        <v>599</v>
      </c>
      <c r="E412" t="s">
        <v>13</v>
      </c>
      <c r="G412">
        <v>0</v>
      </c>
      <c r="H412">
        <v>0</v>
      </c>
      <c r="I412">
        <v>349222</v>
      </c>
      <c r="J412" s="3">
        <v>7.8958000000000004</v>
      </c>
      <c r="L412" t="s">
        <v>15</v>
      </c>
    </row>
    <row r="413" spans="1:12" x14ac:dyDescent="0.2">
      <c r="A413">
        <v>412</v>
      </c>
      <c r="B413">
        <v>0</v>
      </c>
      <c r="C413">
        <v>3</v>
      </c>
      <c r="D413" t="s">
        <v>600</v>
      </c>
      <c r="E413" t="s">
        <v>13</v>
      </c>
      <c r="G413">
        <v>0</v>
      </c>
      <c r="H413">
        <v>0</v>
      </c>
      <c r="I413">
        <v>394140</v>
      </c>
      <c r="J413" s="3">
        <v>6.8582999999999998</v>
      </c>
      <c r="L413" t="s">
        <v>27</v>
      </c>
    </row>
    <row r="414" spans="1:12" x14ac:dyDescent="0.2">
      <c r="A414">
        <v>413</v>
      </c>
      <c r="B414">
        <v>1</v>
      </c>
      <c r="C414">
        <v>1</v>
      </c>
      <c r="D414" t="s">
        <v>601</v>
      </c>
      <c r="E414" t="s">
        <v>17</v>
      </c>
      <c r="F414">
        <v>33</v>
      </c>
      <c r="G414">
        <v>1</v>
      </c>
      <c r="H414">
        <v>0</v>
      </c>
      <c r="I414">
        <v>19928</v>
      </c>
      <c r="J414" s="3">
        <v>90</v>
      </c>
      <c r="K414" t="s">
        <v>373</v>
      </c>
      <c r="L414" t="s">
        <v>27</v>
      </c>
    </row>
    <row r="415" spans="1:12" x14ac:dyDescent="0.2">
      <c r="A415">
        <v>414</v>
      </c>
      <c r="B415">
        <v>0</v>
      </c>
      <c r="C415">
        <v>2</v>
      </c>
      <c r="D415" t="s">
        <v>602</v>
      </c>
      <c r="E415" t="s">
        <v>13</v>
      </c>
      <c r="G415">
        <v>0</v>
      </c>
      <c r="H415">
        <v>0</v>
      </c>
      <c r="I415">
        <v>239853</v>
      </c>
      <c r="J415" s="3">
        <v>0</v>
      </c>
      <c r="L415" t="s">
        <v>15</v>
      </c>
    </row>
    <row r="416" spans="1:12" x14ac:dyDescent="0.2">
      <c r="A416">
        <v>415</v>
      </c>
      <c r="B416">
        <v>1</v>
      </c>
      <c r="C416">
        <v>3</v>
      </c>
      <c r="D416" t="s">
        <v>603</v>
      </c>
      <c r="E416" t="s">
        <v>13</v>
      </c>
      <c r="F416">
        <v>44</v>
      </c>
      <c r="G416">
        <v>0</v>
      </c>
      <c r="H416">
        <v>0</v>
      </c>
      <c r="I416" t="s">
        <v>604</v>
      </c>
      <c r="J416" s="3">
        <v>7.9249999999999998</v>
      </c>
      <c r="L416" t="s">
        <v>15</v>
      </c>
    </row>
    <row r="417" spans="1:12" x14ac:dyDescent="0.2">
      <c r="A417">
        <v>416</v>
      </c>
      <c r="B417">
        <v>0</v>
      </c>
      <c r="C417">
        <v>3</v>
      </c>
      <c r="D417" t="s">
        <v>605</v>
      </c>
      <c r="E417" t="s">
        <v>17</v>
      </c>
      <c r="G417">
        <v>0</v>
      </c>
      <c r="H417">
        <v>0</v>
      </c>
      <c r="I417">
        <v>343095</v>
      </c>
      <c r="J417" s="3">
        <v>8.0500000000000007</v>
      </c>
      <c r="L417" t="s">
        <v>15</v>
      </c>
    </row>
    <row r="418" spans="1:12" x14ac:dyDescent="0.2">
      <c r="A418">
        <v>417</v>
      </c>
      <c r="B418">
        <v>1</v>
      </c>
      <c r="C418">
        <v>2</v>
      </c>
      <c r="D418" t="s">
        <v>606</v>
      </c>
      <c r="E418" t="s">
        <v>17</v>
      </c>
      <c r="F418">
        <v>34</v>
      </c>
      <c r="G418">
        <v>1</v>
      </c>
      <c r="H418">
        <v>1</v>
      </c>
      <c r="I418">
        <v>28220</v>
      </c>
      <c r="J418" s="3">
        <v>32.5</v>
      </c>
      <c r="L418" t="s">
        <v>15</v>
      </c>
    </row>
    <row r="419" spans="1:12" x14ac:dyDescent="0.2">
      <c r="A419">
        <v>418</v>
      </c>
      <c r="B419">
        <v>1</v>
      </c>
      <c r="C419">
        <v>2</v>
      </c>
      <c r="D419" t="s">
        <v>607</v>
      </c>
      <c r="E419" t="s">
        <v>17</v>
      </c>
      <c r="F419">
        <v>18</v>
      </c>
      <c r="G419">
        <v>0</v>
      </c>
      <c r="H419">
        <v>2</v>
      </c>
      <c r="I419">
        <v>250652</v>
      </c>
      <c r="J419" s="3">
        <v>13</v>
      </c>
      <c r="L419" t="s">
        <v>15</v>
      </c>
    </row>
    <row r="420" spans="1:12" x14ac:dyDescent="0.2">
      <c r="A420">
        <v>419</v>
      </c>
      <c r="B420">
        <v>0</v>
      </c>
      <c r="C420">
        <v>2</v>
      </c>
      <c r="D420" t="s">
        <v>608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 s="3">
        <v>13</v>
      </c>
      <c r="L420" t="s">
        <v>15</v>
      </c>
    </row>
    <row r="421" spans="1:12" x14ac:dyDescent="0.2">
      <c r="A421">
        <v>420</v>
      </c>
      <c r="B421">
        <v>0</v>
      </c>
      <c r="C421">
        <v>3</v>
      </c>
      <c r="D421" t="s">
        <v>609</v>
      </c>
      <c r="E421" t="s">
        <v>17</v>
      </c>
      <c r="F421">
        <v>10</v>
      </c>
      <c r="G421">
        <v>0</v>
      </c>
      <c r="H421">
        <v>2</v>
      </c>
      <c r="I421">
        <v>345773</v>
      </c>
      <c r="J421" s="3">
        <v>24.15</v>
      </c>
      <c r="L421" t="s">
        <v>15</v>
      </c>
    </row>
    <row r="422" spans="1:12" x14ac:dyDescent="0.2">
      <c r="A422">
        <v>421</v>
      </c>
      <c r="B422">
        <v>0</v>
      </c>
      <c r="C422">
        <v>3</v>
      </c>
      <c r="D422" t="s">
        <v>610</v>
      </c>
      <c r="E422" t="s">
        <v>13</v>
      </c>
      <c r="G422">
        <v>0</v>
      </c>
      <c r="H422">
        <v>0</v>
      </c>
      <c r="I422">
        <v>349254</v>
      </c>
      <c r="J422" s="3">
        <v>7.8958000000000004</v>
      </c>
      <c r="L422" t="s">
        <v>20</v>
      </c>
    </row>
    <row r="423" spans="1:12" x14ac:dyDescent="0.2">
      <c r="A423">
        <v>422</v>
      </c>
      <c r="B423">
        <v>0</v>
      </c>
      <c r="C423">
        <v>3</v>
      </c>
      <c r="D423" t="s">
        <v>611</v>
      </c>
      <c r="E423" t="s">
        <v>13</v>
      </c>
      <c r="F423">
        <v>21</v>
      </c>
      <c r="G423">
        <v>0</v>
      </c>
      <c r="H423">
        <v>0</v>
      </c>
      <c r="I423" t="s">
        <v>612</v>
      </c>
      <c r="J423" s="3">
        <v>7.7332999999999998</v>
      </c>
      <c r="L423" t="s">
        <v>27</v>
      </c>
    </row>
    <row r="424" spans="1:12" x14ac:dyDescent="0.2">
      <c r="A424">
        <v>423</v>
      </c>
      <c r="B424">
        <v>0</v>
      </c>
      <c r="C424">
        <v>3</v>
      </c>
      <c r="D424" t="s">
        <v>613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 s="3">
        <v>7.875</v>
      </c>
      <c r="L424" t="s">
        <v>15</v>
      </c>
    </row>
    <row r="425" spans="1:12" x14ac:dyDescent="0.2">
      <c r="A425">
        <v>424</v>
      </c>
      <c r="B425">
        <v>0</v>
      </c>
      <c r="C425">
        <v>3</v>
      </c>
      <c r="D425" t="s">
        <v>614</v>
      </c>
      <c r="E425" t="s">
        <v>17</v>
      </c>
      <c r="F425">
        <v>28</v>
      </c>
      <c r="G425">
        <v>1</v>
      </c>
      <c r="H425">
        <v>1</v>
      </c>
      <c r="I425">
        <v>347080</v>
      </c>
      <c r="J425" s="3">
        <v>14.4</v>
      </c>
      <c r="L425" t="s">
        <v>15</v>
      </c>
    </row>
    <row r="426" spans="1:12" x14ac:dyDescent="0.2">
      <c r="A426">
        <v>425</v>
      </c>
      <c r="B426">
        <v>0</v>
      </c>
      <c r="C426">
        <v>3</v>
      </c>
      <c r="D426" t="s">
        <v>615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 s="3">
        <v>20.212499999999999</v>
      </c>
      <c r="L426" t="s">
        <v>15</v>
      </c>
    </row>
    <row r="427" spans="1:12" x14ac:dyDescent="0.2">
      <c r="A427">
        <v>426</v>
      </c>
      <c r="B427">
        <v>0</v>
      </c>
      <c r="C427">
        <v>3</v>
      </c>
      <c r="D427" t="s">
        <v>616</v>
      </c>
      <c r="E427" t="s">
        <v>13</v>
      </c>
      <c r="G427">
        <v>0</v>
      </c>
      <c r="H427">
        <v>0</v>
      </c>
      <c r="I427" t="s">
        <v>617</v>
      </c>
      <c r="J427" s="3">
        <v>7.25</v>
      </c>
      <c r="L427" t="s">
        <v>15</v>
      </c>
    </row>
    <row r="428" spans="1:12" x14ac:dyDescent="0.2">
      <c r="A428">
        <v>427</v>
      </c>
      <c r="B428">
        <v>1</v>
      </c>
      <c r="C428">
        <v>2</v>
      </c>
      <c r="D428" t="s">
        <v>618</v>
      </c>
      <c r="E428" t="s">
        <v>17</v>
      </c>
      <c r="F428">
        <v>28</v>
      </c>
      <c r="G428">
        <v>1</v>
      </c>
      <c r="H428">
        <v>0</v>
      </c>
      <c r="I428">
        <v>2003</v>
      </c>
      <c r="J428" s="3">
        <v>26</v>
      </c>
      <c r="L428" t="s">
        <v>15</v>
      </c>
    </row>
    <row r="429" spans="1:12" x14ac:dyDescent="0.2">
      <c r="A429">
        <v>428</v>
      </c>
      <c r="B429">
        <v>1</v>
      </c>
      <c r="C429">
        <v>2</v>
      </c>
      <c r="D429" t="s">
        <v>619</v>
      </c>
      <c r="E429" t="s">
        <v>17</v>
      </c>
      <c r="F429">
        <v>19</v>
      </c>
      <c r="G429">
        <v>0</v>
      </c>
      <c r="H429">
        <v>0</v>
      </c>
      <c r="I429">
        <v>250655</v>
      </c>
      <c r="J429" s="3">
        <v>26</v>
      </c>
      <c r="L429" t="s">
        <v>15</v>
      </c>
    </row>
    <row r="430" spans="1:12" x14ac:dyDescent="0.2">
      <c r="A430">
        <v>429</v>
      </c>
      <c r="B430">
        <v>0</v>
      </c>
      <c r="C430">
        <v>3</v>
      </c>
      <c r="D430" t="s">
        <v>620</v>
      </c>
      <c r="E430" t="s">
        <v>13</v>
      </c>
      <c r="G430">
        <v>0</v>
      </c>
      <c r="H430">
        <v>0</v>
      </c>
      <c r="I430">
        <v>364851</v>
      </c>
      <c r="J430" s="3">
        <v>7.75</v>
      </c>
      <c r="L430" t="s">
        <v>27</v>
      </c>
    </row>
    <row r="431" spans="1:12" x14ac:dyDescent="0.2">
      <c r="A431">
        <v>430</v>
      </c>
      <c r="B431">
        <v>1</v>
      </c>
      <c r="C431">
        <v>3</v>
      </c>
      <c r="D431" t="s">
        <v>621</v>
      </c>
      <c r="E431" t="s">
        <v>13</v>
      </c>
      <c r="F431">
        <v>32</v>
      </c>
      <c r="G431">
        <v>0</v>
      </c>
      <c r="H431">
        <v>0</v>
      </c>
      <c r="I431" t="s">
        <v>622</v>
      </c>
      <c r="J431" s="3">
        <v>8.0500000000000007</v>
      </c>
      <c r="K431" t="s">
        <v>623</v>
      </c>
      <c r="L431" t="s">
        <v>15</v>
      </c>
    </row>
    <row r="432" spans="1:12" x14ac:dyDescent="0.2">
      <c r="A432">
        <v>431</v>
      </c>
      <c r="B432">
        <v>1</v>
      </c>
      <c r="C432">
        <v>1</v>
      </c>
      <c r="D432" t="s">
        <v>624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 s="3">
        <v>26.55</v>
      </c>
      <c r="K432" t="s">
        <v>98</v>
      </c>
      <c r="L432" t="s">
        <v>15</v>
      </c>
    </row>
    <row r="433" spans="1:12" x14ac:dyDescent="0.2">
      <c r="A433">
        <v>432</v>
      </c>
      <c r="B433">
        <v>1</v>
      </c>
      <c r="C433">
        <v>3</v>
      </c>
      <c r="D433" t="s">
        <v>625</v>
      </c>
      <c r="E433" t="s">
        <v>17</v>
      </c>
      <c r="G433">
        <v>1</v>
      </c>
      <c r="H433">
        <v>0</v>
      </c>
      <c r="I433">
        <v>376564</v>
      </c>
      <c r="J433" s="3">
        <v>16.100000000000001</v>
      </c>
      <c r="L433" t="s">
        <v>15</v>
      </c>
    </row>
    <row r="434" spans="1:12" x14ac:dyDescent="0.2">
      <c r="A434">
        <v>433</v>
      </c>
      <c r="B434">
        <v>1</v>
      </c>
      <c r="C434">
        <v>2</v>
      </c>
      <c r="D434" t="s">
        <v>626</v>
      </c>
      <c r="E434" t="s">
        <v>17</v>
      </c>
      <c r="F434">
        <v>42</v>
      </c>
      <c r="G434">
        <v>1</v>
      </c>
      <c r="H434">
        <v>0</v>
      </c>
      <c r="I434" t="s">
        <v>627</v>
      </c>
      <c r="J434" s="3">
        <v>26</v>
      </c>
      <c r="L434" t="s">
        <v>15</v>
      </c>
    </row>
    <row r="435" spans="1:12" x14ac:dyDescent="0.2">
      <c r="A435">
        <v>434</v>
      </c>
      <c r="B435">
        <v>0</v>
      </c>
      <c r="C435">
        <v>3</v>
      </c>
      <c r="D435" t="s">
        <v>628</v>
      </c>
      <c r="E435" t="s">
        <v>13</v>
      </c>
      <c r="F435">
        <v>17</v>
      </c>
      <c r="G435">
        <v>0</v>
      </c>
      <c r="H435">
        <v>0</v>
      </c>
      <c r="I435" t="s">
        <v>629</v>
      </c>
      <c r="J435" s="3">
        <v>7.125</v>
      </c>
      <c r="L435" t="s">
        <v>15</v>
      </c>
    </row>
    <row r="436" spans="1:12" x14ac:dyDescent="0.2">
      <c r="A436">
        <v>435</v>
      </c>
      <c r="B436">
        <v>0</v>
      </c>
      <c r="C436">
        <v>1</v>
      </c>
      <c r="D436" t="s">
        <v>630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 s="3">
        <v>55.9</v>
      </c>
      <c r="K436" t="s">
        <v>631</v>
      </c>
      <c r="L436" t="s">
        <v>15</v>
      </c>
    </row>
    <row r="437" spans="1:12" x14ac:dyDescent="0.2">
      <c r="A437">
        <v>436</v>
      </c>
      <c r="B437">
        <v>1</v>
      </c>
      <c r="C437">
        <v>1</v>
      </c>
      <c r="D437" t="s">
        <v>632</v>
      </c>
      <c r="E437" t="s">
        <v>17</v>
      </c>
      <c r="F437">
        <v>14</v>
      </c>
      <c r="G437">
        <v>1</v>
      </c>
      <c r="H437">
        <v>2</v>
      </c>
      <c r="I437">
        <v>113760</v>
      </c>
      <c r="J437" s="3">
        <v>120</v>
      </c>
      <c r="K437" t="s">
        <v>578</v>
      </c>
      <c r="L437" t="s">
        <v>15</v>
      </c>
    </row>
    <row r="438" spans="1:12" x14ac:dyDescent="0.2">
      <c r="A438">
        <v>437</v>
      </c>
      <c r="B438">
        <v>0</v>
      </c>
      <c r="C438">
        <v>3</v>
      </c>
      <c r="D438" t="s">
        <v>633</v>
      </c>
      <c r="E438" t="s">
        <v>17</v>
      </c>
      <c r="F438">
        <v>21</v>
      </c>
      <c r="G438">
        <v>2</v>
      </c>
      <c r="H438">
        <v>2</v>
      </c>
      <c r="I438" t="s">
        <v>143</v>
      </c>
      <c r="J438" s="3">
        <v>34.375</v>
      </c>
      <c r="L438" t="s">
        <v>15</v>
      </c>
    </row>
    <row r="439" spans="1:12" x14ac:dyDescent="0.2">
      <c r="A439">
        <v>438</v>
      </c>
      <c r="B439">
        <v>1</v>
      </c>
      <c r="C439">
        <v>2</v>
      </c>
      <c r="D439" t="s">
        <v>634</v>
      </c>
      <c r="E439" t="s">
        <v>17</v>
      </c>
      <c r="F439">
        <v>24</v>
      </c>
      <c r="G439">
        <v>2</v>
      </c>
      <c r="H439">
        <v>3</v>
      </c>
      <c r="I439">
        <v>29106</v>
      </c>
      <c r="J439" s="3">
        <v>18.75</v>
      </c>
      <c r="L439" t="s">
        <v>15</v>
      </c>
    </row>
    <row r="440" spans="1:12" x14ac:dyDescent="0.2">
      <c r="A440">
        <v>439</v>
      </c>
      <c r="B440">
        <v>0</v>
      </c>
      <c r="C440">
        <v>1</v>
      </c>
      <c r="D440" t="s">
        <v>635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 s="3">
        <v>263</v>
      </c>
      <c r="K440" t="s">
        <v>57</v>
      </c>
      <c r="L440" t="s">
        <v>15</v>
      </c>
    </row>
    <row r="441" spans="1:12" x14ac:dyDescent="0.2">
      <c r="A441">
        <v>440</v>
      </c>
      <c r="B441">
        <v>0</v>
      </c>
      <c r="C441">
        <v>2</v>
      </c>
      <c r="D441" t="s">
        <v>636</v>
      </c>
      <c r="E441" t="s">
        <v>13</v>
      </c>
      <c r="F441">
        <v>31</v>
      </c>
      <c r="G441">
        <v>0</v>
      </c>
      <c r="H441">
        <v>0</v>
      </c>
      <c r="I441" t="s">
        <v>637</v>
      </c>
      <c r="J441" s="3">
        <v>10.5</v>
      </c>
      <c r="L441" t="s">
        <v>15</v>
      </c>
    </row>
    <row r="442" spans="1:12" x14ac:dyDescent="0.2">
      <c r="A442">
        <v>441</v>
      </c>
      <c r="B442">
        <v>1</v>
      </c>
      <c r="C442">
        <v>2</v>
      </c>
      <c r="D442" t="s">
        <v>638</v>
      </c>
      <c r="E442" t="s">
        <v>17</v>
      </c>
      <c r="F442">
        <v>45</v>
      </c>
      <c r="G442">
        <v>1</v>
      </c>
      <c r="H442">
        <v>1</v>
      </c>
      <c r="I442" t="s">
        <v>477</v>
      </c>
      <c r="J442" s="3">
        <v>26.25</v>
      </c>
      <c r="L442" t="s">
        <v>15</v>
      </c>
    </row>
    <row r="443" spans="1:12" x14ac:dyDescent="0.2">
      <c r="A443">
        <v>442</v>
      </c>
      <c r="B443">
        <v>0</v>
      </c>
      <c r="C443">
        <v>3</v>
      </c>
      <c r="D443" t="s">
        <v>639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 s="3">
        <v>9.5</v>
      </c>
      <c r="L443" t="s">
        <v>15</v>
      </c>
    </row>
    <row r="444" spans="1:12" x14ac:dyDescent="0.2">
      <c r="A444">
        <v>443</v>
      </c>
      <c r="B444">
        <v>0</v>
      </c>
      <c r="C444">
        <v>3</v>
      </c>
      <c r="D444" t="s">
        <v>640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 s="3">
        <v>7.7750000000000004</v>
      </c>
      <c r="L444" t="s">
        <v>15</v>
      </c>
    </row>
    <row r="445" spans="1:12" x14ac:dyDescent="0.2">
      <c r="A445">
        <v>444</v>
      </c>
      <c r="B445">
        <v>1</v>
      </c>
      <c r="C445">
        <v>2</v>
      </c>
      <c r="D445" t="s">
        <v>641</v>
      </c>
      <c r="E445" t="s">
        <v>17</v>
      </c>
      <c r="F445">
        <v>28</v>
      </c>
      <c r="G445">
        <v>0</v>
      </c>
      <c r="H445">
        <v>0</v>
      </c>
      <c r="I445">
        <v>230434</v>
      </c>
      <c r="J445" s="3">
        <v>13</v>
      </c>
      <c r="L445" t="s">
        <v>15</v>
      </c>
    </row>
    <row r="446" spans="1:12" x14ac:dyDescent="0.2">
      <c r="A446">
        <v>445</v>
      </c>
      <c r="B446">
        <v>1</v>
      </c>
      <c r="C446">
        <v>3</v>
      </c>
      <c r="D446" t="s">
        <v>642</v>
      </c>
      <c r="E446" t="s">
        <v>13</v>
      </c>
      <c r="G446">
        <v>0</v>
      </c>
      <c r="H446">
        <v>0</v>
      </c>
      <c r="I446">
        <v>65306</v>
      </c>
      <c r="J446" s="3">
        <v>8.1125000000000007</v>
      </c>
      <c r="L446" t="s">
        <v>15</v>
      </c>
    </row>
    <row r="447" spans="1:12" x14ac:dyDescent="0.2">
      <c r="A447">
        <v>446</v>
      </c>
      <c r="B447">
        <v>1</v>
      </c>
      <c r="C447">
        <v>1</v>
      </c>
      <c r="D447" t="s">
        <v>643</v>
      </c>
      <c r="E447" t="s">
        <v>13</v>
      </c>
      <c r="F447">
        <v>4</v>
      </c>
      <c r="G447">
        <v>0</v>
      </c>
      <c r="H447">
        <v>2</v>
      </c>
      <c r="I447">
        <v>33638</v>
      </c>
      <c r="J447" s="3">
        <v>81.8583</v>
      </c>
      <c r="K447" t="s">
        <v>644</v>
      </c>
      <c r="L447" t="s">
        <v>15</v>
      </c>
    </row>
    <row r="448" spans="1:12" x14ac:dyDescent="0.2">
      <c r="A448">
        <v>447</v>
      </c>
      <c r="B448">
        <v>1</v>
      </c>
      <c r="C448">
        <v>2</v>
      </c>
      <c r="D448" t="s">
        <v>645</v>
      </c>
      <c r="E448" t="s">
        <v>17</v>
      </c>
      <c r="F448">
        <v>13</v>
      </c>
      <c r="G448">
        <v>0</v>
      </c>
      <c r="H448">
        <v>1</v>
      </c>
      <c r="I448">
        <v>250644</v>
      </c>
      <c r="J448" s="3">
        <v>19.5</v>
      </c>
      <c r="L448" t="s">
        <v>15</v>
      </c>
    </row>
    <row r="449" spans="1:12" x14ac:dyDescent="0.2">
      <c r="A449">
        <v>448</v>
      </c>
      <c r="B449">
        <v>1</v>
      </c>
      <c r="C449">
        <v>1</v>
      </c>
      <c r="D449" t="s">
        <v>646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 s="3">
        <v>26.55</v>
      </c>
      <c r="L449" t="s">
        <v>15</v>
      </c>
    </row>
    <row r="450" spans="1:12" x14ac:dyDescent="0.2">
      <c r="A450">
        <v>449</v>
      </c>
      <c r="B450">
        <v>1</v>
      </c>
      <c r="C450">
        <v>3</v>
      </c>
      <c r="D450" t="s">
        <v>647</v>
      </c>
      <c r="E450" t="s">
        <v>17</v>
      </c>
      <c r="F450">
        <v>5</v>
      </c>
      <c r="G450">
        <v>2</v>
      </c>
      <c r="H450">
        <v>1</v>
      </c>
      <c r="I450">
        <v>2666</v>
      </c>
      <c r="J450" s="3">
        <v>19.258299999999998</v>
      </c>
      <c r="L450" t="s">
        <v>20</v>
      </c>
    </row>
    <row r="451" spans="1:12" x14ac:dyDescent="0.2">
      <c r="A451">
        <v>450</v>
      </c>
      <c r="B451">
        <v>1</v>
      </c>
      <c r="C451">
        <v>1</v>
      </c>
      <c r="D451" t="s">
        <v>648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 s="3">
        <v>30.5</v>
      </c>
      <c r="K451" t="s">
        <v>649</v>
      </c>
      <c r="L451" t="s">
        <v>15</v>
      </c>
    </row>
    <row r="452" spans="1:12" x14ac:dyDescent="0.2">
      <c r="A452">
        <v>451</v>
      </c>
      <c r="B452">
        <v>0</v>
      </c>
      <c r="C452">
        <v>2</v>
      </c>
      <c r="D452" t="s">
        <v>650</v>
      </c>
      <c r="E452" t="s">
        <v>13</v>
      </c>
      <c r="F452">
        <v>36</v>
      </c>
      <c r="G452">
        <v>1</v>
      </c>
      <c r="H452">
        <v>2</v>
      </c>
      <c r="I452" t="s">
        <v>103</v>
      </c>
      <c r="J452" s="3">
        <v>27.75</v>
      </c>
      <c r="L452" t="s">
        <v>15</v>
      </c>
    </row>
    <row r="453" spans="1:12" x14ac:dyDescent="0.2">
      <c r="A453">
        <v>452</v>
      </c>
      <c r="B453">
        <v>0</v>
      </c>
      <c r="C453">
        <v>3</v>
      </c>
      <c r="D453" t="s">
        <v>651</v>
      </c>
      <c r="E453" t="s">
        <v>13</v>
      </c>
      <c r="G453">
        <v>1</v>
      </c>
      <c r="H453">
        <v>0</v>
      </c>
      <c r="I453">
        <v>65303</v>
      </c>
      <c r="J453" s="3">
        <v>19.966699999999999</v>
      </c>
      <c r="L453" t="s">
        <v>15</v>
      </c>
    </row>
    <row r="454" spans="1:12" x14ac:dyDescent="0.2">
      <c r="A454">
        <v>453</v>
      </c>
      <c r="B454">
        <v>0</v>
      </c>
      <c r="C454">
        <v>1</v>
      </c>
      <c r="D454" t="s">
        <v>652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 s="3">
        <v>27.75</v>
      </c>
      <c r="K454" t="s">
        <v>653</v>
      </c>
      <c r="L454" t="s">
        <v>20</v>
      </c>
    </row>
    <row r="455" spans="1:12" x14ac:dyDescent="0.2">
      <c r="A455">
        <v>454</v>
      </c>
      <c r="B455">
        <v>1</v>
      </c>
      <c r="C455">
        <v>1</v>
      </c>
      <c r="D455" t="s">
        <v>654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 s="3">
        <v>89.104200000000006</v>
      </c>
      <c r="K455" t="s">
        <v>655</v>
      </c>
      <c r="L455" t="s">
        <v>20</v>
      </c>
    </row>
    <row r="456" spans="1:12" x14ac:dyDescent="0.2">
      <c r="A456">
        <v>455</v>
      </c>
      <c r="B456">
        <v>0</v>
      </c>
      <c r="C456">
        <v>3</v>
      </c>
      <c r="D456" t="s">
        <v>656</v>
      </c>
      <c r="E456" t="s">
        <v>13</v>
      </c>
      <c r="G456">
        <v>0</v>
      </c>
      <c r="H456">
        <v>0</v>
      </c>
      <c r="I456" t="s">
        <v>657</v>
      </c>
      <c r="J456" s="3">
        <v>8.0500000000000007</v>
      </c>
      <c r="L456" t="s">
        <v>15</v>
      </c>
    </row>
    <row r="457" spans="1:12" x14ac:dyDescent="0.2">
      <c r="A457">
        <v>456</v>
      </c>
      <c r="B457">
        <v>1</v>
      </c>
      <c r="C457">
        <v>3</v>
      </c>
      <c r="D457" t="s">
        <v>658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 s="3">
        <v>7.8958000000000004</v>
      </c>
      <c r="L457" t="s">
        <v>20</v>
      </c>
    </row>
    <row r="458" spans="1:12" x14ac:dyDescent="0.2">
      <c r="A458">
        <v>457</v>
      </c>
      <c r="B458">
        <v>0</v>
      </c>
      <c r="C458">
        <v>1</v>
      </c>
      <c r="D458" t="s">
        <v>659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 s="3">
        <v>26.55</v>
      </c>
      <c r="K458" t="s">
        <v>660</v>
      </c>
      <c r="L458" t="s">
        <v>15</v>
      </c>
    </row>
    <row r="459" spans="1:12" x14ac:dyDescent="0.2">
      <c r="A459">
        <v>458</v>
      </c>
      <c r="B459">
        <v>1</v>
      </c>
      <c r="C459">
        <v>1</v>
      </c>
      <c r="D459" t="s">
        <v>661</v>
      </c>
      <c r="E459" t="s">
        <v>17</v>
      </c>
      <c r="G459">
        <v>1</v>
      </c>
      <c r="H459">
        <v>0</v>
      </c>
      <c r="I459">
        <v>17464</v>
      </c>
      <c r="J459" s="3">
        <v>51.862499999999997</v>
      </c>
      <c r="K459" t="s">
        <v>662</v>
      </c>
      <c r="L459" t="s">
        <v>15</v>
      </c>
    </row>
    <row r="460" spans="1:12" x14ac:dyDescent="0.2">
      <c r="A460">
        <v>459</v>
      </c>
      <c r="B460">
        <v>1</v>
      </c>
      <c r="C460">
        <v>2</v>
      </c>
      <c r="D460" t="s">
        <v>663</v>
      </c>
      <c r="E460" t="s">
        <v>17</v>
      </c>
      <c r="F460">
        <v>50</v>
      </c>
      <c r="G460">
        <v>0</v>
      </c>
      <c r="H460">
        <v>0</v>
      </c>
      <c r="I460" t="s">
        <v>664</v>
      </c>
      <c r="J460" s="3">
        <v>10.5</v>
      </c>
      <c r="L460" t="s">
        <v>15</v>
      </c>
    </row>
    <row r="461" spans="1:12" x14ac:dyDescent="0.2">
      <c r="A461">
        <v>460</v>
      </c>
      <c r="B461">
        <v>0</v>
      </c>
      <c r="C461">
        <v>3</v>
      </c>
      <c r="D461" t="s">
        <v>665</v>
      </c>
      <c r="E461" t="s">
        <v>13</v>
      </c>
      <c r="G461">
        <v>0</v>
      </c>
      <c r="H461">
        <v>0</v>
      </c>
      <c r="I461">
        <v>371060</v>
      </c>
      <c r="J461" s="3">
        <v>7.75</v>
      </c>
      <c r="L461" t="s">
        <v>27</v>
      </c>
    </row>
    <row r="462" spans="1:12" x14ac:dyDescent="0.2">
      <c r="A462">
        <v>461</v>
      </c>
      <c r="B462">
        <v>1</v>
      </c>
      <c r="C462">
        <v>1</v>
      </c>
      <c r="D462" t="s">
        <v>666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 s="3">
        <v>26.55</v>
      </c>
      <c r="K462" t="s">
        <v>667</v>
      </c>
      <c r="L462" t="s">
        <v>15</v>
      </c>
    </row>
    <row r="463" spans="1:12" x14ac:dyDescent="0.2">
      <c r="A463">
        <v>462</v>
      </c>
      <c r="B463">
        <v>0</v>
      </c>
      <c r="C463">
        <v>3</v>
      </c>
      <c r="D463" t="s">
        <v>668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 s="3">
        <v>8.0500000000000007</v>
      </c>
      <c r="L463" t="s">
        <v>15</v>
      </c>
    </row>
    <row r="464" spans="1:12" x14ac:dyDescent="0.2">
      <c r="A464">
        <v>463</v>
      </c>
      <c r="B464">
        <v>0</v>
      </c>
      <c r="C464">
        <v>1</v>
      </c>
      <c r="D464" t="s">
        <v>669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 s="3">
        <v>38.5</v>
      </c>
      <c r="K464" t="s">
        <v>670</v>
      </c>
      <c r="L464" t="s">
        <v>15</v>
      </c>
    </row>
    <row r="465" spans="1:12" x14ac:dyDescent="0.2">
      <c r="A465">
        <v>464</v>
      </c>
      <c r="B465">
        <v>0</v>
      </c>
      <c r="C465">
        <v>2</v>
      </c>
      <c r="D465" t="s">
        <v>671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 s="3">
        <v>13</v>
      </c>
      <c r="L465" t="s">
        <v>15</v>
      </c>
    </row>
    <row r="466" spans="1:12" x14ac:dyDescent="0.2">
      <c r="A466">
        <v>465</v>
      </c>
      <c r="B466">
        <v>0</v>
      </c>
      <c r="C466">
        <v>3</v>
      </c>
      <c r="D466" t="s">
        <v>672</v>
      </c>
      <c r="E466" t="s">
        <v>13</v>
      </c>
      <c r="G466">
        <v>0</v>
      </c>
      <c r="H466">
        <v>0</v>
      </c>
      <c r="I466" t="s">
        <v>673</v>
      </c>
      <c r="J466" s="3">
        <v>8.0500000000000007</v>
      </c>
      <c r="L466" t="s">
        <v>15</v>
      </c>
    </row>
    <row r="467" spans="1:12" x14ac:dyDescent="0.2">
      <c r="A467">
        <v>466</v>
      </c>
      <c r="B467">
        <v>0</v>
      </c>
      <c r="C467">
        <v>3</v>
      </c>
      <c r="D467" t="s">
        <v>674</v>
      </c>
      <c r="E467" t="s">
        <v>13</v>
      </c>
      <c r="F467">
        <v>38</v>
      </c>
      <c r="G467">
        <v>0</v>
      </c>
      <c r="H467">
        <v>0</v>
      </c>
      <c r="I467" t="s">
        <v>675</v>
      </c>
      <c r="J467" s="3">
        <v>7.05</v>
      </c>
      <c r="L467" t="s">
        <v>15</v>
      </c>
    </row>
    <row r="468" spans="1:12" x14ac:dyDescent="0.2">
      <c r="A468">
        <v>467</v>
      </c>
      <c r="B468">
        <v>0</v>
      </c>
      <c r="C468">
        <v>2</v>
      </c>
      <c r="D468" t="s">
        <v>676</v>
      </c>
      <c r="E468" t="s">
        <v>13</v>
      </c>
      <c r="G468">
        <v>0</v>
      </c>
      <c r="H468">
        <v>0</v>
      </c>
      <c r="I468">
        <v>239853</v>
      </c>
      <c r="J468" s="3">
        <v>0</v>
      </c>
      <c r="L468" t="s">
        <v>15</v>
      </c>
    </row>
    <row r="469" spans="1:12" x14ac:dyDescent="0.2">
      <c r="A469">
        <v>468</v>
      </c>
      <c r="B469">
        <v>0</v>
      </c>
      <c r="C469">
        <v>1</v>
      </c>
      <c r="D469" t="s">
        <v>677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 s="3">
        <v>26.55</v>
      </c>
      <c r="L469" t="s">
        <v>15</v>
      </c>
    </row>
    <row r="470" spans="1:12" x14ac:dyDescent="0.2">
      <c r="A470">
        <v>469</v>
      </c>
      <c r="B470">
        <v>0</v>
      </c>
      <c r="C470">
        <v>3</v>
      </c>
      <c r="D470" t="s">
        <v>678</v>
      </c>
      <c r="E470" t="s">
        <v>13</v>
      </c>
      <c r="G470">
        <v>0</v>
      </c>
      <c r="H470">
        <v>0</v>
      </c>
      <c r="I470">
        <v>36209</v>
      </c>
      <c r="J470" s="3">
        <v>7.7249999999999996</v>
      </c>
      <c r="L470" t="s">
        <v>27</v>
      </c>
    </row>
    <row r="471" spans="1:12" x14ac:dyDescent="0.2">
      <c r="A471">
        <v>470</v>
      </c>
      <c r="B471">
        <v>1</v>
      </c>
      <c r="C471">
        <v>3</v>
      </c>
      <c r="D471" t="s">
        <v>679</v>
      </c>
      <c r="E471" t="s">
        <v>17</v>
      </c>
      <c r="F471">
        <v>0.75</v>
      </c>
      <c r="G471">
        <v>2</v>
      </c>
      <c r="H471">
        <v>1</v>
      </c>
      <c r="I471">
        <v>2666</v>
      </c>
      <c r="J471" s="3">
        <v>19.258299999999998</v>
      </c>
      <c r="L471" t="s">
        <v>20</v>
      </c>
    </row>
    <row r="472" spans="1:12" x14ac:dyDescent="0.2">
      <c r="A472">
        <v>471</v>
      </c>
      <c r="B472">
        <v>0</v>
      </c>
      <c r="C472">
        <v>3</v>
      </c>
      <c r="D472" t="s">
        <v>680</v>
      </c>
      <c r="E472" t="s">
        <v>13</v>
      </c>
      <c r="G472">
        <v>0</v>
      </c>
      <c r="H472">
        <v>0</v>
      </c>
      <c r="I472">
        <v>323592</v>
      </c>
      <c r="J472" s="3">
        <v>7.25</v>
      </c>
      <c r="L472" t="s">
        <v>15</v>
      </c>
    </row>
    <row r="473" spans="1:12" x14ac:dyDescent="0.2">
      <c r="A473">
        <v>472</v>
      </c>
      <c r="B473">
        <v>0</v>
      </c>
      <c r="C473">
        <v>3</v>
      </c>
      <c r="D473" t="s">
        <v>681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 s="3">
        <v>8.6624999999999996</v>
      </c>
      <c r="L473" t="s">
        <v>15</v>
      </c>
    </row>
    <row r="474" spans="1:12" x14ac:dyDescent="0.2">
      <c r="A474">
        <v>473</v>
      </c>
      <c r="B474">
        <v>1</v>
      </c>
      <c r="C474">
        <v>2</v>
      </c>
      <c r="D474" t="s">
        <v>682</v>
      </c>
      <c r="E474" t="s">
        <v>17</v>
      </c>
      <c r="F474">
        <v>33</v>
      </c>
      <c r="G474">
        <v>1</v>
      </c>
      <c r="H474">
        <v>2</v>
      </c>
      <c r="I474" t="s">
        <v>103</v>
      </c>
      <c r="J474" s="3">
        <v>27.75</v>
      </c>
      <c r="L474" t="s">
        <v>15</v>
      </c>
    </row>
    <row r="475" spans="1:12" x14ac:dyDescent="0.2">
      <c r="A475">
        <v>474</v>
      </c>
      <c r="B475">
        <v>1</v>
      </c>
      <c r="C475">
        <v>2</v>
      </c>
      <c r="D475" t="s">
        <v>683</v>
      </c>
      <c r="E475" t="s">
        <v>17</v>
      </c>
      <c r="F475">
        <v>23</v>
      </c>
      <c r="G475">
        <v>0</v>
      </c>
      <c r="H475">
        <v>0</v>
      </c>
      <c r="I475" t="s">
        <v>684</v>
      </c>
      <c r="J475" s="3">
        <v>13.791700000000001</v>
      </c>
      <c r="K475" t="s">
        <v>442</v>
      </c>
      <c r="L475" t="s">
        <v>20</v>
      </c>
    </row>
    <row r="476" spans="1:12" x14ac:dyDescent="0.2">
      <c r="A476">
        <v>475</v>
      </c>
      <c r="B476">
        <v>0</v>
      </c>
      <c r="C476">
        <v>3</v>
      </c>
      <c r="D476" t="s">
        <v>685</v>
      </c>
      <c r="E476" t="s">
        <v>17</v>
      </c>
      <c r="F476">
        <v>22</v>
      </c>
      <c r="G476">
        <v>0</v>
      </c>
      <c r="H476">
        <v>0</v>
      </c>
      <c r="I476">
        <v>7553</v>
      </c>
      <c r="J476" s="3">
        <v>9.8375000000000004</v>
      </c>
      <c r="L476" t="s">
        <v>15</v>
      </c>
    </row>
    <row r="477" spans="1:12" x14ac:dyDescent="0.2">
      <c r="A477">
        <v>476</v>
      </c>
      <c r="B477">
        <v>0</v>
      </c>
      <c r="C477">
        <v>1</v>
      </c>
      <c r="D477" t="s">
        <v>686</v>
      </c>
      <c r="E477" t="s">
        <v>13</v>
      </c>
      <c r="G477">
        <v>0</v>
      </c>
      <c r="H477">
        <v>0</v>
      </c>
      <c r="I477">
        <v>110465</v>
      </c>
      <c r="J477" s="3">
        <v>52</v>
      </c>
      <c r="K477" t="s">
        <v>687</v>
      </c>
      <c r="L477" t="s">
        <v>15</v>
      </c>
    </row>
    <row r="478" spans="1:12" x14ac:dyDescent="0.2">
      <c r="A478">
        <v>477</v>
      </c>
      <c r="B478">
        <v>0</v>
      </c>
      <c r="C478">
        <v>2</v>
      </c>
      <c r="D478" t="s">
        <v>688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 s="3">
        <v>21</v>
      </c>
      <c r="L478" t="s">
        <v>15</v>
      </c>
    </row>
    <row r="479" spans="1:12" x14ac:dyDescent="0.2">
      <c r="A479">
        <v>478</v>
      </c>
      <c r="B479">
        <v>0</v>
      </c>
      <c r="C479">
        <v>3</v>
      </c>
      <c r="D479" t="s">
        <v>689</v>
      </c>
      <c r="E479" t="s">
        <v>13</v>
      </c>
      <c r="F479">
        <v>29</v>
      </c>
      <c r="G479">
        <v>1</v>
      </c>
      <c r="H479">
        <v>0</v>
      </c>
      <c r="I479">
        <v>3460</v>
      </c>
      <c r="J479" s="3">
        <v>7.0457999999999998</v>
      </c>
      <c r="L479" t="s">
        <v>15</v>
      </c>
    </row>
    <row r="480" spans="1:12" x14ac:dyDescent="0.2">
      <c r="A480">
        <v>479</v>
      </c>
      <c r="B480">
        <v>0</v>
      </c>
      <c r="C480">
        <v>3</v>
      </c>
      <c r="D480" t="s">
        <v>690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 s="3">
        <v>7.5208000000000004</v>
      </c>
      <c r="L480" t="s">
        <v>15</v>
      </c>
    </row>
    <row r="481" spans="1:12" x14ac:dyDescent="0.2">
      <c r="A481">
        <v>480</v>
      </c>
      <c r="B481">
        <v>1</v>
      </c>
      <c r="C481">
        <v>3</v>
      </c>
      <c r="D481" t="s">
        <v>691</v>
      </c>
      <c r="E481" t="s">
        <v>17</v>
      </c>
      <c r="F481">
        <v>2</v>
      </c>
      <c r="G481">
        <v>0</v>
      </c>
      <c r="H481">
        <v>1</v>
      </c>
      <c r="I481">
        <v>3101298</v>
      </c>
      <c r="J481" s="3">
        <v>12.2875</v>
      </c>
      <c r="L481" t="s">
        <v>15</v>
      </c>
    </row>
    <row r="482" spans="1:12" x14ac:dyDescent="0.2">
      <c r="A482">
        <v>481</v>
      </c>
      <c r="B482">
        <v>0</v>
      </c>
      <c r="C482">
        <v>3</v>
      </c>
      <c r="D482" t="s">
        <v>692</v>
      </c>
      <c r="E482" t="s">
        <v>13</v>
      </c>
      <c r="F482">
        <v>9</v>
      </c>
      <c r="G482">
        <v>5</v>
      </c>
      <c r="H482">
        <v>2</v>
      </c>
      <c r="I482" t="s">
        <v>105</v>
      </c>
      <c r="J482" s="3">
        <v>46.9</v>
      </c>
      <c r="L482" t="s">
        <v>15</v>
      </c>
    </row>
    <row r="483" spans="1:12" x14ac:dyDescent="0.2">
      <c r="A483">
        <v>482</v>
      </c>
      <c r="B483">
        <v>0</v>
      </c>
      <c r="C483">
        <v>2</v>
      </c>
      <c r="D483" t="s">
        <v>693</v>
      </c>
      <c r="E483" t="s">
        <v>13</v>
      </c>
      <c r="G483">
        <v>0</v>
      </c>
      <c r="H483">
        <v>0</v>
      </c>
      <c r="I483">
        <v>239854</v>
      </c>
      <c r="J483" s="3">
        <v>0</v>
      </c>
      <c r="L483" t="s">
        <v>15</v>
      </c>
    </row>
    <row r="484" spans="1:12" x14ac:dyDescent="0.2">
      <c r="A484">
        <v>483</v>
      </c>
      <c r="B484">
        <v>0</v>
      </c>
      <c r="C484">
        <v>3</v>
      </c>
      <c r="D484" t="s">
        <v>694</v>
      </c>
      <c r="E484" t="s">
        <v>13</v>
      </c>
      <c r="F484">
        <v>50</v>
      </c>
      <c r="G484">
        <v>0</v>
      </c>
      <c r="H484">
        <v>0</v>
      </c>
      <c r="I484" t="s">
        <v>695</v>
      </c>
      <c r="J484" s="3">
        <v>8.0500000000000007</v>
      </c>
      <c r="L484" t="s">
        <v>15</v>
      </c>
    </row>
    <row r="485" spans="1:12" x14ac:dyDescent="0.2">
      <c r="A485">
        <v>484</v>
      </c>
      <c r="B485">
        <v>1</v>
      </c>
      <c r="C485">
        <v>3</v>
      </c>
      <c r="D485" t="s">
        <v>696</v>
      </c>
      <c r="E485" t="s">
        <v>17</v>
      </c>
      <c r="F485">
        <v>63</v>
      </c>
      <c r="G485">
        <v>0</v>
      </c>
      <c r="H485">
        <v>0</v>
      </c>
      <c r="I485">
        <v>4134</v>
      </c>
      <c r="J485" s="3">
        <v>9.5875000000000004</v>
      </c>
      <c r="L485" t="s">
        <v>15</v>
      </c>
    </row>
    <row r="486" spans="1:12" x14ac:dyDescent="0.2">
      <c r="A486">
        <v>485</v>
      </c>
      <c r="B486">
        <v>1</v>
      </c>
      <c r="C486">
        <v>1</v>
      </c>
      <c r="D486" t="s">
        <v>697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 s="3">
        <v>91.0792</v>
      </c>
      <c r="K486" t="s">
        <v>439</v>
      </c>
      <c r="L486" t="s">
        <v>20</v>
      </c>
    </row>
    <row r="487" spans="1:12" x14ac:dyDescent="0.2">
      <c r="A487">
        <v>486</v>
      </c>
      <c r="B487">
        <v>0</v>
      </c>
      <c r="C487">
        <v>3</v>
      </c>
      <c r="D487" t="s">
        <v>698</v>
      </c>
      <c r="E487" t="s">
        <v>17</v>
      </c>
      <c r="G487">
        <v>3</v>
      </c>
      <c r="H487">
        <v>1</v>
      </c>
      <c r="I487">
        <v>4133</v>
      </c>
      <c r="J487" s="3">
        <v>25.466699999999999</v>
      </c>
      <c r="L487" t="s">
        <v>15</v>
      </c>
    </row>
    <row r="488" spans="1:12" x14ac:dyDescent="0.2">
      <c r="A488">
        <v>487</v>
      </c>
      <c r="B488">
        <v>1</v>
      </c>
      <c r="C488">
        <v>1</v>
      </c>
      <c r="D488" t="s">
        <v>699</v>
      </c>
      <c r="E488" t="s">
        <v>17</v>
      </c>
      <c r="F488">
        <v>35</v>
      </c>
      <c r="G488">
        <v>1</v>
      </c>
      <c r="H488">
        <v>0</v>
      </c>
      <c r="I488">
        <v>19943</v>
      </c>
      <c r="J488" s="3">
        <v>90</v>
      </c>
      <c r="K488" t="s">
        <v>342</v>
      </c>
      <c r="L488" t="s">
        <v>15</v>
      </c>
    </row>
    <row r="489" spans="1:12" x14ac:dyDescent="0.2">
      <c r="A489">
        <v>488</v>
      </c>
      <c r="B489">
        <v>0</v>
      </c>
      <c r="C489">
        <v>1</v>
      </c>
      <c r="D489" t="s">
        <v>700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 s="3">
        <v>29.7</v>
      </c>
      <c r="K489" t="s">
        <v>701</v>
      </c>
      <c r="L489" t="s">
        <v>20</v>
      </c>
    </row>
    <row r="490" spans="1:12" x14ac:dyDescent="0.2">
      <c r="A490">
        <v>489</v>
      </c>
      <c r="B490">
        <v>0</v>
      </c>
      <c r="C490">
        <v>3</v>
      </c>
      <c r="D490" t="s">
        <v>702</v>
      </c>
      <c r="E490" t="s">
        <v>13</v>
      </c>
      <c r="F490">
        <v>30</v>
      </c>
      <c r="G490">
        <v>0</v>
      </c>
      <c r="H490">
        <v>0</v>
      </c>
      <c r="I490" t="s">
        <v>703</v>
      </c>
      <c r="J490" s="3">
        <v>8.0500000000000007</v>
      </c>
      <c r="L490" t="s">
        <v>15</v>
      </c>
    </row>
    <row r="491" spans="1:12" x14ac:dyDescent="0.2">
      <c r="A491">
        <v>490</v>
      </c>
      <c r="B491">
        <v>1</v>
      </c>
      <c r="C491">
        <v>3</v>
      </c>
      <c r="D491" t="s">
        <v>704</v>
      </c>
      <c r="E491" t="s">
        <v>13</v>
      </c>
      <c r="F491">
        <v>9</v>
      </c>
      <c r="G491">
        <v>1</v>
      </c>
      <c r="H491">
        <v>1</v>
      </c>
      <c r="I491" t="s">
        <v>522</v>
      </c>
      <c r="J491" s="3">
        <v>15.9</v>
      </c>
      <c r="L491" t="s">
        <v>15</v>
      </c>
    </row>
    <row r="492" spans="1:12" x14ac:dyDescent="0.2">
      <c r="A492">
        <v>491</v>
      </c>
      <c r="B492">
        <v>0</v>
      </c>
      <c r="C492">
        <v>3</v>
      </c>
      <c r="D492" t="s">
        <v>705</v>
      </c>
      <c r="E492" t="s">
        <v>13</v>
      </c>
      <c r="G492">
        <v>1</v>
      </c>
      <c r="H492">
        <v>0</v>
      </c>
      <c r="I492">
        <v>65304</v>
      </c>
      <c r="J492" s="3">
        <v>19.966699999999999</v>
      </c>
      <c r="L492" t="s">
        <v>15</v>
      </c>
    </row>
    <row r="493" spans="1:12" x14ac:dyDescent="0.2">
      <c r="A493">
        <v>492</v>
      </c>
      <c r="B493">
        <v>0</v>
      </c>
      <c r="C493">
        <v>3</v>
      </c>
      <c r="D493" t="s">
        <v>706</v>
      </c>
      <c r="E493" t="s">
        <v>13</v>
      </c>
      <c r="F493">
        <v>21</v>
      </c>
      <c r="G493">
        <v>0</v>
      </c>
      <c r="H493">
        <v>0</v>
      </c>
      <c r="I493" t="s">
        <v>707</v>
      </c>
      <c r="J493" s="3">
        <v>7.25</v>
      </c>
      <c r="L493" t="s">
        <v>15</v>
      </c>
    </row>
    <row r="494" spans="1:12" x14ac:dyDescent="0.2">
      <c r="A494">
        <v>493</v>
      </c>
      <c r="B494">
        <v>0</v>
      </c>
      <c r="C494">
        <v>1</v>
      </c>
      <c r="D494" t="s">
        <v>708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 s="3">
        <v>30.5</v>
      </c>
      <c r="K494" t="s">
        <v>709</v>
      </c>
      <c r="L494" t="s">
        <v>15</v>
      </c>
    </row>
    <row r="495" spans="1:12" x14ac:dyDescent="0.2">
      <c r="A495">
        <v>494</v>
      </c>
      <c r="B495">
        <v>0</v>
      </c>
      <c r="C495">
        <v>1</v>
      </c>
      <c r="D495" t="s">
        <v>710</v>
      </c>
      <c r="E495" t="s">
        <v>13</v>
      </c>
      <c r="F495">
        <v>71</v>
      </c>
      <c r="G495">
        <v>0</v>
      </c>
      <c r="H495">
        <v>0</v>
      </c>
      <c r="I495" t="s">
        <v>711</v>
      </c>
      <c r="J495" s="3">
        <v>49.504199999999997</v>
      </c>
      <c r="L495" t="s">
        <v>20</v>
      </c>
    </row>
    <row r="496" spans="1:12" x14ac:dyDescent="0.2">
      <c r="A496">
        <v>495</v>
      </c>
      <c r="B496">
        <v>0</v>
      </c>
      <c r="C496">
        <v>3</v>
      </c>
      <c r="D496" t="s">
        <v>712</v>
      </c>
      <c r="E496" t="s">
        <v>13</v>
      </c>
      <c r="F496">
        <v>21</v>
      </c>
      <c r="G496">
        <v>0</v>
      </c>
      <c r="H496">
        <v>0</v>
      </c>
      <c r="I496" t="s">
        <v>713</v>
      </c>
      <c r="J496" s="3">
        <v>8.0500000000000007</v>
      </c>
      <c r="L496" t="s">
        <v>15</v>
      </c>
    </row>
    <row r="497" spans="1:12" x14ac:dyDescent="0.2">
      <c r="A497">
        <v>496</v>
      </c>
      <c r="B497">
        <v>0</v>
      </c>
      <c r="C497">
        <v>3</v>
      </c>
      <c r="D497" t="s">
        <v>714</v>
      </c>
      <c r="E497" t="s">
        <v>13</v>
      </c>
      <c r="G497">
        <v>0</v>
      </c>
      <c r="H497">
        <v>0</v>
      </c>
      <c r="I497">
        <v>2627</v>
      </c>
      <c r="J497" s="3">
        <v>14.458299999999999</v>
      </c>
      <c r="L497" t="s">
        <v>20</v>
      </c>
    </row>
    <row r="498" spans="1:12" x14ac:dyDescent="0.2">
      <c r="A498">
        <v>497</v>
      </c>
      <c r="B498">
        <v>1</v>
      </c>
      <c r="C498">
        <v>1</v>
      </c>
      <c r="D498" t="s">
        <v>715</v>
      </c>
      <c r="E498" t="s">
        <v>17</v>
      </c>
      <c r="F498">
        <v>54</v>
      </c>
      <c r="G498">
        <v>1</v>
      </c>
      <c r="H498">
        <v>0</v>
      </c>
      <c r="I498">
        <v>36947</v>
      </c>
      <c r="J498" s="3">
        <v>78.2667</v>
      </c>
      <c r="K498" t="s">
        <v>716</v>
      </c>
      <c r="L498" t="s">
        <v>20</v>
      </c>
    </row>
    <row r="499" spans="1:12" x14ac:dyDescent="0.2">
      <c r="A499">
        <v>498</v>
      </c>
      <c r="B499">
        <v>0</v>
      </c>
      <c r="C499">
        <v>3</v>
      </c>
      <c r="D499" t="s">
        <v>717</v>
      </c>
      <c r="E499" t="s">
        <v>13</v>
      </c>
      <c r="G499">
        <v>0</v>
      </c>
      <c r="H499">
        <v>0</v>
      </c>
      <c r="I499" t="s">
        <v>718</v>
      </c>
      <c r="J499" s="3">
        <v>15.1</v>
      </c>
      <c r="L499" t="s">
        <v>15</v>
      </c>
    </row>
    <row r="500" spans="1:12" x14ac:dyDescent="0.2">
      <c r="A500">
        <v>499</v>
      </c>
      <c r="B500">
        <v>0</v>
      </c>
      <c r="C500">
        <v>1</v>
      </c>
      <c r="D500" t="s">
        <v>719</v>
      </c>
      <c r="E500" t="s">
        <v>17</v>
      </c>
      <c r="F500">
        <v>25</v>
      </c>
      <c r="G500">
        <v>1</v>
      </c>
      <c r="H500">
        <v>2</v>
      </c>
      <c r="I500">
        <v>113781</v>
      </c>
      <c r="J500" s="3">
        <v>151.55000000000001</v>
      </c>
      <c r="K500" t="s">
        <v>449</v>
      </c>
      <c r="L500" t="s">
        <v>15</v>
      </c>
    </row>
    <row r="501" spans="1:12" x14ac:dyDescent="0.2">
      <c r="A501">
        <v>500</v>
      </c>
      <c r="B501">
        <v>0</v>
      </c>
      <c r="C501">
        <v>3</v>
      </c>
      <c r="D501" t="s">
        <v>720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 s="3">
        <v>7.7957999999999998</v>
      </c>
      <c r="L501" t="s">
        <v>15</v>
      </c>
    </row>
    <row r="502" spans="1:12" x14ac:dyDescent="0.2">
      <c r="A502">
        <v>501</v>
      </c>
      <c r="B502">
        <v>0</v>
      </c>
      <c r="C502">
        <v>3</v>
      </c>
      <c r="D502" t="s">
        <v>721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 s="3">
        <v>8.6624999999999996</v>
      </c>
      <c r="L502" t="s">
        <v>15</v>
      </c>
    </row>
    <row r="503" spans="1:12" x14ac:dyDescent="0.2">
      <c r="A503">
        <v>502</v>
      </c>
      <c r="B503">
        <v>0</v>
      </c>
      <c r="C503">
        <v>3</v>
      </c>
      <c r="D503" t="s">
        <v>722</v>
      </c>
      <c r="E503" t="s">
        <v>17</v>
      </c>
      <c r="F503">
        <v>21</v>
      </c>
      <c r="G503">
        <v>0</v>
      </c>
      <c r="H503">
        <v>0</v>
      </c>
      <c r="I503">
        <v>364846</v>
      </c>
      <c r="J503" s="3">
        <v>7.75</v>
      </c>
      <c r="L503" t="s">
        <v>27</v>
      </c>
    </row>
    <row r="504" spans="1:12" x14ac:dyDescent="0.2">
      <c r="A504">
        <v>503</v>
      </c>
      <c r="B504">
        <v>0</v>
      </c>
      <c r="C504">
        <v>3</v>
      </c>
      <c r="D504" t="s">
        <v>723</v>
      </c>
      <c r="E504" t="s">
        <v>17</v>
      </c>
      <c r="G504">
        <v>0</v>
      </c>
      <c r="H504">
        <v>0</v>
      </c>
      <c r="I504">
        <v>330909</v>
      </c>
      <c r="J504" s="3">
        <v>7.6292</v>
      </c>
      <c r="L504" t="s">
        <v>27</v>
      </c>
    </row>
    <row r="505" spans="1:12" x14ac:dyDescent="0.2">
      <c r="A505">
        <v>504</v>
      </c>
      <c r="B505">
        <v>0</v>
      </c>
      <c r="C505">
        <v>3</v>
      </c>
      <c r="D505" t="s">
        <v>724</v>
      </c>
      <c r="E505" t="s">
        <v>17</v>
      </c>
      <c r="F505">
        <v>37</v>
      </c>
      <c r="G505">
        <v>0</v>
      </c>
      <c r="H505">
        <v>0</v>
      </c>
      <c r="I505">
        <v>4135</v>
      </c>
      <c r="J505" s="3">
        <v>9.5875000000000004</v>
      </c>
      <c r="L505" t="s">
        <v>15</v>
      </c>
    </row>
    <row r="506" spans="1:12" x14ac:dyDescent="0.2">
      <c r="A506">
        <v>505</v>
      </c>
      <c r="B506">
        <v>1</v>
      </c>
      <c r="C506">
        <v>1</v>
      </c>
      <c r="D506" t="s">
        <v>725</v>
      </c>
      <c r="E506" t="s">
        <v>17</v>
      </c>
      <c r="F506">
        <v>16</v>
      </c>
      <c r="G506">
        <v>0</v>
      </c>
      <c r="H506">
        <v>0</v>
      </c>
      <c r="I506">
        <v>110152</v>
      </c>
      <c r="J506" s="3">
        <v>86.5</v>
      </c>
      <c r="K506" t="s">
        <v>726</v>
      </c>
      <c r="L506" t="s">
        <v>15</v>
      </c>
    </row>
    <row r="507" spans="1:12" x14ac:dyDescent="0.2">
      <c r="A507">
        <v>506</v>
      </c>
      <c r="B507">
        <v>0</v>
      </c>
      <c r="C507">
        <v>1</v>
      </c>
      <c r="D507" t="s">
        <v>727</v>
      </c>
      <c r="E507" t="s">
        <v>13</v>
      </c>
      <c r="F507">
        <v>18</v>
      </c>
      <c r="G507">
        <v>1</v>
      </c>
      <c r="H507">
        <v>0</v>
      </c>
      <c r="I507" t="s">
        <v>462</v>
      </c>
      <c r="J507" s="3">
        <v>108.9</v>
      </c>
      <c r="K507" t="s">
        <v>463</v>
      </c>
      <c r="L507" t="s">
        <v>20</v>
      </c>
    </row>
    <row r="508" spans="1:12" x14ac:dyDescent="0.2">
      <c r="A508">
        <v>507</v>
      </c>
      <c r="B508">
        <v>1</v>
      </c>
      <c r="C508">
        <v>2</v>
      </c>
      <c r="D508" t="s">
        <v>728</v>
      </c>
      <c r="E508" t="s">
        <v>17</v>
      </c>
      <c r="F508">
        <v>33</v>
      </c>
      <c r="G508">
        <v>0</v>
      </c>
      <c r="H508">
        <v>2</v>
      </c>
      <c r="I508">
        <v>26360</v>
      </c>
      <c r="J508" s="3">
        <v>26</v>
      </c>
      <c r="L508" t="s">
        <v>15</v>
      </c>
    </row>
    <row r="509" spans="1:12" x14ac:dyDescent="0.2">
      <c r="A509">
        <v>508</v>
      </c>
      <c r="B509">
        <v>1</v>
      </c>
      <c r="C509">
        <v>1</v>
      </c>
      <c r="D509" t="s">
        <v>729</v>
      </c>
      <c r="E509" t="s">
        <v>13</v>
      </c>
      <c r="G509">
        <v>0</v>
      </c>
      <c r="H509">
        <v>0</v>
      </c>
      <c r="I509">
        <v>111427</v>
      </c>
      <c r="J509" s="3">
        <v>26.55</v>
      </c>
      <c r="L509" t="s">
        <v>15</v>
      </c>
    </row>
    <row r="510" spans="1:12" x14ac:dyDescent="0.2">
      <c r="A510">
        <v>509</v>
      </c>
      <c r="B510">
        <v>0</v>
      </c>
      <c r="C510">
        <v>3</v>
      </c>
      <c r="D510" t="s">
        <v>730</v>
      </c>
      <c r="E510" t="s">
        <v>13</v>
      </c>
      <c r="F510">
        <v>28</v>
      </c>
      <c r="G510">
        <v>0</v>
      </c>
      <c r="H510">
        <v>0</v>
      </c>
      <c r="I510" t="s">
        <v>731</v>
      </c>
      <c r="J510" s="3">
        <v>22.524999999999999</v>
      </c>
      <c r="L510" t="s">
        <v>15</v>
      </c>
    </row>
    <row r="511" spans="1:12" x14ac:dyDescent="0.2">
      <c r="A511">
        <v>510</v>
      </c>
      <c r="B511">
        <v>1</v>
      </c>
      <c r="C511">
        <v>3</v>
      </c>
      <c r="D511" t="s">
        <v>732</v>
      </c>
      <c r="E511" t="s">
        <v>13</v>
      </c>
      <c r="F511">
        <v>26</v>
      </c>
      <c r="G511">
        <v>0</v>
      </c>
      <c r="H511">
        <v>0</v>
      </c>
      <c r="I511">
        <v>1601</v>
      </c>
      <c r="J511" s="3">
        <v>56.495800000000003</v>
      </c>
      <c r="L511" t="s">
        <v>15</v>
      </c>
    </row>
    <row r="512" spans="1:12" x14ac:dyDescent="0.2">
      <c r="A512">
        <v>511</v>
      </c>
      <c r="B512">
        <v>1</v>
      </c>
      <c r="C512">
        <v>3</v>
      </c>
      <c r="D512" t="s">
        <v>733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 s="3">
        <v>7.75</v>
      </c>
      <c r="L512" t="s">
        <v>27</v>
      </c>
    </row>
    <row r="513" spans="1:12" x14ac:dyDescent="0.2">
      <c r="A513">
        <v>512</v>
      </c>
      <c r="B513">
        <v>0</v>
      </c>
      <c r="C513">
        <v>3</v>
      </c>
      <c r="D513" t="s">
        <v>734</v>
      </c>
      <c r="E513" t="s">
        <v>13</v>
      </c>
      <c r="G513">
        <v>0</v>
      </c>
      <c r="H513">
        <v>0</v>
      </c>
      <c r="I513" t="s">
        <v>735</v>
      </c>
      <c r="J513" s="3">
        <v>8.0500000000000007</v>
      </c>
      <c r="L513" t="s">
        <v>15</v>
      </c>
    </row>
    <row r="514" spans="1:12" x14ac:dyDescent="0.2">
      <c r="A514">
        <v>513</v>
      </c>
      <c r="B514">
        <v>1</v>
      </c>
      <c r="C514">
        <v>1</v>
      </c>
      <c r="D514" t="s">
        <v>736</v>
      </c>
      <c r="E514" t="s">
        <v>13</v>
      </c>
      <c r="F514">
        <v>36</v>
      </c>
      <c r="G514">
        <v>0</v>
      </c>
      <c r="H514">
        <v>0</v>
      </c>
      <c r="I514" t="s">
        <v>737</v>
      </c>
      <c r="J514" s="3">
        <v>26.287500000000001</v>
      </c>
      <c r="K514" t="s">
        <v>738</v>
      </c>
      <c r="L514" t="s">
        <v>15</v>
      </c>
    </row>
    <row r="515" spans="1:12" x14ac:dyDescent="0.2">
      <c r="A515">
        <v>514</v>
      </c>
      <c r="B515">
        <v>1</v>
      </c>
      <c r="C515">
        <v>1</v>
      </c>
      <c r="D515" t="s">
        <v>739</v>
      </c>
      <c r="E515" t="s">
        <v>17</v>
      </c>
      <c r="F515">
        <v>54</v>
      </c>
      <c r="G515">
        <v>1</v>
      </c>
      <c r="H515">
        <v>0</v>
      </c>
      <c r="I515" t="s">
        <v>740</v>
      </c>
      <c r="J515" s="3">
        <v>59.4</v>
      </c>
      <c r="L515" t="s">
        <v>20</v>
      </c>
    </row>
    <row r="516" spans="1:12" x14ac:dyDescent="0.2">
      <c r="A516">
        <v>515</v>
      </c>
      <c r="B516">
        <v>0</v>
      </c>
      <c r="C516">
        <v>3</v>
      </c>
      <c r="D516" t="s">
        <v>741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 s="3">
        <v>7.4958</v>
      </c>
      <c r="L516" t="s">
        <v>15</v>
      </c>
    </row>
    <row r="517" spans="1:12" x14ac:dyDescent="0.2">
      <c r="A517">
        <v>516</v>
      </c>
      <c r="B517">
        <v>0</v>
      </c>
      <c r="C517">
        <v>1</v>
      </c>
      <c r="D517" t="s">
        <v>742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 s="3">
        <v>34.020800000000001</v>
      </c>
      <c r="K517" t="s">
        <v>743</v>
      </c>
      <c r="L517" t="s">
        <v>15</v>
      </c>
    </row>
    <row r="518" spans="1:12" x14ac:dyDescent="0.2">
      <c r="A518">
        <v>517</v>
      </c>
      <c r="B518">
        <v>1</v>
      </c>
      <c r="C518">
        <v>2</v>
      </c>
      <c r="D518" t="s">
        <v>744</v>
      </c>
      <c r="E518" t="s">
        <v>17</v>
      </c>
      <c r="F518">
        <v>34</v>
      </c>
      <c r="G518">
        <v>0</v>
      </c>
      <c r="H518">
        <v>0</v>
      </c>
      <c r="I518" t="s">
        <v>745</v>
      </c>
      <c r="J518" s="3">
        <v>10.5</v>
      </c>
      <c r="K518" t="s">
        <v>117</v>
      </c>
      <c r="L518" t="s">
        <v>15</v>
      </c>
    </row>
    <row r="519" spans="1:12" x14ac:dyDescent="0.2">
      <c r="A519">
        <v>518</v>
      </c>
      <c r="B519">
        <v>0</v>
      </c>
      <c r="C519">
        <v>3</v>
      </c>
      <c r="D519" t="s">
        <v>746</v>
      </c>
      <c r="E519" t="s">
        <v>13</v>
      </c>
      <c r="G519">
        <v>0</v>
      </c>
      <c r="H519">
        <v>0</v>
      </c>
      <c r="I519">
        <v>371110</v>
      </c>
      <c r="J519" s="3">
        <v>24.15</v>
      </c>
      <c r="L519" t="s">
        <v>27</v>
      </c>
    </row>
    <row r="520" spans="1:12" x14ac:dyDescent="0.2">
      <c r="A520">
        <v>519</v>
      </c>
      <c r="B520">
        <v>1</v>
      </c>
      <c r="C520">
        <v>2</v>
      </c>
      <c r="D520" t="s">
        <v>747</v>
      </c>
      <c r="E520" t="s">
        <v>17</v>
      </c>
      <c r="F520">
        <v>36</v>
      </c>
      <c r="G520">
        <v>1</v>
      </c>
      <c r="H520">
        <v>0</v>
      </c>
      <c r="I520">
        <v>226875</v>
      </c>
      <c r="J520" s="3">
        <v>26</v>
      </c>
      <c r="L520" t="s">
        <v>15</v>
      </c>
    </row>
    <row r="521" spans="1:12" x14ac:dyDescent="0.2">
      <c r="A521">
        <v>520</v>
      </c>
      <c r="B521">
        <v>0</v>
      </c>
      <c r="C521">
        <v>3</v>
      </c>
      <c r="D521" t="s">
        <v>748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 s="3">
        <v>7.8958000000000004</v>
      </c>
      <c r="L521" t="s">
        <v>15</v>
      </c>
    </row>
    <row r="522" spans="1:12" x14ac:dyDescent="0.2">
      <c r="A522">
        <v>521</v>
      </c>
      <c r="B522">
        <v>1</v>
      </c>
      <c r="C522">
        <v>1</v>
      </c>
      <c r="D522" t="s">
        <v>749</v>
      </c>
      <c r="E522" t="s">
        <v>17</v>
      </c>
      <c r="F522">
        <v>30</v>
      </c>
      <c r="G522">
        <v>0</v>
      </c>
      <c r="H522">
        <v>0</v>
      </c>
      <c r="I522">
        <v>12749</v>
      </c>
      <c r="J522" s="3">
        <v>93.5</v>
      </c>
      <c r="K522" t="s">
        <v>750</v>
      </c>
      <c r="L522" t="s">
        <v>15</v>
      </c>
    </row>
    <row r="523" spans="1:12" x14ac:dyDescent="0.2">
      <c r="A523">
        <v>522</v>
      </c>
      <c r="B523">
        <v>0</v>
      </c>
      <c r="C523">
        <v>3</v>
      </c>
      <c r="D523" t="s">
        <v>751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 s="3">
        <v>7.8958000000000004</v>
      </c>
      <c r="L523" t="s">
        <v>15</v>
      </c>
    </row>
    <row r="524" spans="1:12" x14ac:dyDescent="0.2">
      <c r="A524">
        <v>523</v>
      </c>
      <c r="B524">
        <v>0</v>
      </c>
      <c r="C524">
        <v>3</v>
      </c>
      <c r="D524" t="s">
        <v>752</v>
      </c>
      <c r="E524" t="s">
        <v>13</v>
      </c>
      <c r="G524">
        <v>0</v>
      </c>
      <c r="H524">
        <v>0</v>
      </c>
      <c r="I524">
        <v>2624</v>
      </c>
      <c r="J524" s="3">
        <v>7.2249999999999996</v>
      </c>
      <c r="L524" t="s">
        <v>20</v>
      </c>
    </row>
    <row r="525" spans="1:12" x14ac:dyDescent="0.2">
      <c r="A525">
        <v>524</v>
      </c>
      <c r="B525">
        <v>1</v>
      </c>
      <c r="C525">
        <v>1</v>
      </c>
      <c r="D525" t="s">
        <v>753</v>
      </c>
      <c r="E525" t="s">
        <v>17</v>
      </c>
      <c r="F525">
        <v>44</v>
      </c>
      <c r="G525">
        <v>0</v>
      </c>
      <c r="H525">
        <v>1</v>
      </c>
      <c r="I525">
        <v>111361</v>
      </c>
      <c r="J525" s="3">
        <v>57.979199999999999</v>
      </c>
      <c r="K525" t="s">
        <v>497</v>
      </c>
      <c r="L525" t="s">
        <v>20</v>
      </c>
    </row>
    <row r="526" spans="1:12" x14ac:dyDescent="0.2">
      <c r="A526">
        <v>525</v>
      </c>
      <c r="B526">
        <v>0</v>
      </c>
      <c r="C526">
        <v>3</v>
      </c>
      <c r="D526" t="s">
        <v>754</v>
      </c>
      <c r="E526" t="s">
        <v>13</v>
      </c>
      <c r="G526">
        <v>0</v>
      </c>
      <c r="H526">
        <v>0</v>
      </c>
      <c r="I526">
        <v>2700</v>
      </c>
      <c r="J526" s="3">
        <v>7.2291999999999996</v>
      </c>
      <c r="L526" t="s">
        <v>20</v>
      </c>
    </row>
    <row r="527" spans="1:12" x14ac:dyDescent="0.2">
      <c r="A527">
        <v>526</v>
      </c>
      <c r="B527">
        <v>0</v>
      </c>
      <c r="C527">
        <v>3</v>
      </c>
      <c r="D527" t="s">
        <v>755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 s="3">
        <v>7.75</v>
      </c>
      <c r="L527" t="s">
        <v>27</v>
      </c>
    </row>
    <row r="528" spans="1:12" x14ac:dyDescent="0.2">
      <c r="A528">
        <v>527</v>
      </c>
      <c r="B528">
        <v>1</v>
      </c>
      <c r="C528">
        <v>2</v>
      </c>
      <c r="D528" t="s">
        <v>756</v>
      </c>
      <c r="E528" t="s">
        <v>17</v>
      </c>
      <c r="F528">
        <v>50</v>
      </c>
      <c r="G528">
        <v>0</v>
      </c>
      <c r="H528">
        <v>0</v>
      </c>
      <c r="I528" t="s">
        <v>757</v>
      </c>
      <c r="J528" s="3">
        <v>10.5</v>
      </c>
      <c r="L528" t="s">
        <v>15</v>
      </c>
    </row>
    <row r="529" spans="1:12" x14ac:dyDescent="0.2">
      <c r="A529">
        <v>528</v>
      </c>
      <c r="B529">
        <v>0</v>
      </c>
      <c r="C529">
        <v>1</v>
      </c>
      <c r="D529" t="s">
        <v>758</v>
      </c>
      <c r="E529" t="s">
        <v>13</v>
      </c>
      <c r="G529">
        <v>0</v>
      </c>
      <c r="H529">
        <v>0</v>
      </c>
      <c r="I529" t="s">
        <v>759</v>
      </c>
      <c r="J529" s="3">
        <v>221.7792</v>
      </c>
      <c r="K529" t="s">
        <v>760</v>
      </c>
      <c r="L529" t="s">
        <v>15</v>
      </c>
    </row>
    <row r="530" spans="1:12" x14ac:dyDescent="0.2">
      <c r="A530">
        <v>529</v>
      </c>
      <c r="B530">
        <v>0</v>
      </c>
      <c r="C530">
        <v>3</v>
      </c>
      <c r="D530" t="s">
        <v>761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 s="3">
        <v>7.9249999999999998</v>
      </c>
      <c r="L530" t="s">
        <v>15</v>
      </c>
    </row>
    <row r="531" spans="1:12" x14ac:dyDescent="0.2">
      <c r="A531">
        <v>530</v>
      </c>
      <c r="B531">
        <v>0</v>
      </c>
      <c r="C531">
        <v>2</v>
      </c>
      <c r="D531" t="s">
        <v>762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 s="3">
        <v>11.5</v>
      </c>
      <c r="L531" t="s">
        <v>15</v>
      </c>
    </row>
    <row r="532" spans="1:12" x14ac:dyDescent="0.2">
      <c r="A532">
        <v>531</v>
      </c>
      <c r="B532">
        <v>1</v>
      </c>
      <c r="C532">
        <v>2</v>
      </c>
      <c r="D532" t="s">
        <v>763</v>
      </c>
      <c r="E532" t="s">
        <v>17</v>
      </c>
      <c r="F532">
        <v>2</v>
      </c>
      <c r="G532">
        <v>1</v>
      </c>
      <c r="H532">
        <v>1</v>
      </c>
      <c r="I532">
        <v>26360</v>
      </c>
      <c r="J532" s="3">
        <v>26</v>
      </c>
      <c r="L532" t="s">
        <v>15</v>
      </c>
    </row>
    <row r="533" spans="1:12" x14ac:dyDescent="0.2">
      <c r="A533">
        <v>532</v>
      </c>
      <c r="B533">
        <v>0</v>
      </c>
      <c r="C533">
        <v>3</v>
      </c>
      <c r="D533" t="s">
        <v>764</v>
      </c>
      <c r="E533" t="s">
        <v>13</v>
      </c>
      <c r="G533">
        <v>0</v>
      </c>
      <c r="H533">
        <v>0</v>
      </c>
      <c r="I533">
        <v>2641</v>
      </c>
      <c r="J533" s="3">
        <v>7.2291999999999996</v>
      </c>
      <c r="L533" t="s">
        <v>20</v>
      </c>
    </row>
    <row r="534" spans="1:12" x14ac:dyDescent="0.2">
      <c r="A534">
        <v>533</v>
      </c>
      <c r="B534">
        <v>0</v>
      </c>
      <c r="C534">
        <v>3</v>
      </c>
      <c r="D534" t="s">
        <v>765</v>
      </c>
      <c r="E534" t="s">
        <v>13</v>
      </c>
      <c r="F534">
        <v>17</v>
      </c>
      <c r="G534">
        <v>1</v>
      </c>
      <c r="H534">
        <v>1</v>
      </c>
      <c r="I534">
        <v>2690</v>
      </c>
      <c r="J534" s="3">
        <v>7.2291999999999996</v>
      </c>
      <c r="L534" t="s">
        <v>20</v>
      </c>
    </row>
    <row r="535" spans="1:12" x14ac:dyDescent="0.2">
      <c r="A535">
        <v>534</v>
      </c>
      <c r="B535">
        <v>1</v>
      </c>
      <c r="C535">
        <v>3</v>
      </c>
      <c r="D535" t="s">
        <v>766</v>
      </c>
      <c r="E535" t="s">
        <v>17</v>
      </c>
      <c r="G535">
        <v>0</v>
      </c>
      <c r="H535">
        <v>2</v>
      </c>
      <c r="I535">
        <v>2668</v>
      </c>
      <c r="J535" s="3">
        <v>22.3583</v>
      </c>
      <c r="L535" t="s">
        <v>20</v>
      </c>
    </row>
    <row r="536" spans="1:12" x14ac:dyDescent="0.2">
      <c r="A536">
        <v>535</v>
      </c>
      <c r="B536">
        <v>0</v>
      </c>
      <c r="C536">
        <v>3</v>
      </c>
      <c r="D536" t="s">
        <v>767</v>
      </c>
      <c r="E536" t="s">
        <v>17</v>
      </c>
      <c r="F536">
        <v>30</v>
      </c>
      <c r="G536">
        <v>0</v>
      </c>
      <c r="H536">
        <v>0</v>
      </c>
      <c r="I536">
        <v>315084</v>
      </c>
      <c r="J536" s="3">
        <v>8.6624999999999996</v>
      </c>
      <c r="L536" t="s">
        <v>15</v>
      </c>
    </row>
    <row r="537" spans="1:12" x14ac:dyDescent="0.2">
      <c r="A537">
        <v>536</v>
      </c>
      <c r="B537">
        <v>1</v>
      </c>
      <c r="C537">
        <v>2</v>
      </c>
      <c r="D537" t="s">
        <v>768</v>
      </c>
      <c r="E537" t="s">
        <v>17</v>
      </c>
      <c r="F537">
        <v>7</v>
      </c>
      <c r="G537">
        <v>0</v>
      </c>
      <c r="H537">
        <v>2</v>
      </c>
      <c r="I537" t="s">
        <v>477</v>
      </c>
      <c r="J537" s="3">
        <v>26.25</v>
      </c>
      <c r="L537" t="s">
        <v>15</v>
      </c>
    </row>
    <row r="538" spans="1:12" x14ac:dyDescent="0.2">
      <c r="A538">
        <v>537</v>
      </c>
      <c r="B538">
        <v>0</v>
      </c>
      <c r="C538">
        <v>1</v>
      </c>
      <c r="D538" t="s">
        <v>769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 s="3">
        <v>26.55</v>
      </c>
      <c r="K538" t="s">
        <v>770</v>
      </c>
      <c r="L538" t="s">
        <v>15</v>
      </c>
    </row>
    <row r="539" spans="1:12" x14ac:dyDescent="0.2">
      <c r="A539">
        <v>538</v>
      </c>
      <c r="B539">
        <v>1</v>
      </c>
      <c r="C539">
        <v>1</v>
      </c>
      <c r="D539" t="s">
        <v>771</v>
      </c>
      <c r="E539" t="s">
        <v>17</v>
      </c>
      <c r="F539">
        <v>30</v>
      </c>
      <c r="G539">
        <v>0</v>
      </c>
      <c r="H539">
        <v>0</v>
      </c>
      <c r="I539" t="s">
        <v>772</v>
      </c>
      <c r="J539" s="3">
        <v>106.425</v>
      </c>
      <c r="L539" t="s">
        <v>20</v>
      </c>
    </row>
    <row r="540" spans="1:12" x14ac:dyDescent="0.2">
      <c r="A540">
        <v>539</v>
      </c>
      <c r="B540">
        <v>0</v>
      </c>
      <c r="C540">
        <v>3</v>
      </c>
      <c r="D540" t="s">
        <v>773</v>
      </c>
      <c r="E540" t="s">
        <v>13</v>
      </c>
      <c r="G540">
        <v>0</v>
      </c>
      <c r="H540">
        <v>0</v>
      </c>
      <c r="I540">
        <v>364498</v>
      </c>
      <c r="J540" s="3">
        <v>14.5</v>
      </c>
      <c r="L540" t="s">
        <v>15</v>
      </c>
    </row>
    <row r="541" spans="1:12" x14ac:dyDescent="0.2">
      <c r="A541">
        <v>540</v>
      </c>
      <c r="B541">
        <v>1</v>
      </c>
      <c r="C541">
        <v>1</v>
      </c>
      <c r="D541" t="s">
        <v>774</v>
      </c>
      <c r="E541" t="s">
        <v>17</v>
      </c>
      <c r="F541">
        <v>22</v>
      </c>
      <c r="G541">
        <v>0</v>
      </c>
      <c r="H541">
        <v>2</v>
      </c>
      <c r="I541">
        <v>13568</v>
      </c>
      <c r="J541" s="3">
        <v>49.5</v>
      </c>
      <c r="K541" t="s">
        <v>775</v>
      </c>
      <c r="L541" t="s">
        <v>20</v>
      </c>
    </row>
    <row r="542" spans="1:12" x14ac:dyDescent="0.2">
      <c r="A542">
        <v>541</v>
      </c>
      <c r="B542">
        <v>1</v>
      </c>
      <c r="C542">
        <v>1</v>
      </c>
      <c r="D542" t="s">
        <v>776</v>
      </c>
      <c r="E542" t="s">
        <v>17</v>
      </c>
      <c r="F542">
        <v>36</v>
      </c>
      <c r="G542">
        <v>0</v>
      </c>
      <c r="H542">
        <v>2</v>
      </c>
      <c r="I542" t="s">
        <v>777</v>
      </c>
      <c r="J542" s="3">
        <v>71</v>
      </c>
      <c r="K542" t="s">
        <v>778</v>
      </c>
      <c r="L542" t="s">
        <v>15</v>
      </c>
    </row>
    <row r="543" spans="1:12" x14ac:dyDescent="0.2">
      <c r="A543">
        <v>542</v>
      </c>
      <c r="B543">
        <v>0</v>
      </c>
      <c r="C543">
        <v>3</v>
      </c>
      <c r="D543" t="s">
        <v>779</v>
      </c>
      <c r="E543" t="s">
        <v>17</v>
      </c>
      <c r="F543">
        <v>9</v>
      </c>
      <c r="G543">
        <v>4</v>
      </c>
      <c r="H543">
        <v>2</v>
      </c>
      <c r="I543">
        <v>347082</v>
      </c>
      <c r="J543" s="3">
        <v>31.274999999999999</v>
      </c>
      <c r="L543" t="s">
        <v>15</v>
      </c>
    </row>
    <row r="544" spans="1:12" x14ac:dyDescent="0.2">
      <c r="A544">
        <v>543</v>
      </c>
      <c r="B544">
        <v>0</v>
      </c>
      <c r="C544">
        <v>3</v>
      </c>
      <c r="D544" t="s">
        <v>780</v>
      </c>
      <c r="E544" t="s">
        <v>17</v>
      </c>
      <c r="F544">
        <v>11</v>
      </c>
      <c r="G544">
        <v>4</v>
      </c>
      <c r="H544">
        <v>2</v>
      </c>
      <c r="I544">
        <v>347082</v>
      </c>
      <c r="J544" s="3">
        <v>31.274999999999999</v>
      </c>
      <c r="L544" t="s">
        <v>15</v>
      </c>
    </row>
    <row r="545" spans="1:12" x14ac:dyDescent="0.2">
      <c r="A545">
        <v>544</v>
      </c>
      <c r="B545">
        <v>1</v>
      </c>
      <c r="C545">
        <v>2</v>
      </c>
      <c r="D545" t="s">
        <v>781</v>
      </c>
      <c r="E545" t="s">
        <v>13</v>
      </c>
      <c r="F545">
        <v>32</v>
      </c>
      <c r="G545">
        <v>1</v>
      </c>
      <c r="H545">
        <v>0</v>
      </c>
      <c r="I545">
        <v>2908</v>
      </c>
      <c r="J545" s="3">
        <v>26</v>
      </c>
      <c r="L545" t="s">
        <v>15</v>
      </c>
    </row>
    <row r="546" spans="1:12" x14ac:dyDescent="0.2">
      <c r="A546">
        <v>545</v>
      </c>
      <c r="B546">
        <v>0</v>
      </c>
      <c r="C546">
        <v>1</v>
      </c>
      <c r="D546" t="s">
        <v>782</v>
      </c>
      <c r="E546" t="s">
        <v>13</v>
      </c>
      <c r="F546">
        <v>50</v>
      </c>
      <c r="G546">
        <v>1</v>
      </c>
      <c r="H546">
        <v>0</v>
      </c>
      <c r="I546" t="s">
        <v>772</v>
      </c>
      <c r="J546" s="3">
        <v>106.425</v>
      </c>
      <c r="K546" t="s">
        <v>783</v>
      </c>
      <c r="L546" t="s">
        <v>20</v>
      </c>
    </row>
    <row r="547" spans="1:12" x14ac:dyDescent="0.2">
      <c r="A547">
        <v>546</v>
      </c>
      <c r="B547">
        <v>0</v>
      </c>
      <c r="C547">
        <v>1</v>
      </c>
      <c r="D547" t="s">
        <v>784</v>
      </c>
      <c r="E547" t="s">
        <v>13</v>
      </c>
      <c r="F547">
        <v>64</v>
      </c>
      <c r="G547">
        <v>0</v>
      </c>
      <c r="H547">
        <v>0</v>
      </c>
      <c r="I547">
        <v>693</v>
      </c>
      <c r="J547" s="3">
        <v>26</v>
      </c>
      <c r="L547" t="s">
        <v>15</v>
      </c>
    </row>
    <row r="548" spans="1:12" x14ac:dyDescent="0.2">
      <c r="A548">
        <v>547</v>
      </c>
      <c r="B548">
        <v>1</v>
      </c>
      <c r="C548">
        <v>2</v>
      </c>
      <c r="D548" t="s">
        <v>785</v>
      </c>
      <c r="E548" t="s">
        <v>17</v>
      </c>
      <c r="F548">
        <v>19</v>
      </c>
      <c r="G548">
        <v>1</v>
      </c>
      <c r="H548">
        <v>0</v>
      </c>
      <c r="I548">
        <v>2908</v>
      </c>
      <c r="J548" s="3">
        <v>26</v>
      </c>
      <c r="L548" t="s">
        <v>15</v>
      </c>
    </row>
    <row r="549" spans="1:12" x14ac:dyDescent="0.2">
      <c r="A549">
        <v>548</v>
      </c>
      <c r="B549">
        <v>1</v>
      </c>
      <c r="C549">
        <v>2</v>
      </c>
      <c r="D549" t="s">
        <v>786</v>
      </c>
      <c r="E549" t="s">
        <v>13</v>
      </c>
      <c r="G549">
        <v>0</v>
      </c>
      <c r="H549">
        <v>0</v>
      </c>
      <c r="I549" t="s">
        <v>787</v>
      </c>
      <c r="J549" s="3">
        <v>13.862500000000001</v>
      </c>
      <c r="L549" t="s">
        <v>20</v>
      </c>
    </row>
    <row r="550" spans="1:12" x14ac:dyDescent="0.2">
      <c r="A550">
        <v>549</v>
      </c>
      <c r="B550">
        <v>0</v>
      </c>
      <c r="C550">
        <v>3</v>
      </c>
      <c r="D550" t="s">
        <v>788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 s="3">
        <v>20.524999999999999</v>
      </c>
      <c r="L550" t="s">
        <v>15</v>
      </c>
    </row>
    <row r="551" spans="1:12" x14ac:dyDescent="0.2">
      <c r="A551">
        <v>550</v>
      </c>
      <c r="B551">
        <v>1</v>
      </c>
      <c r="C551">
        <v>2</v>
      </c>
      <c r="D551" t="s">
        <v>789</v>
      </c>
      <c r="E551" t="s">
        <v>13</v>
      </c>
      <c r="F551">
        <v>8</v>
      </c>
      <c r="G551">
        <v>1</v>
      </c>
      <c r="H551">
        <v>1</v>
      </c>
      <c r="I551" t="s">
        <v>228</v>
      </c>
      <c r="J551" s="3">
        <v>36.75</v>
      </c>
      <c r="L551" t="s">
        <v>15</v>
      </c>
    </row>
    <row r="552" spans="1:12" x14ac:dyDescent="0.2">
      <c r="A552">
        <v>551</v>
      </c>
      <c r="B552">
        <v>1</v>
      </c>
      <c r="C552">
        <v>1</v>
      </c>
      <c r="D552" t="s">
        <v>790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 s="3">
        <v>110.88330000000001</v>
      </c>
      <c r="K552" t="s">
        <v>791</v>
      </c>
      <c r="L552" t="s">
        <v>20</v>
      </c>
    </row>
    <row r="553" spans="1:12" x14ac:dyDescent="0.2">
      <c r="A553">
        <v>552</v>
      </c>
      <c r="B553">
        <v>0</v>
      </c>
      <c r="C553">
        <v>2</v>
      </c>
      <c r="D553" t="s">
        <v>792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 s="3">
        <v>26</v>
      </c>
      <c r="L553" t="s">
        <v>15</v>
      </c>
    </row>
    <row r="554" spans="1:12" x14ac:dyDescent="0.2">
      <c r="A554">
        <v>553</v>
      </c>
      <c r="B554">
        <v>0</v>
      </c>
      <c r="C554">
        <v>3</v>
      </c>
      <c r="D554" t="s">
        <v>793</v>
      </c>
      <c r="E554" t="s">
        <v>13</v>
      </c>
      <c r="G554">
        <v>0</v>
      </c>
      <c r="H554">
        <v>0</v>
      </c>
      <c r="I554">
        <v>330979</v>
      </c>
      <c r="J554" s="3">
        <v>7.8292000000000002</v>
      </c>
      <c r="L554" t="s">
        <v>27</v>
      </c>
    </row>
    <row r="555" spans="1:12" x14ac:dyDescent="0.2">
      <c r="A555">
        <v>554</v>
      </c>
      <c r="B555">
        <v>1</v>
      </c>
      <c r="C555">
        <v>3</v>
      </c>
      <c r="D555" t="s">
        <v>794</v>
      </c>
      <c r="E555" t="s">
        <v>13</v>
      </c>
      <c r="F555">
        <v>22</v>
      </c>
      <c r="G555">
        <v>0</v>
      </c>
      <c r="H555">
        <v>0</v>
      </c>
      <c r="I555">
        <v>2620</v>
      </c>
      <c r="J555" s="3">
        <v>7.2249999999999996</v>
      </c>
      <c r="L555" t="s">
        <v>20</v>
      </c>
    </row>
    <row r="556" spans="1:12" x14ac:dyDescent="0.2">
      <c r="A556">
        <v>555</v>
      </c>
      <c r="B556">
        <v>1</v>
      </c>
      <c r="C556">
        <v>3</v>
      </c>
      <c r="D556" t="s">
        <v>795</v>
      </c>
      <c r="E556" t="s">
        <v>17</v>
      </c>
      <c r="F556">
        <v>22</v>
      </c>
      <c r="G556">
        <v>0</v>
      </c>
      <c r="H556">
        <v>0</v>
      </c>
      <c r="I556">
        <v>347085</v>
      </c>
      <c r="J556" s="3">
        <v>7.7750000000000004</v>
      </c>
      <c r="L556" t="s">
        <v>15</v>
      </c>
    </row>
    <row r="557" spans="1:12" x14ac:dyDescent="0.2">
      <c r="A557">
        <v>556</v>
      </c>
      <c r="B557">
        <v>0</v>
      </c>
      <c r="C557">
        <v>1</v>
      </c>
      <c r="D557" t="s">
        <v>796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 s="3">
        <v>26.55</v>
      </c>
      <c r="L557" t="s">
        <v>15</v>
      </c>
    </row>
    <row r="558" spans="1:12" x14ac:dyDescent="0.2">
      <c r="A558">
        <v>557</v>
      </c>
      <c r="B558">
        <v>1</v>
      </c>
      <c r="C558">
        <v>1</v>
      </c>
      <c r="D558" t="s">
        <v>797</v>
      </c>
      <c r="E558" t="s">
        <v>17</v>
      </c>
      <c r="F558">
        <v>48</v>
      </c>
      <c r="G558">
        <v>1</v>
      </c>
      <c r="H558">
        <v>0</v>
      </c>
      <c r="I558">
        <v>11755</v>
      </c>
      <c r="J558" s="3">
        <v>39.6</v>
      </c>
      <c r="K558" t="s">
        <v>798</v>
      </c>
      <c r="L558" t="s">
        <v>20</v>
      </c>
    </row>
    <row r="559" spans="1:12" x14ac:dyDescent="0.2">
      <c r="A559">
        <v>558</v>
      </c>
      <c r="B559">
        <v>0</v>
      </c>
      <c r="C559">
        <v>1</v>
      </c>
      <c r="D559" t="s">
        <v>799</v>
      </c>
      <c r="E559" t="s">
        <v>13</v>
      </c>
      <c r="G559">
        <v>0</v>
      </c>
      <c r="H559">
        <v>0</v>
      </c>
      <c r="I559" t="s">
        <v>565</v>
      </c>
      <c r="J559" s="3">
        <v>227.52500000000001</v>
      </c>
      <c r="L559" t="s">
        <v>20</v>
      </c>
    </row>
    <row r="560" spans="1:12" x14ac:dyDescent="0.2">
      <c r="A560">
        <v>559</v>
      </c>
      <c r="B560">
        <v>1</v>
      </c>
      <c r="C560">
        <v>1</v>
      </c>
      <c r="D560" t="s">
        <v>800</v>
      </c>
      <c r="E560" t="s">
        <v>17</v>
      </c>
      <c r="F560">
        <v>39</v>
      </c>
      <c r="G560">
        <v>1</v>
      </c>
      <c r="H560">
        <v>1</v>
      </c>
      <c r="I560">
        <v>110413</v>
      </c>
      <c r="J560" s="3">
        <v>79.650000000000006</v>
      </c>
      <c r="K560" t="s">
        <v>397</v>
      </c>
      <c r="L560" t="s">
        <v>15</v>
      </c>
    </row>
    <row r="561" spans="1:12" x14ac:dyDescent="0.2">
      <c r="A561">
        <v>560</v>
      </c>
      <c r="B561">
        <v>1</v>
      </c>
      <c r="C561">
        <v>3</v>
      </c>
      <c r="D561" t="s">
        <v>801</v>
      </c>
      <c r="E561" t="s">
        <v>17</v>
      </c>
      <c r="F561">
        <v>36</v>
      </c>
      <c r="G561">
        <v>1</v>
      </c>
      <c r="H561">
        <v>0</v>
      </c>
      <c r="I561">
        <v>345572</v>
      </c>
      <c r="J561" s="3">
        <v>17.399999999999999</v>
      </c>
      <c r="L561" t="s">
        <v>15</v>
      </c>
    </row>
    <row r="562" spans="1:12" x14ac:dyDescent="0.2">
      <c r="A562">
        <v>561</v>
      </c>
      <c r="B562">
        <v>0</v>
      </c>
      <c r="C562">
        <v>3</v>
      </c>
      <c r="D562" t="s">
        <v>802</v>
      </c>
      <c r="E562" t="s">
        <v>13</v>
      </c>
      <c r="G562">
        <v>0</v>
      </c>
      <c r="H562">
        <v>0</v>
      </c>
      <c r="I562">
        <v>372622</v>
      </c>
      <c r="J562" s="3">
        <v>7.75</v>
      </c>
      <c r="L562" t="s">
        <v>27</v>
      </c>
    </row>
    <row r="563" spans="1:12" x14ac:dyDescent="0.2">
      <c r="A563">
        <v>562</v>
      </c>
      <c r="B563">
        <v>0</v>
      </c>
      <c r="C563">
        <v>3</v>
      </c>
      <c r="D563" t="s">
        <v>803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 s="3">
        <v>7.8958000000000004</v>
      </c>
      <c r="L563" t="s">
        <v>15</v>
      </c>
    </row>
    <row r="564" spans="1:12" x14ac:dyDescent="0.2">
      <c r="A564">
        <v>563</v>
      </c>
      <c r="B564">
        <v>0</v>
      </c>
      <c r="C564">
        <v>2</v>
      </c>
      <c r="D564" t="s">
        <v>804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 s="3">
        <v>13.5</v>
      </c>
      <c r="L564" t="s">
        <v>15</v>
      </c>
    </row>
    <row r="565" spans="1:12" x14ac:dyDescent="0.2">
      <c r="A565">
        <v>564</v>
      </c>
      <c r="B565">
        <v>0</v>
      </c>
      <c r="C565">
        <v>3</v>
      </c>
      <c r="D565" t="s">
        <v>805</v>
      </c>
      <c r="E565" t="s">
        <v>13</v>
      </c>
      <c r="G565">
        <v>0</v>
      </c>
      <c r="H565">
        <v>0</v>
      </c>
      <c r="I565" t="s">
        <v>806</v>
      </c>
      <c r="J565" s="3">
        <v>8.0500000000000007</v>
      </c>
      <c r="L565" t="s">
        <v>15</v>
      </c>
    </row>
    <row r="566" spans="1:12" x14ac:dyDescent="0.2">
      <c r="A566">
        <v>565</v>
      </c>
      <c r="B566">
        <v>0</v>
      </c>
      <c r="C566">
        <v>3</v>
      </c>
      <c r="D566" t="s">
        <v>807</v>
      </c>
      <c r="E566" t="s">
        <v>17</v>
      </c>
      <c r="G566">
        <v>0</v>
      </c>
      <c r="H566">
        <v>0</v>
      </c>
      <c r="I566" t="s">
        <v>808</v>
      </c>
      <c r="J566" s="3">
        <v>8.0500000000000007</v>
      </c>
      <c r="L566" t="s">
        <v>15</v>
      </c>
    </row>
    <row r="567" spans="1:12" x14ac:dyDescent="0.2">
      <c r="A567">
        <v>566</v>
      </c>
      <c r="B567">
        <v>0</v>
      </c>
      <c r="C567">
        <v>3</v>
      </c>
      <c r="D567" t="s">
        <v>809</v>
      </c>
      <c r="E567" t="s">
        <v>13</v>
      </c>
      <c r="F567">
        <v>24</v>
      </c>
      <c r="G567">
        <v>2</v>
      </c>
      <c r="H567">
        <v>0</v>
      </c>
      <c r="I567" t="s">
        <v>810</v>
      </c>
      <c r="J567" s="3">
        <v>24.15</v>
      </c>
      <c r="L567" t="s">
        <v>15</v>
      </c>
    </row>
    <row r="568" spans="1:12" x14ac:dyDescent="0.2">
      <c r="A568">
        <v>567</v>
      </c>
      <c r="B568">
        <v>0</v>
      </c>
      <c r="C568">
        <v>3</v>
      </c>
      <c r="D568" t="s">
        <v>811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 s="3">
        <v>7.8958000000000004</v>
      </c>
      <c r="L568" t="s">
        <v>15</v>
      </c>
    </row>
    <row r="569" spans="1:12" x14ac:dyDescent="0.2">
      <c r="A569">
        <v>568</v>
      </c>
      <c r="B569">
        <v>0</v>
      </c>
      <c r="C569">
        <v>3</v>
      </c>
      <c r="D569" t="s">
        <v>812</v>
      </c>
      <c r="E569" t="s">
        <v>17</v>
      </c>
      <c r="F569">
        <v>29</v>
      </c>
      <c r="G569">
        <v>0</v>
      </c>
      <c r="H569">
        <v>4</v>
      </c>
      <c r="I569">
        <v>349909</v>
      </c>
      <c r="J569" s="3">
        <v>21.074999999999999</v>
      </c>
      <c r="L569" t="s">
        <v>15</v>
      </c>
    </row>
    <row r="570" spans="1:12" x14ac:dyDescent="0.2">
      <c r="A570">
        <v>569</v>
      </c>
      <c r="B570">
        <v>0</v>
      </c>
      <c r="C570">
        <v>3</v>
      </c>
      <c r="D570" t="s">
        <v>813</v>
      </c>
      <c r="E570" t="s">
        <v>13</v>
      </c>
      <c r="G570">
        <v>0</v>
      </c>
      <c r="H570">
        <v>0</v>
      </c>
      <c r="I570">
        <v>2686</v>
      </c>
      <c r="J570" s="3">
        <v>7.2291999999999996</v>
      </c>
      <c r="L570" t="s">
        <v>20</v>
      </c>
    </row>
    <row r="571" spans="1:12" x14ac:dyDescent="0.2">
      <c r="A571">
        <v>570</v>
      </c>
      <c r="B571">
        <v>1</v>
      </c>
      <c r="C571">
        <v>3</v>
      </c>
      <c r="D571" t="s">
        <v>814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 s="3">
        <v>7.8541999999999996</v>
      </c>
      <c r="L571" t="s">
        <v>15</v>
      </c>
    </row>
    <row r="572" spans="1:12" x14ac:dyDescent="0.2">
      <c r="A572">
        <v>571</v>
      </c>
      <c r="B572">
        <v>1</v>
      </c>
      <c r="C572">
        <v>2</v>
      </c>
      <c r="D572" t="s">
        <v>815</v>
      </c>
      <c r="E572" t="s">
        <v>13</v>
      </c>
      <c r="F572">
        <v>62</v>
      </c>
      <c r="G572">
        <v>0</v>
      </c>
      <c r="H572">
        <v>0</v>
      </c>
      <c r="I572" t="s">
        <v>816</v>
      </c>
      <c r="J572" s="3">
        <v>10.5</v>
      </c>
      <c r="L572" t="s">
        <v>15</v>
      </c>
    </row>
    <row r="573" spans="1:12" x14ac:dyDescent="0.2">
      <c r="A573">
        <v>572</v>
      </c>
      <c r="B573">
        <v>1</v>
      </c>
      <c r="C573">
        <v>1</v>
      </c>
      <c r="D573" t="s">
        <v>817</v>
      </c>
      <c r="E573" t="s">
        <v>17</v>
      </c>
      <c r="F573">
        <v>53</v>
      </c>
      <c r="G573">
        <v>2</v>
      </c>
      <c r="H573">
        <v>0</v>
      </c>
      <c r="I573">
        <v>11769</v>
      </c>
      <c r="J573" s="3">
        <v>51.479199999999999</v>
      </c>
      <c r="K573" t="s">
        <v>818</v>
      </c>
      <c r="L573" t="s">
        <v>15</v>
      </c>
    </row>
    <row r="574" spans="1:12" x14ac:dyDescent="0.2">
      <c r="A574">
        <v>573</v>
      </c>
      <c r="B574">
        <v>1</v>
      </c>
      <c r="C574">
        <v>1</v>
      </c>
      <c r="D574" t="s">
        <v>819</v>
      </c>
      <c r="E574" t="s">
        <v>13</v>
      </c>
      <c r="F574">
        <v>36</v>
      </c>
      <c r="G574">
        <v>0</v>
      </c>
      <c r="H574">
        <v>0</v>
      </c>
      <c r="I574" t="s">
        <v>820</v>
      </c>
      <c r="J574" s="3">
        <v>26.387499999999999</v>
      </c>
      <c r="K574" t="s">
        <v>738</v>
      </c>
      <c r="L574" t="s">
        <v>15</v>
      </c>
    </row>
    <row r="575" spans="1:12" x14ac:dyDescent="0.2">
      <c r="A575">
        <v>574</v>
      </c>
      <c r="B575">
        <v>1</v>
      </c>
      <c r="C575">
        <v>3</v>
      </c>
      <c r="D575" t="s">
        <v>821</v>
      </c>
      <c r="E575" t="s">
        <v>17</v>
      </c>
      <c r="G575">
        <v>0</v>
      </c>
      <c r="H575">
        <v>0</v>
      </c>
      <c r="I575">
        <v>14312</v>
      </c>
      <c r="J575" s="3">
        <v>7.75</v>
      </c>
      <c r="L575" t="s">
        <v>27</v>
      </c>
    </row>
    <row r="576" spans="1:12" x14ac:dyDescent="0.2">
      <c r="A576">
        <v>575</v>
      </c>
      <c r="B576">
        <v>0</v>
      </c>
      <c r="C576">
        <v>3</v>
      </c>
      <c r="D576" t="s">
        <v>822</v>
      </c>
      <c r="E576" t="s">
        <v>13</v>
      </c>
      <c r="F576">
        <v>16</v>
      </c>
      <c r="G576">
        <v>0</v>
      </c>
      <c r="H576">
        <v>0</v>
      </c>
      <c r="I576" t="s">
        <v>823</v>
      </c>
      <c r="J576" s="3">
        <v>8.0500000000000007</v>
      </c>
      <c r="L576" t="s">
        <v>15</v>
      </c>
    </row>
    <row r="577" spans="1:12" x14ac:dyDescent="0.2">
      <c r="A577">
        <v>576</v>
      </c>
      <c r="B577">
        <v>0</v>
      </c>
      <c r="C577">
        <v>3</v>
      </c>
      <c r="D577" t="s">
        <v>824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 s="3">
        <v>14.5</v>
      </c>
      <c r="L577" t="s">
        <v>15</v>
      </c>
    </row>
    <row r="578" spans="1:12" x14ac:dyDescent="0.2">
      <c r="A578">
        <v>577</v>
      </c>
      <c r="B578">
        <v>1</v>
      </c>
      <c r="C578">
        <v>2</v>
      </c>
      <c r="D578" t="s">
        <v>825</v>
      </c>
      <c r="E578" t="s">
        <v>17</v>
      </c>
      <c r="F578">
        <v>34</v>
      </c>
      <c r="G578">
        <v>0</v>
      </c>
      <c r="H578">
        <v>0</v>
      </c>
      <c r="I578">
        <v>243880</v>
      </c>
      <c r="J578" s="3">
        <v>13</v>
      </c>
      <c r="L578" t="s">
        <v>15</v>
      </c>
    </row>
    <row r="579" spans="1:12" x14ac:dyDescent="0.2">
      <c r="A579">
        <v>578</v>
      </c>
      <c r="B579">
        <v>1</v>
      </c>
      <c r="C579">
        <v>1</v>
      </c>
      <c r="D579" t="s">
        <v>826</v>
      </c>
      <c r="E579" t="s">
        <v>17</v>
      </c>
      <c r="F579">
        <v>39</v>
      </c>
      <c r="G579">
        <v>1</v>
      </c>
      <c r="H579">
        <v>0</v>
      </c>
      <c r="I579">
        <v>13507</v>
      </c>
      <c r="J579" s="3">
        <v>55.9</v>
      </c>
      <c r="K579" t="s">
        <v>631</v>
      </c>
      <c r="L579" t="s">
        <v>15</v>
      </c>
    </row>
    <row r="580" spans="1:12" x14ac:dyDescent="0.2">
      <c r="A580">
        <v>579</v>
      </c>
      <c r="B580">
        <v>0</v>
      </c>
      <c r="C580">
        <v>3</v>
      </c>
      <c r="D580" t="s">
        <v>827</v>
      </c>
      <c r="E580" t="s">
        <v>17</v>
      </c>
      <c r="G580">
        <v>1</v>
      </c>
      <c r="H580">
        <v>0</v>
      </c>
      <c r="I580">
        <v>2689</v>
      </c>
      <c r="J580" s="3">
        <v>14.458299999999999</v>
      </c>
      <c r="L580" t="s">
        <v>20</v>
      </c>
    </row>
    <row r="581" spans="1:12" x14ac:dyDescent="0.2">
      <c r="A581">
        <v>580</v>
      </c>
      <c r="B581">
        <v>1</v>
      </c>
      <c r="C581">
        <v>3</v>
      </c>
      <c r="D581" t="s">
        <v>828</v>
      </c>
      <c r="E581" t="s">
        <v>13</v>
      </c>
      <c r="F581">
        <v>32</v>
      </c>
      <c r="G581">
        <v>0</v>
      </c>
      <c r="H581">
        <v>0</v>
      </c>
      <c r="I581" t="s">
        <v>829</v>
      </c>
      <c r="J581" s="3">
        <v>7.9249999999999998</v>
      </c>
      <c r="L581" t="s">
        <v>15</v>
      </c>
    </row>
    <row r="582" spans="1:12" x14ac:dyDescent="0.2">
      <c r="A582">
        <v>581</v>
      </c>
      <c r="B582">
        <v>1</v>
      </c>
      <c r="C582">
        <v>2</v>
      </c>
      <c r="D582" t="s">
        <v>830</v>
      </c>
      <c r="E582" t="s">
        <v>17</v>
      </c>
      <c r="F582">
        <v>25</v>
      </c>
      <c r="G582">
        <v>1</v>
      </c>
      <c r="H582">
        <v>1</v>
      </c>
      <c r="I582">
        <v>237789</v>
      </c>
      <c r="J582" s="3">
        <v>30</v>
      </c>
      <c r="L582" t="s">
        <v>15</v>
      </c>
    </row>
    <row r="583" spans="1:12" x14ac:dyDescent="0.2">
      <c r="A583">
        <v>582</v>
      </c>
      <c r="B583">
        <v>1</v>
      </c>
      <c r="C583">
        <v>1</v>
      </c>
      <c r="D583" t="s">
        <v>831</v>
      </c>
      <c r="E583" t="s">
        <v>17</v>
      </c>
      <c r="F583">
        <v>39</v>
      </c>
      <c r="G583">
        <v>1</v>
      </c>
      <c r="H583">
        <v>1</v>
      </c>
      <c r="I583">
        <v>17421</v>
      </c>
      <c r="J583" s="3">
        <v>110.88330000000001</v>
      </c>
      <c r="K583" t="s">
        <v>832</v>
      </c>
      <c r="L583" t="s">
        <v>20</v>
      </c>
    </row>
    <row r="584" spans="1:12" x14ac:dyDescent="0.2">
      <c r="A584">
        <v>583</v>
      </c>
      <c r="B584">
        <v>0</v>
      </c>
      <c r="C584">
        <v>2</v>
      </c>
      <c r="D584" t="s">
        <v>833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 s="3">
        <v>26</v>
      </c>
      <c r="L584" t="s">
        <v>15</v>
      </c>
    </row>
    <row r="585" spans="1:12" x14ac:dyDescent="0.2">
      <c r="A585">
        <v>584</v>
      </c>
      <c r="B585">
        <v>0</v>
      </c>
      <c r="C585">
        <v>1</v>
      </c>
      <c r="D585" t="s">
        <v>834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 s="3">
        <v>40.125</v>
      </c>
      <c r="K585" t="s">
        <v>835</v>
      </c>
      <c r="L585" t="s">
        <v>20</v>
      </c>
    </row>
    <row r="586" spans="1:12" x14ac:dyDescent="0.2">
      <c r="A586">
        <v>585</v>
      </c>
      <c r="B586">
        <v>0</v>
      </c>
      <c r="C586">
        <v>3</v>
      </c>
      <c r="D586" t="s">
        <v>836</v>
      </c>
      <c r="E586" t="s">
        <v>13</v>
      </c>
      <c r="G586">
        <v>0</v>
      </c>
      <c r="H586">
        <v>0</v>
      </c>
      <c r="I586">
        <v>3411</v>
      </c>
      <c r="J586" s="3">
        <v>8.7125000000000004</v>
      </c>
      <c r="L586" t="s">
        <v>20</v>
      </c>
    </row>
    <row r="587" spans="1:12" x14ac:dyDescent="0.2">
      <c r="A587">
        <v>586</v>
      </c>
      <c r="B587">
        <v>1</v>
      </c>
      <c r="C587">
        <v>1</v>
      </c>
      <c r="D587" t="s">
        <v>837</v>
      </c>
      <c r="E587" t="s">
        <v>17</v>
      </c>
      <c r="F587">
        <v>18</v>
      </c>
      <c r="G587">
        <v>0</v>
      </c>
      <c r="H587">
        <v>2</v>
      </c>
      <c r="I587">
        <v>110413</v>
      </c>
      <c r="J587" s="3">
        <v>79.650000000000006</v>
      </c>
      <c r="K587" t="s">
        <v>838</v>
      </c>
      <c r="L587" t="s">
        <v>15</v>
      </c>
    </row>
    <row r="588" spans="1:12" x14ac:dyDescent="0.2">
      <c r="A588">
        <v>587</v>
      </c>
      <c r="B588">
        <v>0</v>
      </c>
      <c r="C588">
        <v>2</v>
      </c>
      <c r="D588" t="s">
        <v>839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 s="3">
        <v>15</v>
      </c>
      <c r="L588" t="s">
        <v>15</v>
      </c>
    </row>
    <row r="589" spans="1:12" x14ac:dyDescent="0.2">
      <c r="A589">
        <v>588</v>
      </c>
      <c r="B589">
        <v>1</v>
      </c>
      <c r="C589">
        <v>1</v>
      </c>
      <c r="D589" t="s">
        <v>840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 s="3">
        <v>79.2</v>
      </c>
      <c r="K589" t="s">
        <v>841</v>
      </c>
      <c r="L589" t="s">
        <v>20</v>
      </c>
    </row>
    <row r="590" spans="1:12" x14ac:dyDescent="0.2">
      <c r="A590">
        <v>589</v>
      </c>
      <c r="B590">
        <v>0</v>
      </c>
      <c r="C590">
        <v>3</v>
      </c>
      <c r="D590" t="s">
        <v>842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 s="3">
        <v>8.0500000000000007</v>
      </c>
      <c r="L590" t="s">
        <v>15</v>
      </c>
    </row>
    <row r="591" spans="1:12" x14ac:dyDescent="0.2">
      <c r="A591">
        <v>590</v>
      </c>
      <c r="B591">
        <v>0</v>
      </c>
      <c r="C591">
        <v>3</v>
      </c>
      <c r="D591" t="s">
        <v>843</v>
      </c>
      <c r="E591" t="s">
        <v>13</v>
      </c>
      <c r="G591">
        <v>0</v>
      </c>
      <c r="H591">
        <v>0</v>
      </c>
      <c r="I591" t="s">
        <v>844</v>
      </c>
      <c r="J591" s="3">
        <v>8.0500000000000007</v>
      </c>
      <c r="L591" t="s">
        <v>15</v>
      </c>
    </row>
    <row r="592" spans="1:12" x14ac:dyDescent="0.2">
      <c r="A592">
        <v>591</v>
      </c>
      <c r="B592">
        <v>0</v>
      </c>
      <c r="C592">
        <v>3</v>
      </c>
      <c r="D592" t="s">
        <v>845</v>
      </c>
      <c r="E592" t="s">
        <v>13</v>
      </c>
      <c r="F592">
        <v>35</v>
      </c>
      <c r="G592">
        <v>0</v>
      </c>
      <c r="H592">
        <v>0</v>
      </c>
      <c r="I592" t="s">
        <v>846</v>
      </c>
      <c r="J592" s="3">
        <v>7.125</v>
      </c>
      <c r="L592" t="s">
        <v>15</v>
      </c>
    </row>
    <row r="593" spans="1:12" x14ac:dyDescent="0.2">
      <c r="A593">
        <v>592</v>
      </c>
      <c r="B593">
        <v>1</v>
      </c>
      <c r="C593">
        <v>1</v>
      </c>
      <c r="D593" t="s">
        <v>847</v>
      </c>
      <c r="E593" t="s">
        <v>17</v>
      </c>
      <c r="F593">
        <v>52</v>
      </c>
      <c r="G593">
        <v>1</v>
      </c>
      <c r="H593">
        <v>0</v>
      </c>
      <c r="I593">
        <v>36947</v>
      </c>
      <c r="J593" s="3">
        <v>78.2667</v>
      </c>
      <c r="K593" t="s">
        <v>716</v>
      </c>
      <c r="L593" t="s">
        <v>20</v>
      </c>
    </row>
    <row r="594" spans="1:12" x14ac:dyDescent="0.2">
      <c r="A594">
        <v>593</v>
      </c>
      <c r="B594">
        <v>0</v>
      </c>
      <c r="C594">
        <v>3</v>
      </c>
      <c r="D594" t="s">
        <v>848</v>
      </c>
      <c r="E594" t="s">
        <v>13</v>
      </c>
      <c r="F594">
        <v>47</v>
      </c>
      <c r="G594">
        <v>0</v>
      </c>
      <c r="H594">
        <v>0</v>
      </c>
      <c r="I594" t="s">
        <v>849</v>
      </c>
      <c r="J594" s="3">
        <v>7.25</v>
      </c>
      <c r="L594" t="s">
        <v>15</v>
      </c>
    </row>
    <row r="595" spans="1:12" x14ac:dyDescent="0.2">
      <c r="A595">
        <v>594</v>
      </c>
      <c r="B595">
        <v>0</v>
      </c>
      <c r="C595">
        <v>3</v>
      </c>
      <c r="D595" t="s">
        <v>850</v>
      </c>
      <c r="E595" t="s">
        <v>17</v>
      </c>
      <c r="G595">
        <v>0</v>
      </c>
      <c r="H595">
        <v>2</v>
      </c>
      <c r="I595">
        <v>364848</v>
      </c>
      <c r="J595" s="3">
        <v>7.75</v>
      </c>
      <c r="L595" t="s">
        <v>27</v>
      </c>
    </row>
    <row r="596" spans="1:12" x14ac:dyDescent="0.2">
      <c r="A596">
        <v>595</v>
      </c>
      <c r="B596">
        <v>0</v>
      </c>
      <c r="C596">
        <v>2</v>
      </c>
      <c r="D596" t="s">
        <v>851</v>
      </c>
      <c r="E596" t="s">
        <v>13</v>
      </c>
      <c r="F596">
        <v>37</v>
      </c>
      <c r="G596">
        <v>1</v>
      </c>
      <c r="H596">
        <v>0</v>
      </c>
      <c r="I596" t="s">
        <v>852</v>
      </c>
      <c r="J596" s="3">
        <v>26</v>
      </c>
      <c r="L596" t="s">
        <v>15</v>
      </c>
    </row>
    <row r="597" spans="1:12" x14ac:dyDescent="0.2">
      <c r="A597">
        <v>596</v>
      </c>
      <c r="B597">
        <v>0</v>
      </c>
      <c r="C597">
        <v>3</v>
      </c>
      <c r="D597" t="s">
        <v>853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 s="3">
        <v>24.15</v>
      </c>
      <c r="L597" t="s">
        <v>15</v>
      </c>
    </row>
    <row r="598" spans="1:12" x14ac:dyDescent="0.2">
      <c r="A598">
        <v>597</v>
      </c>
      <c r="B598">
        <v>1</v>
      </c>
      <c r="C598">
        <v>2</v>
      </c>
      <c r="D598" t="s">
        <v>854</v>
      </c>
      <c r="E598" t="s">
        <v>17</v>
      </c>
      <c r="G598">
        <v>0</v>
      </c>
      <c r="H598">
        <v>0</v>
      </c>
      <c r="I598">
        <v>248727</v>
      </c>
      <c r="J598" s="3">
        <v>33</v>
      </c>
      <c r="L598" t="s">
        <v>15</v>
      </c>
    </row>
    <row r="599" spans="1:12" x14ac:dyDescent="0.2">
      <c r="A599">
        <v>598</v>
      </c>
      <c r="B599">
        <v>0</v>
      </c>
      <c r="C599">
        <v>3</v>
      </c>
      <c r="D599" t="s">
        <v>855</v>
      </c>
      <c r="E599" t="s">
        <v>13</v>
      </c>
      <c r="F599">
        <v>49</v>
      </c>
      <c r="G599">
        <v>0</v>
      </c>
      <c r="H599">
        <v>0</v>
      </c>
      <c r="I599" t="s">
        <v>280</v>
      </c>
      <c r="J599" s="3">
        <v>0</v>
      </c>
      <c r="L599" t="s">
        <v>15</v>
      </c>
    </row>
    <row r="600" spans="1:12" x14ac:dyDescent="0.2">
      <c r="A600">
        <v>599</v>
      </c>
      <c r="B600">
        <v>0</v>
      </c>
      <c r="C600">
        <v>3</v>
      </c>
      <c r="D600" t="s">
        <v>856</v>
      </c>
      <c r="E600" t="s">
        <v>13</v>
      </c>
      <c r="G600">
        <v>0</v>
      </c>
      <c r="H600">
        <v>0</v>
      </c>
      <c r="I600">
        <v>2664</v>
      </c>
      <c r="J600" s="3">
        <v>7.2249999999999996</v>
      </c>
      <c r="L600" t="s">
        <v>20</v>
      </c>
    </row>
    <row r="601" spans="1:12" x14ac:dyDescent="0.2">
      <c r="A601">
        <v>600</v>
      </c>
      <c r="B601">
        <v>1</v>
      </c>
      <c r="C601">
        <v>1</v>
      </c>
      <c r="D601" t="s">
        <v>857</v>
      </c>
      <c r="E601" t="s">
        <v>13</v>
      </c>
      <c r="F601">
        <v>49</v>
      </c>
      <c r="G601">
        <v>1</v>
      </c>
      <c r="H601">
        <v>0</v>
      </c>
      <c r="I601" t="s">
        <v>467</v>
      </c>
      <c r="J601" s="3">
        <v>56.929200000000002</v>
      </c>
      <c r="K601" t="s">
        <v>858</v>
      </c>
      <c r="L601" t="s">
        <v>20</v>
      </c>
    </row>
    <row r="602" spans="1:12" x14ac:dyDescent="0.2">
      <c r="A602">
        <v>601</v>
      </c>
      <c r="B602">
        <v>1</v>
      </c>
      <c r="C602">
        <v>2</v>
      </c>
      <c r="D602" t="s">
        <v>859</v>
      </c>
      <c r="E602" t="s">
        <v>17</v>
      </c>
      <c r="F602">
        <v>24</v>
      </c>
      <c r="G602">
        <v>2</v>
      </c>
      <c r="H602">
        <v>1</v>
      </c>
      <c r="I602">
        <v>243847</v>
      </c>
      <c r="J602" s="3">
        <v>27</v>
      </c>
      <c r="L602" t="s">
        <v>15</v>
      </c>
    </row>
    <row r="603" spans="1:12" x14ac:dyDescent="0.2">
      <c r="A603">
        <v>602</v>
      </c>
      <c r="B603">
        <v>0</v>
      </c>
      <c r="C603">
        <v>3</v>
      </c>
      <c r="D603" t="s">
        <v>860</v>
      </c>
      <c r="E603" t="s">
        <v>13</v>
      </c>
      <c r="G603">
        <v>0</v>
      </c>
      <c r="H603">
        <v>0</v>
      </c>
      <c r="I603">
        <v>349214</v>
      </c>
      <c r="J603" s="3">
        <v>7.8958000000000004</v>
      </c>
      <c r="L603" t="s">
        <v>15</v>
      </c>
    </row>
    <row r="604" spans="1:12" x14ac:dyDescent="0.2">
      <c r="A604">
        <v>603</v>
      </c>
      <c r="B604">
        <v>0</v>
      </c>
      <c r="C604">
        <v>1</v>
      </c>
      <c r="D604" t="s">
        <v>861</v>
      </c>
      <c r="E604" t="s">
        <v>13</v>
      </c>
      <c r="G604">
        <v>0</v>
      </c>
      <c r="H604">
        <v>0</v>
      </c>
      <c r="I604">
        <v>113796</v>
      </c>
      <c r="J604" s="3">
        <v>42.4</v>
      </c>
      <c r="L604" t="s">
        <v>15</v>
      </c>
    </row>
    <row r="605" spans="1:12" x14ac:dyDescent="0.2">
      <c r="A605">
        <v>604</v>
      </c>
      <c r="B605">
        <v>0</v>
      </c>
      <c r="C605">
        <v>3</v>
      </c>
      <c r="D605" t="s">
        <v>862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 s="3">
        <v>8.0500000000000007</v>
      </c>
      <c r="L605" t="s">
        <v>15</v>
      </c>
    </row>
    <row r="606" spans="1:12" x14ac:dyDescent="0.2">
      <c r="A606">
        <v>605</v>
      </c>
      <c r="B606">
        <v>1</v>
      </c>
      <c r="C606">
        <v>1</v>
      </c>
      <c r="D606" t="s">
        <v>863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 s="3">
        <v>26.55</v>
      </c>
      <c r="L606" t="s">
        <v>20</v>
      </c>
    </row>
    <row r="607" spans="1:12" x14ac:dyDescent="0.2">
      <c r="A607">
        <v>606</v>
      </c>
      <c r="B607">
        <v>0</v>
      </c>
      <c r="C607">
        <v>3</v>
      </c>
      <c r="D607" t="s">
        <v>864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 s="3">
        <v>15.55</v>
      </c>
      <c r="L607" t="s">
        <v>15</v>
      </c>
    </row>
    <row r="608" spans="1:12" x14ac:dyDescent="0.2">
      <c r="A608">
        <v>607</v>
      </c>
      <c r="B608">
        <v>0</v>
      </c>
      <c r="C608">
        <v>3</v>
      </c>
      <c r="D608" t="s">
        <v>865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 s="3">
        <v>7.8958000000000004</v>
      </c>
      <c r="L608" t="s">
        <v>15</v>
      </c>
    </row>
    <row r="609" spans="1:12" x14ac:dyDescent="0.2">
      <c r="A609">
        <v>608</v>
      </c>
      <c r="B609">
        <v>1</v>
      </c>
      <c r="C609">
        <v>1</v>
      </c>
      <c r="D609" t="s">
        <v>866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 s="3">
        <v>30.5</v>
      </c>
      <c r="L609" t="s">
        <v>15</v>
      </c>
    </row>
    <row r="610" spans="1:12" x14ac:dyDescent="0.2">
      <c r="A610">
        <v>609</v>
      </c>
      <c r="B610">
        <v>1</v>
      </c>
      <c r="C610">
        <v>2</v>
      </c>
      <c r="D610" t="s">
        <v>867</v>
      </c>
      <c r="E610" t="s">
        <v>17</v>
      </c>
      <c r="F610">
        <v>22</v>
      </c>
      <c r="G610">
        <v>1</v>
      </c>
      <c r="H610">
        <v>2</v>
      </c>
      <c r="I610" t="s">
        <v>80</v>
      </c>
      <c r="J610" s="3">
        <v>41.5792</v>
      </c>
      <c r="L610" t="s">
        <v>20</v>
      </c>
    </row>
    <row r="611" spans="1:12" x14ac:dyDescent="0.2">
      <c r="A611">
        <v>610</v>
      </c>
      <c r="B611">
        <v>1</v>
      </c>
      <c r="C611">
        <v>1</v>
      </c>
      <c r="D611" t="s">
        <v>868</v>
      </c>
      <c r="E611" t="s">
        <v>17</v>
      </c>
      <c r="F611">
        <v>40</v>
      </c>
      <c r="G611">
        <v>0</v>
      </c>
      <c r="H611">
        <v>0</v>
      </c>
      <c r="I611" t="s">
        <v>406</v>
      </c>
      <c r="J611" s="3">
        <v>153.46250000000001</v>
      </c>
      <c r="K611" t="s">
        <v>407</v>
      </c>
      <c r="L611" t="s">
        <v>15</v>
      </c>
    </row>
    <row r="612" spans="1:12" x14ac:dyDescent="0.2">
      <c r="A612">
        <v>611</v>
      </c>
      <c r="B612">
        <v>0</v>
      </c>
      <c r="C612">
        <v>3</v>
      </c>
      <c r="D612" t="s">
        <v>869</v>
      </c>
      <c r="E612" t="s">
        <v>17</v>
      </c>
      <c r="F612">
        <v>39</v>
      </c>
      <c r="G612">
        <v>1</v>
      </c>
      <c r="H612">
        <v>5</v>
      </c>
      <c r="I612">
        <v>347082</v>
      </c>
      <c r="J612" s="3">
        <v>31.274999999999999</v>
      </c>
      <c r="L612" t="s">
        <v>15</v>
      </c>
    </row>
    <row r="613" spans="1:12" x14ac:dyDescent="0.2">
      <c r="A613">
        <v>612</v>
      </c>
      <c r="B613">
        <v>0</v>
      </c>
      <c r="C613">
        <v>3</v>
      </c>
      <c r="D613" t="s">
        <v>870</v>
      </c>
      <c r="E613" t="s">
        <v>13</v>
      </c>
      <c r="G613">
        <v>0</v>
      </c>
      <c r="H613">
        <v>0</v>
      </c>
      <c r="I613" t="s">
        <v>871</v>
      </c>
      <c r="J613" s="3">
        <v>7.05</v>
      </c>
      <c r="L613" t="s">
        <v>15</v>
      </c>
    </row>
    <row r="614" spans="1:12" x14ac:dyDescent="0.2">
      <c r="A614">
        <v>613</v>
      </c>
      <c r="B614">
        <v>1</v>
      </c>
      <c r="C614">
        <v>3</v>
      </c>
      <c r="D614" t="s">
        <v>872</v>
      </c>
      <c r="E614" t="s">
        <v>17</v>
      </c>
      <c r="G614">
        <v>1</v>
      </c>
      <c r="H614">
        <v>0</v>
      </c>
      <c r="I614">
        <v>367230</v>
      </c>
      <c r="J614" s="3">
        <v>15.5</v>
      </c>
      <c r="L614" t="s">
        <v>27</v>
      </c>
    </row>
    <row r="615" spans="1:12" x14ac:dyDescent="0.2">
      <c r="A615">
        <v>614</v>
      </c>
      <c r="B615">
        <v>0</v>
      </c>
      <c r="C615">
        <v>3</v>
      </c>
      <c r="D615" t="s">
        <v>873</v>
      </c>
      <c r="E615" t="s">
        <v>13</v>
      </c>
      <c r="G615">
        <v>0</v>
      </c>
      <c r="H615">
        <v>0</v>
      </c>
      <c r="I615">
        <v>370377</v>
      </c>
      <c r="J615" s="3">
        <v>7.75</v>
      </c>
      <c r="L615" t="s">
        <v>27</v>
      </c>
    </row>
    <row r="616" spans="1:12" x14ac:dyDescent="0.2">
      <c r="A616">
        <v>615</v>
      </c>
      <c r="B616">
        <v>0</v>
      </c>
      <c r="C616">
        <v>3</v>
      </c>
      <c r="D616" t="s">
        <v>874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 s="3">
        <v>8.0500000000000007</v>
      </c>
      <c r="L616" t="s">
        <v>15</v>
      </c>
    </row>
    <row r="617" spans="1:12" x14ac:dyDescent="0.2">
      <c r="A617">
        <v>616</v>
      </c>
      <c r="B617">
        <v>1</v>
      </c>
      <c r="C617">
        <v>2</v>
      </c>
      <c r="D617" t="s">
        <v>875</v>
      </c>
      <c r="E617" t="s">
        <v>17</v>
      </c>
      <c r="F617">
        <v>24</v>
      </c>
      <c r="G617">
        <v>1</v>
      </c>
      <c r="H617">
        <v>2</v>
      </c>
      <c r="I617">
        <v>220845</v>
      </c>
      <c r="J617" s="3">
        <v>65</v>
      </c>
      <c r="L617" t="s">
        <v>15</v>
      </c>
    </row>
    <row r="618" spans="1:12" x14ac:dyDescent="0.2">
      <c r="A618">
        <v>617</v>
      </c>
      <c r="B618">
        <v>0</v>
      </c>
      <c r="C618">
        <v>3</v>
      </c>
      <c r="D618" t="s">
        <v>876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 s="3">
        <v>14.4</v>
      </c>
      <c r="L618" t="s">
        <v>15</v>
      </c>
    </row>
    <row r="619" spans="1:12" x14ac:dyDescent="0.2">
      <c r="A619">
        <v>618</v>
      </c>
      <c r="B619">
        <v>0</v>
      </c>
      <c r="C619">
        <v>3</v>
      </c>
      <c r="D619" t="s">
        <v>877</v>
      </c>
      <c r="E619" t="s">
        <v>17</v>
      </c>
      <c r="F619">
        <v>26</v>
      </c>
      <c r="G619">
        <v>1</v>
      </c>
      <c r="H619">
        <v>0</v>
      </c>
      <c r="I619" t="s">
        <v>384</v>
      </c>
      <c r="J619" s="3">
        <v>16.100000000000001</v>
      </c>
      <c r="L619" t="s">
        <v>15</v>
      </c>
    </row>
    <row r="620" spans="1:12" x14ac:dyDescent="0.2">
      <c r="A620">
        <v>619</v>
      </c>
      <c r="B620">
        <v>1</v>
      </c>
      <c r="C620">
        <v>2</v>
      </c>
      <c r="D620" t="s">
        <v>878</v>
      </c>
      <c r="E620" t="s">
        <v>17</v>
      </c>
      <c r="F620">
        <v>4</v>
      </c>
      <c r="G620">
        <v>2</v>
      </c>
      <c r="H620">
        <v>1</v>
      </c>
      <c r="I620">
        <v>230136</v>
      </c>
      <c r="J620" s="3">
        <v>39</v>
      </c>
      <c r="K620" t="s">
        <v>286</v>
      </c>
      <c r="L620" t="s">
        <v>15</v>
      </c>
    </row>
    <row r="621" spans="1:12" x14ac:dyDescent="0.2">
      <c r="A621">
        <v>620</v>
      </c>
      <c r="B621">
        <v>0</v>
      </c>
      <c r="C621">
        <v>2</v>
      </c>
      <c r="D621" t="s">
        <v>879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 s="3">
        <v>10.5</v>
      </c>
      <c r="L621" t="s">
        <v>15</v>
      </c>
    </row>
    <row r="622" spans="1:12" x14ac:dyDescent="0.2">
      <c r="A622">
        <v>621</v>
      </c>
      <c r="B622">
        <v>0</v>
      </c>
      <c r="C622">
        <v>3</v>
      </c>
      <c r="D622" t="s">
        <v>880</v>
      </c>
      <c r="E622" t="s">
        <v>13</v>
      </c>
      <c r="F622">
        <v>27</v>
      </c>
      <c r="G622">
        <v>1</v>
      </c>
      <c r="H622">
        <v>0</v>
      </c>
      <c r="I622">
        <v>2659</v>
      </c>
      <c r="J622" s="3">
        <v>14.4542</v>
      </c>
      <c r="L622" t="s">
        <v>20</v>
      </c>
    </row>
    <row r="623" spans="1:12" x14ac:dyDescent="0.2">
      <c r="A623">
        <v>622</v>
      </c>
      <c r="B623">
        <v>1</v>
      </c>
      <c r="C623">
        <v>1</v>
      </c>
      <c r="D623" t="s">
        <v>881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 s="3">
        <v>52.554200000000002</v>
      </c>
      <c r="K623" t="s">
        <v>882</v>
      </c>
      <c r="L623" t="s">
        <v>15</v>
      </c>
    </row>
    <row r="624" spans="1:12" x14ac:dyDescent="0.2">
      <c r="A624">
        <v>623</v>
      </c>
      <c r="B624">
        <v>1</v>
      </c>
      <c r="C624">
        <v>3</v>
      </c>
      <c r="D624" t="s">
        <v>883</v>
      </c>
      <c r="E624" t="s">
        <v>13</v>
      </c>
      <c r="F624">
        <v>20</v>
      </c>
      <c r="G624">
        <v>1</v>
      </c>
      <c r="H624">
        <v>1</v>
      </c>
      <c r="I624">
        <v>2653</v>
      </c>
      <c r="J624" s="3">
        <v>15.7417</v>
      </c>
      <c r="L624" t="s">
        <v>20</v>
      </c>
    </row>
    <row r="625" spans="1:12" x14ac:dyDescent="0.2">
      <c r="A625">
        <v>624</v>
      </c>
      <c r="B625">
        <v>0</v>
      </c>
      <c r="C625">
        <v>3</v>
      </c>
      <c r="D625" t="s">
        <v>884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 s="3">
        <v>7.8541999999999996</v>
      </c>
      <c r="L625" t="s">
        <v>15</v>
      </c>
    </row>
    <row r="626" spans="1:12" x14ac:dyDescent="0.2">
      <c r="A626">
        <v>625</v>
      </c>
      <c r="B626">
        <v>0</v>
      </c>
      <c r="C626">
        <v>3</v>
      </c>
      <c r="D626" t="s">
        <v>885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 s="3">
        <v>16.100000000000001</v>
      </c>
      <c r="L626" t="s">
        <v>15</v>
      </c>
    </row>
    <row r="627" spans="1:12" x14ac:dyDescent="0.2">
      <c r="A627">
        <v>626</v>
      </c>
      <c r="B627">
        <v>0</v>
      </c>
      <c r="C627">
        <v>1</v>
      </c>
      <c r="D627" t="s">
        <v>886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 s="3">
        <v>32.320799999999998</v>
      </c>
      <c r="K627" t="s">
        <v>887</v>
      </c>
      <c r="L627" t="s">
        <v>15</v>
      </c>
    </row>
    <row r="628" spans="1:12" x14ac:dyDescent="0.2">
      <c r="A628">
        <v>627</v>
      </c>
      <c r="B628">
        <v>0</v>
      </c>
      <c r="C628">
        <v>2</v>
      </c>
      <c r="D628" t="s">
        <v>888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 s="3">
        <v>12.35</v>
      </c>
      <c r="L628" t="s">
        <v>27</v>
      </c>
    </row>
    <row r="629" spans="1:12" x14ac:dyDescent="0.2">
      <c r="A629">
        <v>628</v>
      </c>
      <c r="B629">
        <v>1</v>
      </c>
      <c r="C629">
        <v>1</v>
      </c>
      <c r="D629" t="s">
        <v>889</v>
      </c>
      <c r="E629" t="s">
        <v>17</v>
      </c>
      <c r="F629">
        <v>21</v>
      </c>
      <c r="G629">
        <v>0</v>
      </c>
      <c r="H629">
        <v>0</v>
      </c>
      <c r="I629">
        <v>13502</v>
      </c>
      <c r="J629" s="3">
        <v>77.958299999999994</v>
      </c>
      <c r="K629" t="s">
        <v>890</v>
      </c>
      <c r="L629" t="s">
        <v>15</v>
      </c>
    </row>
    <row r="630" spans="1:12" x14ac:dyDescent="0.2">
      <c r="A630">
        <v>629</v>
      </c>
      <c r="B630">
        <v>0</v>
      </c>
      <c r="C630">
        <v>3</v>
      </c>
      <c r="D630" t="s">
        <v>891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 s="3">
        <v>7.8958000000000004</v>
      </c>
      <c r="L630" t="s">
        <v>15</v>
      </c>
    </row>
    <row r="631" spans="1:12" x14ac:dyDescent="0.2">
      <c r="A631">
        <v>630</v>
      </c>
      <c r="B631">
        <v>0</v>
      </c>
      <c r="C631">
        <v>3</v>
      </c>
      <c r="D631" t="s">
        <v>892</v>
      </c>
      <c r="E631" t="s">
        <v>13</v>
      </c>
      <c r="G631">
        <v>0</v>
      </c>
      <c r="H631">
        <v>0</v>
      </c>
      <c r="I631">
        <v>334912</v>
      </c>
      <c r="J631" s="3">
        <v>7.7332999999999998</v>
      </c>
      <c r="L631" t="s">
        <v>27</v>
      </c>
    </row>
    <row r="632" spans="1:12" x14ac:dyDescent="0.2">
      <c r="A632">
        <v>631</v>
      </c>
      <c r="B632">
        <v>1</v>
      </c>
      <c r="C632">
        <v>1</v>
      </c>
      <c r="D632" t="s">
        <v>893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 s="3">
        <v>30</v>
      </c>
      <c r="K632" t="s">
        <v>894</v>
      </c>
      <c r="L632" t="s">
        <v>15</v>
      </c>
    </row>
    <row r="633" spans="1:12" x14ac:dyDescent="0.2">
      <c r="A633">
        <v>632</v>
      </c>
      <c r="B633">
        <v>0</v>
      </c>
      <c r="C633">
        <v>3</v>
      </c>
      <c r="D633" t="s">
        <v>895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 s="3">
        <v>7.0541999999999998</v>
      </c>
      <c r="L633" t="s">
        <v>15</v>
      </c>
    </row>
    <row r="634" spans="1:12" x14ac:dyDescent="0.2">
      <c r="A634">
        <v>633</v>
      </c>
      <c r="B634">
        <v>1</v>
      </c>
      <c r="C634">
        <v>1</v>
      </c>
      <c r="D634" t="s">
        <v>896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 s="3">
        <v>30.5</v>
      </c>
      <c r="K634" t="s">
        <v>897</v>
      </c>
      <c r="L634" t="s">
        <v>20</v>
      </c>
    </row>
    <row r="635" spans="1:12" x14ac:dyDescent="0.2">
      <c r="A635">
        <v>634</v>
      </c>
      <c r="B635">
        <v>0</v>
      </c>
      <c r="C635">
        <v>1</v>
      </c>
      <c r="D635" t="s">
        <v>898</v>
      </c>
      <c r="E635" t="s">
        <v>13</v>
      </c>
      <c r="G635">
        <v>0</v>
      </c>
      <c r="H635">
        <v>0</v>
      </c>
      <c r="I635">
        <v>112052</v>
      </c>
      <c r="J635" s="3">
        <v>0</v>
      </c>
      <c r="L635" t="s">
        <v>15</v>
      </c>
    </row>
    <row r="636" spans="1:12" x14ac:dyDescent="0.2">
      <c r="A636">
        <v>635</v>
      </c>
      <c r="B636">
        <v>0</v>
      </c>
      <c r="C636">
        <v>3</v>
      </c>
      <c r="D636" t="s">
        <v>899</v>
      </c>
      <c r="E636" t="s">
        <v>17</v>
      </c>
      <c r="F636">
        <v>9</v>
      </c>
      <c r="G636">
        <v>3</v>
      </c>
      <c r="H636">
        <v>2</v>
      </c>
      <c r="I636">
        <v>347088</v>
      </c>
      <c r="J636" s="3">
        <v>27.9</v>
      </c>
      <c r="L636" t="s">
        <v>15</v>
      </c>
    </row>
    <row r="637" spans="1:12" x14ac:dyDescent="0.2">
      <c r="A637">
        <v>636</v>
      </c>
      <c r="B637">
        <v>1</v>
      </c>
      <c r="C637">
        <v>2</v>
      </c>
      <c r="D637" t="s">
        <v>900</v>
      </c>
      <c r="E637" t="s">
        <v>17</v>
      </c>
      <c r="F637">
        <v>28</v>
      </c>
      <c r="G637">
        <v>0</v>
      </c>
      <c r="H637">
        <v>0</v>
      </c>
      <c r="I637">
        <v>237668</v>
      </c>
      <c r="J637" s="3">
        <v>13</v>
      </c>
      <c r="L637" t="s">
        <v>15</v>
      </c>
    </row>
    <row r="638" spans="1:12" x14ac:dyDescent="0.2">
      <c r="A638">
        <v>637</v>
      </c>
      <c r="B638">
        <v>0</v>
      </c>
      <c r="C638">
        <v>3</v>
      </c>
      <c r="D638" t="s">
        <v>901</v>
      </c>
      <c r="E638" t="s">
        <v>13</v>
      </c>
      <c r="F638">
        <v>32</v>
      </c>
      <c r="G638">
        <v>0</v>
      </c>
      <c r="H638">
        <v>0</v>
      </c>
      <c r="I638" t="s">
        <v>902</v>
      </c>
      <c r="J638" s="3">
        <v>7.9249999999999998</v>
      </c>
      <c r="L638" t="s">
        <v>15</v>
      </c>
    </row>
    <row r="639" spans="1:12" x14ac:dyDescent="0.2">
      <c r="A639">
        <v>638</v>
      </c>
      <c r="B639">
        <v>0</v>
      </c>
      <c r="C639">
        <v>2</v>
      </c>
      <c r="D639" t="s">
        <v>903</v>
      </c>
      <c r="E639" t="s">
        <v>13</v>
      </c>
      <c r="F639">
        <v>31</v>
      </c>
      <c r="G639">
        <v>1</v>
      </c>
      <c r="H639">
        <v>1</v>
      </c>
      <c r="I639" t="s">
        <v>361</v>
      </c>
      <c r="J639" s="3">
        <v>26.25</v>
      </c>
      <c r="L639" t="s">
        <v>15</v>
      </c>
    </row>
    <row r="640" spans="1:12" x14ac:dyDescent="0.2">
      <c r="A640">
        <v>639</v>
      </c>
      <c r="B640">
        <v>0</v>
      </c>
      <c r="C640">
        <v>3</v>
      </c>
      <c r="D640" t="s">
        <v>904</v>
      </c>
      <c r="E640" t="s">
        <v>17</v>
      </c>
      <c r="F640">
        <v>41</v>
      </c>
      <c r="G640">
        <v>0</v>
      </c>
      <c r="H640">
        <v>5</v>
      </c>
      <c r="I640">
        <v>3101295</v>
      </c>
      <c r="J640" s="3">
        <v>39.6875</v>
      </c>
      <c r="L640" t="s">
        <v>15</v>
      </c>
    </row>
    <row r="641" spans="1:12" x14ac:dyDescent="0.2">
      <c r="A641">
        <v>640</v>
      </c>
      <c r="B641">
        <v>0</v>
      </c>
      <c r="C641">
        <v>3</v>
      </c>
      <c r="D641" t="s">
        <v>905</v>
      </c>
      <c r="E641" t="s">
        <v>13</v>
      </c>
      <c r="G641">
        <v>1</v>
      </c>
      <c r="H641">
        <v>0</v>
      </c>
      <c r="I641">
        <v>376564</v>
      </c>
      <c r="J641" s="3">
        <v>16.100000000000001</v>
      </c>
      <c r="L641" t="s">
        <v>15</v>
      </c>
    </row>
    <row r="642" spans="1:12" x14ac:dyDescent="0.2">
      <c r="A642">
        <v>641</v>
      </c>
      <c r="B642">
        <v>0</v>
      </c>
      <c r="C642">
        <v>3</v>
      </c>
      <c r="D642" t="s">
        <v>906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 s="3">
        <v>7.8541999999999996</v>
      </c>
      <c r="L642" t="s">
        <v>15</v>
      </c>
    </row>
    <row r="643" spans="1:12" x14ac:dyDescent="0.2">
      <c r="A643">
        <v>642</v>
      </c>
      <c r="B643">
        <v>1</v>
      </c>
      <c r="C643">
        <v>1</v>
      </c>
      <c r="D643" t="s">
        <v>907</v>
      </c>
      <c r="E643" t="s">
        <v>17</v>
      </c>
      <c r="F643">
        <v>24</v>
      </c>
      <c r="G643">
        <v>0</v>
      </c>
      <c r="H643">
        <v>0</v>
      </c>
      <c r="I643" t="s">
        <v>549</v>
      </c>
      <c r="J643" s="3">
        <v>69.3</v>
      </c>
      <c r="K643" t="s">
        <v>550</v>
      </c>
      <c r="L643" t="s">
        <v>20</v>
      </c>
    </row>
    <row r="644" spans="1:12" x14ac:dyDescent="0.2">
      <c r="A644">
        <v>643</v>
      </c>
      <c r="B644">
        <v>0</v>
      </c>
      <c r="C644">
        <v>3</v>
      </c>
      <c r="D644" t="s">
        <v>908</v>
      </c>
      <c r="E644" t="s">
        <v>17</v>
      </c>
      <c r="F644">
        <v>2</v>
      </c>
      <c r="G644">
        <v>3</v>
      </c>
      <c r="H644">
        <v>2</v>
      </c>
      <c r="I644">
        <v>347088</v>
      </c>
      <c r="J644" s="3">
        <v>27.9</v>
      </c>
      <c r="L644" t="s">
        <v>15</v>
      </c>
    </row>
    <row r="645" spans="1:12" x14ac:dyDescent="0.2">
      <c r="A645">
        <v>644</v>
      </c>
      <c r="B645">
        <v>1</v>
      </c>
      <c r="C645">
        <v>3</v>
      </c>
      <c r="D645" t="s">
        <v>909</v>
      </c>
      <c r="E645" t="s">
        <v>13</v>
      </c>
      <c r="G645">
        <v>0</v>
      </c>
      <c r="H645">
        <v>0</v>
      </c>
      <c r="I645">
        <v>1601</v>
      </c>
      <c r="J645" s="3">
        <v>56.495800000000003</v>
      </c>
      <c r="L645" t="s">
        <v>15</v>
      </c>
    </row>
    <row r="646" spans="1:12" x14ac:dyDescent="0.2">
      <c r="A646">
        <v>645</v>
      </c>
      <c r="B646">
        <v>1</v>
      </c>
      <c r="C646">
        <v>3</v>
      </c>
      <c r="D646" t="s">
        <v>910</v>
      </c>
      <c r="E646" t="s">
        <v>17</v>
      </c>
      <c r="F646">
        <v>0.75</v>
      </c>
      <c r="G646">
        <v>2</v>
      </c>
      <c r="H646">
        <v>1</v>
      </c>
      <c r="I646">
        <v>2666</v>
      </c>
      <c r="J646" s="3">
        <v>19.258299999999998</v>
      </c>
      <c r="L646" t="s">
        <v>20</v>
      </c>
    </row>
    <row r="647" spans="1:12" x14ac:dyDescent="0.2">
      <c r="A647">
        <v>646</v>
      </c>
      <c r="B647">
        <v>1</v>
      </c>
      <c r="C647">
        <v>1</v>
      </c>
      <c r="D647" t="s">
        <v>911</v>
      </c>
      <c r="E647" t="s">
        <v>13</v>
      </c>
      <c r="F647">
        <v>48</v>
      </c>
      <c r="G647">
        <v>1</v>
      </c>
      <c r="H647">
        <v>0</v>
      </c>
      <c r="I647" t="s">
        <v>92</v>
      </c>
      <c r="J647" s="3">
        <v>76.729200000000006</v>
      </c>
      <c r="K647" t="s">
        <v>93</v>
      </c>
      <c r="L647" t="s">
        <v>20</v>
      </c>
    </row>
    <row r="648" spans="1:12" x14ac:dyDescent="0.2">
      <c r="A648">
        <v>647</v>
      </c>
      <c r="B648">
        <v>0</v>
      </c>
      <c r="C648">
        <v>3</v>
      </c>
      <c r="D648" t="s">
        <v>912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 s="3">
        <v>7.8958000000000004</v>
      </c>
      <c r="L648" t="s">
        <v>15</v>
      </c>
    </row>
    <row r="649" spans="1:12" x14ac:dyDescent="0.2">
      <c r="A649">
        <v>648</v>
      </c>
      <c r="B649">
        <v>1</v>
      </c>
      <c r="C649">
        <v>1</v>
      </c>
      <c r="D649" t="s">
        <v>913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 s="3">
        <v>35.5</v>
      </c>
      <c r="K649" t="s">
        <v>914</v>
      </c>
      <c r="L649" t="s">
        <v>20</v>
      </c>
    </row>
    <row r="650" spans="1:12" x14ac:dyDescent="0.2">
      <c r="A650">
        <v>649</v>
      </c>
      <c r="B650">
        <v>0</v>
      </c>
      <c r="C650">
        <v>3</v>
      </c>
      <c r="D650" t="s">
        <v>915</v>
      </c>
      <c r="E650" t="s">
        <v>13</v>
      </c>
      <c r="G650">
        <v>0</v>
      </c>
      <c r="H650">
        <v>0</v>
      </c>
      <c r="I650" t="s">
        <v>916</v>
      </c>
      <c r="J650" s="3">
        <v>7.55</v>
      </c>
      <c r="L650" t="s">
        <v>15</v>
      </c>
    </row>
    <row r="651" spans="1:12" x14ac:dyDescent="0.2">
      <c r="A651">
        <v>650</v>
      </c>
      <c r="B651">
        <v>1</v>
      </c>
      <c r="C651">
        <v>3</v>
      </c>
      <c r="D651" t="s">
        <v>917</v>
      </c>
      <c r="E651" t="s">
        <v>17</v>
      </c>
      <c r="F651">
        <v>23</v>
      </c>
      <c r="G651">
        <v>0</v>
      </c>
      <c r="H651">
        <v>0</v>
      </c>
      <c r="I651" t="s">
        <v>918</v>
      </c>
      <c r="J651" s="3">
        <v>7.55</v>
      </c>
      <c r="L651" t="s">
        <v>15</v>
      </c>
    </row>
    <row r="652" spans="1:12" x14ac:dyDescent="0.2">
      <c r="A652">
        <v>651</v>
      </c>
      <c r="B652">
        <v>0</v>
      </c>
      <c r="C652">
        <v>3</v>
      </c>
      <c r="D652" t="s">
        <v>919</v>
      </c>
      <c r="E652" t="s">
        <v>13</v>
      </c>
      <c r="G652">
        <v>0</v>
      </c>
      <c r="H652">
        <v>0</v>
      </c>
      <c r="I652">
        <v>349221</v>
      </c>
      <c r="J652" s="3">
        <v>7.8958000000000004</v>
      </c>
      <c r="L652" t="s">
        <v>15</v>
      </c>
    </row>
    <row r="653" spans="1:12" x14ac:dyDescent="0.2">
      <c r="A653">
        <v>652</v>
      </c>
      <c r="B653">
        <v>1</v>
      </c>
      <c r="C653">
        <v>2</v>
      </c>
      <c r="D653" t="s">
        <v>920</v>
      </c>
      <c r="E653" t="s">
        <v>17</v>
      </c>
      <c r="F653">
        <v>18</v>
      </c>
      <c r="G653">
        <v>0</v>
      </c>
      <c r="H653">
        <v>1</v>
      </c>
      <c r="I653">
        <v>231919</v>
      </c>
      <c r="J653" s="3">
        <v>23</v>
      </c>
      <c r="L653" t="s">
        <v>15</v>
      </c>
    </row>
    <row r="654" spans="1:12" x14ac:dyDescent="0.2">
      <c r="A654">
        <v>653</v>
      </c>
      <c r="B654">
        <v>0</v>
      </c>
      <c r="C654">
        <v>3</v>
      </c>
      <c r="D654" t="s">
        <v>921</v>
      </c>
      <c r="E654" t="s">
        <v>13</v>
      </c>
      <c r="F654">
        <v>21</v>
      </c>
      <c r="G654">
        <v>0</v>
      </c>
      <c r="H654">
        <v>0</v>
      </c>
      <c r="I654">
        <v>8475</v>
      </c>
      <c r="J654" s="3">
        <v>8.4332999999999991</v>
      </c>
      <c r="L654" t="s">
        <v>15</v>
      </c>
    </row>
    <row r="655" spans="1:12" x14ac:dyDescent="0.2">
      <c r="A655">
        <v>654</v>
      </c>
      <c r="B655">
        <v>1</v>
      </c>
      <c r="C655">
        <v>3</v>
      </c>
      <c r="D655" t="s">
        <v>922</v>
      </c>
      <c r="E655" t="s">
        <v>17</v>
      </c>
      <c r="G655">
        <v>0</v>
      </c>
      <c r="H655">
        <v>0</v>
      </c>
      <c r="I655">
        <v>330919</v>
      </c>
      <c r="J655" s="3">
        <v>7.8292000000000002</v>
      </c>
      <c r="L655" t="s">
        <v>27</v>
      </c>
    </row>
    <row r="656" spans="1:12" x14ac:dyDescent="0.2">
      <c r="A656">
        <v>655</v>
      </c>
      <c r="B656">
        <v>0</v>
      </c>
      <c r="C656">
        <v>3</v>
      </c>
      <c r="D656" t="s">
        <v>923</v>
      </c>
      <c r="E656" t="s">
        <v>17</v>
      </c>
      <c r="F656">
        <v>18</v>
      </c>
      <c r="G656">
        <v>0</v>
      </c>
      <c r="H656">
        <v>0</v>
      </c>
      <c r="I656">
        <v>365226</v>
      </c>
      <c r="J656" s="3">
        <v>6.75</v>
      </c>
      <c r="L656" t="s">
        <v>27</v>
      </c>
    </row>
    <row r="657" spans="1:12" x14ac:dyDescent="0.2">
      <c r="A657">
        <v>656</v>
      </c>
      <c r="B657">
        <v>0</v>
      </c>
      <c r="C657">
        <v>2</v>
      </c>
      <c r="D657" t="s">
        <v>924</v>
      </c>
      <c r="E657" t="s">
        <v>13</v>
      </c>
      <c r="F657">
        <v>24</v>
      </c>
      <c r="G657">
        <v>2</v>
      </c>
      <c r="H657">
        <v>0</v>
      </c>
      <c r="I657" t="s">
        <v>126</v>
      </c>
      <c r="J657" s="3">
        <v>73.5</v>
      </c>
      <c r="L657" t="s">
        <v>15</v>
      </c>
    </row>
    <row r="658" spans="1:12" x14ac:dyDescent="0.2">
      <c r="A658">
        <v>657</v>
      </c>
      <c r="B658">
        <v>0</v>
      </c>
      <c r="C658">
        <v>3</v>
      </c>
      <c r="D658" t="s">
        <v>925</v>
      </c>
      <c r="E658" t="s">
        <v>13</v>
      </c>
      <c r="G658">
        <v>0</v>
      </c>
      <c r="H658">
        <v>0</v>
      </c>
      <c r="I658">
        <v>349223</v>
      </c>
      <c r="J658" s="3">
        <v>7.8958000000000004</v>
      </c>
      <c r="L658" t="s">
        <v>15</v>
      </c>
    </row>
    <row r="659" spans="1:12" x14ac:dyDescent="0.2">
      <c r="A659">
        <v>658</v>
      </c>
      <c r="B659">
        <v>0</v>
      </c>
      <c r="C659">
        <v>3</v>
      </c>
      <c r="D659" t="s">
        <v>926</v>
      </c>
      <c r="E659" t="s">
        <v>17</v>
      </c>
      <c r="F659">
        <v>32</v>
      </c>
      <c r="G659">
        <v>1</v>
      </c>
      <c r="H659">
        <v>1</v>
      </c>
      <c r="I659">
        <v>364849</v>
      </c>
      <c r="J659" s="3">
        <v>15.5</v>
      </c>
      <c r="L659" t="s">
        <v>27</v>
      </c>
    </row>
    <row r="660" spans="1:12" x14ac:dyDescent="0.2">
      <c r="A660">
        <v>659</v>
      </c>
      <c r="B660">
        <v>0</v>
      </c>
      <c r="C660">
        <v>2</v>
      </c>
      <c r="D660" t="s">
        <v>927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 s="3">
        <v>13</v>
      </c>
      <c r="L660" t="s">
        <v>15</v>
      </c>
    </row>
    <row r="661" spans="1:12" x14ac:dyDescent="0.2">
      <c r="A661">
        <v>660</v>
      </c>
      <c r="B661">
        <v>0</v>
      </c>
      <c r="C661">
        <v>1</v>
      </c>
      <c r="D661" t="s">
        <v>928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 s="3">
        <v>113.27500000000001</v>
      </c>
      <c r="K661" t="s">
        <v>929</v>
      </c>
      <c r="L661" t="s">
        <v>20</v>
      </c>
    </row>
    <row r="662" spans="1:12" x14ac:dyDescent="0.2">
      <c r="A662">
        <v>661</v>
      </c>
      <c r="B662">
        <v>1</v>
      </c>
      <c r="C662">
        <v>1</v>
      </c>
      <c r="D662" t="s">
        <v>930</v>
      </c>
      <c r="E662" t="s">
        <v>13</v>
      </c>
      <c r="F662">
        <v>50</v>
      </c>
      <c r="G662">
        <v>2</v>
      </c>
      <c r="H662">
        <v>0</v>
      </c>
      <c r="I662" t="s">
        <v>505</v>
      </c>
      <c r="J662" s="3">
        <v>133.65</v>
      </c>
      <c r="L662" t="s">
        <v>15</v>
      </c>
    </row>
    <row r="663" spans="1:12" x14ac:dyDescent="0.2">
      <c r="A663">
        <v>662</v>
      </c>
      <c r="B663">
        <v>0</v>
      </c>
      <c r="C663">
        <v>3</v>
      </c>
      <c r="D663" t="s">
        <v>931</v>
      </c>
      <c r="E663" t="s">
        <v>13</v>
      </c>
      <c r="F663">
        <v>40</v>
      </c>
      <c r="G663">
        <v>0</v>
      </c>
      <c r="H663">
        <v>0</v>
      </c>
      <c r="I663">
        <v>2623</v>
      </c>
      <c r="J663" s="3">
        <v>7.2249999999999996</v>
      </c>
      <c r="L663" t="s">
        <v>20</v>
      </c>
    </row>
    <row r="664" spans="1:12" x14ac:dyDescent="0.2">
      <c r="A664">
        <v>663</v>
      </c>
      <c r="B664">
        <v>0</v>
      </c>
      <c r="C664">
        <v>1</v>
      </c>
      <c r="D664" t="s">
        <v>932</v>
      </c>
      <c r="E664" t="s">
        <v>13</v>
      </c>
      <c r="F664">
        <v>47</v>
      </c>
      <c r="G664">
        <v>0</v>
      </c>
      <c r="H664">
        <v>0</v>
      </c>
      <c r="I664">
        <v>5727</v>
      </c>
      <c r="J664" s="3">
        <v>25.587499999999999</v>
      </c>
      <c r="K664" t="s">
        <v>933</v>
      </c>
      <c r="L664" t="s">
        <v>15</v>
      </c>
    </row>
    <row r="665" spans="1:12" x14ac:dyDescent="0.2">
      <c r="A665">
        <v>664</v>
      </c>
      <c r="B665">
        <v>0</v>
      </c>
      <c r="C665">
        <v>3</v>
      </c>
      <c r="D665" t="s">
        <v>934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 s="3">
        <v>7.4958</v>
      </c>
      <c r="L665" t="s">
        <v>15</v>
      </c>
    </row>
    <row r="666" spans="1:12" x14ac:dyDescent="0.2">
      <c r="A666">
        <v>665</v>
      </c>
      <c r="B666">
        <v>1</v>
      </c>
      <c r="C666">
        <v>3</v>
      </c>
      <c r="D666" t="s">
        <v>935</v>
      </c>
      <c r="E666" t="s">
        <v>13</v>
      </c>
      <c r="F666">
        <v>20</v>
      </c>
      <c r="G666">
        <v>1</v>
      </c>
      <c r="H666">
        <v>0</v>
      </c>
      <c r="I666" t="s">
        <v>936</v>
      </c>
      <c r="J666" s="3">
        <v>7.9249999999999998</v>
      </c>
      <c r="L666" t="s">
        <v>15</v>
      </c>
    </row>
    <row r="667" spans="1:12" x14ac:dyDescent="0.2">
      <c r="A667">
        <v>666</v>
      </c>
      <c r="B667">
        <v>0</v>
      </c>
      <c r="C667">
        <v>2</v>
      </c>
      <c r="D667" t="s">
        <v>937</v>
      </c>
      <c r="E667" t="s">
        <v>13</v>
      </c>
      <c r="F667">
        <v>32</v>
      </c>
      <c r="G667">
        <v>2</v>
      </c>
      <c r="H667">
        <v>0</v>
      </c>
      <c r="I667" t="s">
        <v>126</v>
      </c>
      <c r="J667" s="3">
        <v>73.5</v>
      </c>
      <c r="L667" t="s">
        <v>15</v>
      </c>
    </row>
    <row r="668" spans="1:12" x14ac:dyDescent="0.2">
      <c r="A668">
        <v>667</v>
      </c>
      <c r="B668">
        <v>0</v>
      </c>
      <c r="C668">
        <v>2</v>
      </c>
      <c r="D668" t="s">
        <v>938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 s="3">
        <v>13</v>
      </c>
      <c r="L668" t="s">
        <v>15</v>
      </c>
    </row>
    <row r="669" spans="1:12" x14ac:dyDescent="0.2">
      <c r="A669">
        <v>668</v>
      </c>
      <c r="B669">
        <v>0</v>
      </c>
      <c r="C669">
        <v>3</v>
      </c>
      <c r="D669" t="s">
        <v>939</v>
      </c>
      <c r="E669" t="s">
        <v>13</v>
      </c>
      <c r="G669">
        <v>0</v>
      </c>
      <c r="H669">
        <v>0</v>
      </c>
      <c r="I669">
        <v>312993</v>
      </c>
      <c r="J669" s="3">
        <v>7.7750000000000004</v>
      </c>
      <c r="L669" t="s">
        <v>15</v>
      </c>
    </row>
    <row r="670" spans="1:12" x14ac:dyDescent="0.2">
      <c r="A670">
        <v>669</v>
      </c>
      <c r="B670">
        <v>0</v>
      </c>
      <c r="C670">
        <v>3</v>
      </c>
      <c r="D670" t="s">
        <v>940</v>
      </c>
      <c r="E670" t="s">
        <v>13</v>
      </c>
      <c r="F670">
        <v>43</v>
      </c>
      <c r="G670">
        <v>0</v>
      </c>
      <c r="H670">
        <v>0</v>
      </c>
      <c r="I670" t="s">
        <v>941</v>
      </c>
      <c r="J670" s="3">
        <v>8.0500000000000007</v>
      </c>
      <c r="L670" t="s">
        <v>15</v>
      </c>
    </row>
    <row r="671" spans="1:12" x14ac:dyDescent="0.2">
      <c r="A671">
        <v>670</v>
      </c>
      <c r="B671">
        <v>1</v>
      </c>
      <c r="C671">
        <v>1</v>
      </c>
      <c r="D671" t="s">
        <v>942</v>
      </c>
      <c r="E671" t="s">
        <v>17</v>
      </c>
      <c r="G671">
        <v>1</v>
      </c>
      <c r="H671">
        <v>0</v>
      </c>
      <c r="I671">
        <v>19996</v>
      </c>
      <c r="J671" s="3">
        <v>52</v>
      </c>
      <c r="K671" t="s">
        <v>943</v>
      </c>
      <c r="L671" t="s">
        <v>15</v>
      </c>
    </row>
    <row r="672" spans="1:12" x14ac:dyDescent="0.2">
      <c r="A672">
        <v>671</v>
      </c>
      <c r="B672">
        <v>1</v>
      </c>
      <c r="C672">
        <v>2</v>
      </c>
      <c r="D672" t="s">
        <v>944</v>
      </c>
      <c r="E672" t="s">
        <v>17</v>
      </c>
      <c r="F672">
        <v>40</v>
      </c>
      <c r="G672">
        <v>1</v>
      </c>
      <c r="H672">
        <v>1</v>
      </c>
      <c r="I672">
        <v>29750</v>
      </c>
      <c r="J672" s="3">
        <v>39</v>
      </c>
      <c r="L672" t="s">
        <v>15</v>
      </c>
    </row>
    <row r="673" spans="1:12" x14ac:dyDescent="0.2">
      <c r="A673">
        <v>672</v>
      </c>
      <c r="B673">
        <v>0</v>
      </c>
      <c r="C673">
        <v>1</v>
      </c>
      <c r="D673" t="s">
        <v>945</v>
      </c>
      <c r="E673" t="s">
        <v>13</v>
      </c>
      <c r="F673">
        <v>31</v>
      </c>
      <c r="G673">
        <v>1</v>
      </c>
      <c r="H673">
        <v>0</v>
      </c>
      <c r="I673" t="s">
        <v>946</v>
      </c>
      <c r="J673" s="3">
        <v>52</v>
      </c>
      <c r="K673" t="s">
        <v>947</v>
      </c>
      <c r="L673" t="s">
        <v>15</v>
      </c>
    </row>
    <row r="674" spans="1:12" x14ac:dyDescent="0.2">
      <c r="A674">
        <v>673</v>
      </c>
      <c r="B674">
        <v>0</v>
      </c>
      <c r="C674">
        <v>2</v>
      </c>
      <c r="D674" t="s">
        <v>948</v>
      </c>
      <c r="E674" t="s">
        <v>13</v>
      </c>
      <c r="F674">
        <v>70</v>
      </c>
      <c r="G674">
        <v>0</v>
      </c>
      <c r="H674">
        <v>0</v>
      </c>
      <c r="I674" t="s">
        <v>949</v>
      </c>
      <c r="J674" s="3">
        <v>10.5</v>
      </c>
      <c r="L674" t="s">
        <v>15</v>
      </c>
    </row>
    <row r="675" spans="1:12" x14ac:dyDescent="0.2">
      <c r="A675">
        <v>674</v>
      </c>
      <c r="B675">
        <v>1</v>
      </c>
      <c r="C675">
        <v>2</v>
      </c>
      <c r="D675" t="s">
        <v>950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 s="3">
        <v>13</v>
      </c>
      <c r="L675" t="s">
        <v>15</v>
      </c>
    </row>
    <row r="676" spans="1:12" x14ac:dyDescent="0.2">
      <c r="A676">
        <v>675</v>
      </c>
      <c r="B676">
        <v>0</v>
      </c>
      <c r="C676">
        <v>2</v>
      </c>
      <c r="D676" t="s">
        <v>951</v>
      </c>
      <c r="E676" t="s">
        <v>13</v>
      </c>
      <c r="G676">
        <v>0</v>
      </c>
      <c r="H676">
        <v>0</v>
      </c>
      <c r="I676">
        <v>239856</v>
      </c>
      <c r="J676" s="3">
        <v>0</v>
      </c>
      <c r="L676" t="s">
        <v>15</v>
      </c>
    </row>
    <row r="677" spans="1:12" x14ac:dyDescent="0.2">
      <c r="A677">
        <v>676</v>
      </c>
      <c r="B677">
        <v>0</v>
      </c>
      <c r="C677">
        <v>3</v>
      </c>
      <c r="D677" t="s">
        <v>952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 s="3">
        <v>7.7750000000000004</v>
      </c>
      <c r="L677" t="s">
        <v>15</v>
      </c>
    </row>
    <row r="678" spans="1:12" x14ac:dyDescent="0.2">
      <c r="A678">
        <v>677</v>
      </c>
      <c r="B678">
        <v>0</v>
      </c>
      <c r="C678">
        <v>3</v>
      </c>
      <c r="D678" t="s">
        <v>953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 s="3">
        <v>8.0500000000000007</v>
      </c>
      <c r="L678" t="s">
        <v>15</v>
      </c>
    </row>
    <row r="679" spans="1:12" x14ac:dyDescent="0.2">
      <c r="A679">
        <v>678</v>
      </c>
      <c r="B679">
        <v>1</v>
      </c>
      <c r="C679">
        <v>3</v>
      </c>
      <c r="D679" t="s">
        <v>954</v>
      </c>
      <c r="E679" t="s">
        <v>17</v>
      </c>
      <c r="F679">
        <v>18</v>
      </c>
      <c r="G679">
        <v>0</v>
      </c>
      <c r="H679">
        <v>0</v>
      </c>
      <c r="I679">
        <v>4138</v>
      </c>
      <c r="J679" s="3">
        <v>9.8416999999999994</v>
      </c>
      <c r="L679" t="s">
        <v>15</v>
      </c>
    </row>
    <row r="680" spans="1:12" x14ac:dyDescent="0.2">
      <c r="A680">
        <v>679</v>
      </c>
      <c r="B680">
        <v>0</v>
      </c>
      <c r="C680">
        <v>3</v>
      </c>
      <c r="D680" t="s">
        <v>955</v>
      </c>
      <c r="E680" t="s">
        <v>17</v>
      </c>
      <c r="F680">
        <v>43</v>
      </c>
      <c r="G680">
        <v>1</v>
      </c>
      <c r="H680">
        <v>6</v>
      </c>
      <c r="I680" t="s">
        <v>105</v>
      </c>
      <c r="J680" s="3">
        <v>46.9</v>
      </c>
      <c r="L680" t="s">
        <v>15</v>
      </c>
    </row>
    <row r="681" spans="1:12" x14ac:dyDescent="0.2">
      <c r="A681">
        <v>680</v>
      </c>
      <c r="B681">
        <v>1</v>
      </c>
      <c r="C681">
        <v>1</v>
      </c>
      <c r="D681" t="s">
        <v>956</v>
      </c>
      <c r="E681" t="s">
        <v>13</v>
      </c>
      <c r="F681">
        <v>36</v>
      </c>
      <c r="G681">
        <v>0</v>
      </c>
      <c r="H681">
        <v>1</v>
      </c>
      <c r="I681" t="s">
        <v>392</v>
      </c>
      <c r="J681" s="3">
        <v>512.32920000000001</v>
      </c>
      <c r="K681" t="s">
        <v>957</v>
      </c>
      <c r="L681" t="s">
        <v>20</v>
      </c>
    </row>
    <row r="682" spans="1:12" x14ac:dyDescent="0.2">
      <c r="A682">
        <v>681</v>
      </c>
      <c r="B682">
        <v>0</v>
      </c>
      <c r="C682">
        <v>3</v>
      </c>
      <c r="D682" t="s">
        <v>958</v>
      </c>
      <c r="E682" t="s">
        <v>17</v>
      </c>
      <c r="G682">
        <v>0</v>
      </c>
      <c r="H682">
        <v>0</v>
      </c>
      <c r="I682">
        <v>330935</v>
      </c>
      <c r="J682" s="3">
        <v>8.1374999999999993</v>
      </c>
      <c r="L682" t="s">
        <v>27</v>
      </c>
    </row>
    <row r="683" spans="1:12" x14ac:dyDescent="0.2">
      <c r="A683">
        <v>682</v>
      </c>
      <c r="B683">
        <v>1</v>
      </c>
      <c r="C683">
        <v>1</v>
      </c>
      <c r="D683" t="s">
        <v>959</v>
      </c>
      <c r="E683" t="s">
        <v>13</v>
      </c>
      <c r="F683">
        <v>27</v>
      </c>
      <c r="G683">
        <v>0</v>
      </c>
      <c r="H683">
        <v>0</v>
      </c>
      <c r="I683" t="s">
        <v>92</v>
      </c>
      <c r="J683" s="3">
        <v>76.729200000000006</v>
      </c>
      <c r="K683" t="s">
        <v>960</v>
      </c>
      <c r="L683" t="s">
        <v>20</v>
      </c>
    </row>
    <row r="684" spans="1:12" x14ac:dyDescent="0.2">
      <c r="A684">
        <v>683</v>
      </c>
      <c r="B684">
        <v>0</v>
      </c>
      <c r="C684">
        <v>3</v>
      </c>
      <c r="D684" t="s">
        <v>961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 s="3">
        <v>9.2249999999999996</v>
      </c>
      <c r="L684" t="s">
        <v>15</v>
      </c>
    </row>
    <row r="685" spans="1:12" x14ac:dyDescent="0.2">
      <c r="A685">
        <v>684</v>
      </c>
      <c r="B685">
        <v>0</v>
      </c>
      <c r="C685">
        <v>3</v>
      </c>
      <c r="D685" t="s">
        <v>962</v>
      </c>
      <c r="E685" t="s">
        <v>13</v>
      </c>
      <c r="F685">
        <v>14</v>
      </c>
      <c r="G685">
        <v>5</v>
      </c>
      <c r="H685">
        <v>2</v>
      </c>
      <c r="I685" t="s">
        <v>105</v>
      </c>
      <c r="J685" s="3">
        <v>46.9</v>
      </c>
      <c r="L685" t="s">
        <v>15</v>
      </c>
    </row>
    <row r="686" spans="1:12" x14ac:dyDescent="0.2">
      <c r="A686">
        <v>685</v>
      </c>
      <c r="B686">
        <v>0</v>
      </c>
      <c r="C686">
        <v>2</v>
      </c>
      <c r="D686" t="s">
        <v>963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 s="3">
        <v>39</v>
      </c>
      <c r="L686" t="s">
        <v>15</v>
      </c>
    </row>
    <row r="687" spans="1:12" x14ac:dyDescent="0.2">
      <c r="A687">
        <v>686</v>
      </c>
      <c r="B687">
        <v>0</v>
      </c>
      <c r="C687">
        <v>2</v>
      </c>
      <c r="D687" t="s">
        <v>964</v>
      </c>
      <c r="E687" t="s">
        <v>13</v>
      </c>
      <c r="F687">
        <v>25</v>
      </c>
      <c r="G687">
        <v>1</v>
      </c>
      <c r="H687">
        <v>2</v>
      </c>
      <c r="I687" t="s">
        <v>80</v>
      </c>
      <c r="J687" s="3">
        <v>41.5792</v>
      </c>
      <c r="L687" t="s">
        <v>20</v>
      </c>
    </row>
    <row r="688" spans="1:12" x14ac:dyDescent="0.2">
      <c r="A688">
        <v>687</v>
      </c>
      <c r="B688">
        <v>0</v>
      </c>
      <c r="C688">
        <v>3</v>
      </c>
      <c r="D688" t="s">
        <v>965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 s="3">
        <v>39.6875</v>
      </c>
      <c r="L688" t="s">
        <v>15</v>
      </c>
    </row>
    <row r="689" spans="1:12" x14ac:dyDescent="0.2">
      <c r="A689">
        <v>688</v>
      </c>
      <c r="B689">
        <v>0</v>
      </c>
      <c r="C689">
        <v>3</v>
      </c>
      <c r="D689" t="s">
        <v>966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 s="3">
        <v>10.1708</v>
      </c>
      <c r="L689" t="s">
        <v>15</v>
      </c>
    </row>
    <row r="690" spans="1:12" x14ac:dyDescent="0.2">
      <c r="A690">
        <v>689</v>
      </c>
      <c r="B690">
        <v>0</v>
      </c>
      <c r="C690">
        <v>3</v>
      </c>
      <c r="D690" t="s">
        <v>967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 s="3">
        <v>7.7957999999999998</v>
      </c>
      <c r="L690" t="s">
        <v>15</v>
      </c>
    </row>
    <row r="691" spans="1:12" x14ac:dyDescent="0.2">
      <c r="A691">
        <v>690</v>
      </c>
      <c r="B691">
        <v>1</v>
      </c>
      <c r="C691">
        <v>1</v>
      </c>
      <c r="D691" t="s">
        <v>968</v>
      </c>
      <c r="E691" t="s">
        <v>17</v>
      </c>
      <c r="F691">
        <v>15</v>
      </c>
      <c r="G691">
        <v>0</v>
      </c>
      <c r="H691">
        <v>1</v>
      </c>
      <c r="I691">
        <v>24160</v>
      </c>
      <c r="J691" s="3">
        <v>211.33750000000001</v>
      </c>
      <c r="K691" t="s">
        <v>969</v>
      </c>
      <c r="L691" t="s">
        <v>15</v>
      </c>
    </row>
    <row r="692" spans="1:12" x14ac:dyDescent="0.2">
      <c r="A692">
        <v>691</v>
      </c>
      <c r="B692">
        <v>1</v>
      </c>
      <c r="C692">
        <v>1</v>
      </c>
      <c r="D692" t="s">
        <v>970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 s="3">
        <v>57</v>
      </c>
      <c r="K692" t="s">
        <v>971</v>
      </c>
      <c r="L692" t="s">
        <v>15</v>
      </c>
    </row>
    <row r="693" spans="1:12" x14ac:dyDescent="0.2">
      <c r="A693">
        <v>692</v>
      </c>
      <c r="B693">
        <v>1</v>
      </c>
      <c r="C693">
        <v>3</v>
      </c>
      <c r="D693" t="s">
        <v>972</v>
      </c>
      <c r="E693" t="s">
        <v>17</v>
      </c>
      <c r="F693">
        <v>4</v>
      </c>
      <c r="G693">
        <v>0</v>
      </c>
      <c r="H693">
        <v>1</v>
      </c>
      <c r="I693">
        <v>349256</v>
      </c>
      <c r="J693" s="3">
        <v>13.416700000000001</v>
      </c>
      <c r="L693" t="s">
        <v>20</v>
      </c>
    </row>
    <row r="694" spans="1:12" x14ac:dyDescent="0.2">
      <c r="A694">
        <v>693</v>
      </c>
      <c r="B694">
        <v>1</v>
      </c>
      <c r="C694">
        <v>3</v>
      </c>
      <c r="D694" t="s">
        <v>973</v>
      </c>
      <c r="E694" t="s">
        <v>13</v>
      </c>
      <c r="G694">
        <v>0</v>
      </c>
      <c r="H694">
        <v>0</v>
      </c>
      <c r="I694">
        <v>1601</v>
      </c>
      <c r="J694" s="3">
        <v>56.495800000000003</v>
      </c>
      <c r="L694" t="s">
        <v>15</v>
      </c>
    </row>
    <row r="695" spans="1:12" x14ac:dyDescent="0.2">
      <c r="A695">
        <v>694</v>
      </c>
      <c r="B695">
        <v>0</v>
      </c>
      <c r="C695">
        <v>3</v>
      </c>
      <c r="D695" t="s">
        <v>974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 s="3">
        <v>7.2249999999999996</v>
      </c>
      <c r="L695" t="s">
        <v>20</v>
      </c>
    </row>
    <row r="696" spans="1:12" x14ac:dyDescent="0.2">
      <c r="A696">
        <v>695</v>
      </c>
      <c r="B696">
        <v>0</v>
      </c>
      <c r="C696">
        <v>1</v>
      </c>
      <c r="D696" t="s">
        <v>975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 s="3">
        <v>26.55</v>
      </c>
      <c r="L696" t="s">
        <v>15</v>
      </c>
    </row>
    <row r="697" spans="1:12" x14ac:dyDescent="0.2">
      <c r="A697">
        <v>696</v>
      </c>
      <c r="B697">
        <v>0</v>
      </c>
      <c r="C697">
        <v>2</v>
      </c>
      <c r="D697" t="s">
        <v>976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 s="3">
        <v>13.5</v>
      </c>
      <c r="L697" t="s">
        <v>15</v>
      </c>
    </row>
    <row r="698" spans="1:12" x14ac:dyDescent="0.2">
      <c r="A698">
        <v>697</v>
      </c>
      <c r="B698">
        <v>0</v>
      </c>
      <c r="C698">
        <v>3</v>
      </c>
      <c r="D698" t="s">
        <v>977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 s="3">
        <v>8.0500000000000007</v>
      </c>
      <c r="L698" t="s">
        <v>15</v>
      </c>
    </row>
    <row r="699" spans="1:12" x14ac:dyDescent="0.2">
      <c r="A699">
        <v>698</v>
      </c>
      <c r="B699">
        <v>1</v>
      </c>
      <c r="C699">
        <v>3</v>
      </c>
      <c r="D699" t="s">
        <v>978</v>
      </c>
      <c r="E699" t="s">
        <v>17</v>
      </c>
      <c r="G699">
        <v>0</v>
      </c>
      <c r="H699">
        <v>0</v>
      </c>
      <c r="I699">
        <v>35852</v>
      </c>
      <c r="J699" s="3">
        <v>7.7332999999999998</v>
      </c>
      <c r="L699" t="s">
        <v>27</v>
      </c>
    </row>
    <row r="700" spans="1:12" x14ac:dyDescent="0.2">
      <c r="A700">
        <v>699</v>
      </c>
      <c r="B700">
        <v>0</v>
      </c>
      <c r="C700">
        <v>1</v>
      </c>
      <c r="D700" t="s">
        <v>979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 s="3">
        <v>110.88330000000001</v>
      </c>
      <c r="K700" t="s">
        <v>832</v>
      </c>
      <c r="L700" t="s">
        <v>20</v>
      </c>
    </row>
    <row r="701" spans="1:12" x14ac:dyDescent="0.2">
      <c r="A701">
        <v>700</v>
      </c>
      <c r="B701">
        <v>0</v>
      </c>
      <c r="C701">
        <v>3</v>
      </c>
      <c r="D701" t="s">
        <v>980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 s="3">
        <v>7.65</v>
      </c>
      <c r="K701" t="s">
        <v>981</v>
      </c>
      <c r="L701" t="s">
        <v>15</v>
      </c>
    </row>
    <row r="702" spans="1:12" x14ac:dyDescent="0.2">
      <c r="A702">
        <v>701</v>
      </c>
      <c r="B702">
        <v>1</v>
      </c>
      <c r="C702">
        <v>1</v>
      </c>
      <c r="D702" t="s">
        <v>982</v>
      </c>
      <c r="E702" t="s">
        <v>17</v>
      </c>
      <c r="F702">
        <v>18</v>
      </c>
      <c r="G702">
        <v>1</v>
      </c>
      <c r="H702">
        <v>0</v>
      </c>
      <c r="I702" t="s">
        <v>565</v>
      </c>
      <c r="J702" s="3">
        <v>227.52500000000001</v>
      </c>
      <c r="K702" t="s">
        <v>983</v>
      </c>
      <c r="L702" t="s">
        <v>20</v>
      </c>
    </row>
    <row r="703" spans="1:12" x14ac:dyDescent="0.2">
      <c r="A703">
        <v>702</v>
      </c>
      <c r="B703">
        <v>1</v>
      </c>
      <c r="C703">
        <v>1</v>
      </c>
      <c r="D703" t="s">
        <v>984</v>
      </c>
      <c r="E703" t="s">
        <v>13</v>
      </c>
      <c r="F703">
        <v>35</v>
      </c>
      <c r="G703">
        <v>0</v>
      </c>
      <c r="H703">
        <v>0</v>
      </c>
      <c r="I703" t="s">
        <v>985</v>
      </c>
      <c r="J703" s="3">
        <v>26.287500000000001</v>
      </c>
      <c r="K703" t="s">
        <v>986</v>
      </c>
      <c r="L703" t="s">
        <v>15</v>
      </c>
    </row>
    <row r="704" spans="1:12" x14ac:dyDescent="0.2">
      <c r="A704">
        <v>703</v>
      </c>
      <c r="B704">
        <v>0</v>
      </c>
      <c r="C704">
        <v>3</v>
      </c>
      <c r="D704" t="s">
        <v>987</v>
      </c>
      <c r="E704" t="s">
        <v>17</v>
      </c>
      <c r="F704">
        <v>18</v>
      </c>
      <c r="G704">
        <v>0</v>
      </c>
      <c r="H704">
        <v>1</v>
      </c>
      <c r="I704">
        <v>2691</v>
      </c>
      <c r="J704" s="3">
        <v>14.4542</v>
      </c>
      <c r="L704" t="s">
        <v>20</v>
      </c>
    </row>
    <row r="705" spans="1:12" x14ac:dyDescent="0.2">
      <c r="A705">
        <v>704</v>
      </c>
      <c r="B705">
        <v>0</v>
      </c>
      <c r="C705">
        <v>3</v>
      </c>
      <c r="D705" t="s">
        <v>988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 s="3">
        <v>7.7416999999999998</v>
      </c>
      <c r="L705" t="s">
        <v>27</v>
      </c>
    </row>
    <row r="706" spans="1:12" x14ac:dyDescent="0.2">
      <c r="A706">
        <v>705</v>
      </c>
      <c r="B706">
        <v>0</v>
      </c>
      <c r="C706">
        <v>3</v>
      </c>
      <c r="D706" t="s">
        <v>989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 s="3">
        <v>7.8541999999999996</v>
      </c>
      <c r="L706" t="s">
        <v>15</v>
      </c>
    </row>
    <row r="707" spans="1:12" x14ac:dyDescent="0.2">
      <c r="A707">
        <v>706</v>
      </c>
      <c r="B707">
        <v>0</v>
      </c>
      <c r="C707">
        <v>2</v>
      </c>
      <c r="D707" t="s">
        <v>990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 s="3">
        <v>26</v>
      </c>
      <c r="L707" t="s">
        <v>15</v>
      </c>
    </row>
    <row r="708" spans="1:12" x14ac:dyDescent="0.2">
      <c r="A708">
        <v>707</v>
      </c>
      <c r="B708">
        <v>1</v>
      </c>
      <c r="C708">
        <v>2</v>
      </c>
      <c r="D708" t="s">
        <v>991</v>
      </c>
      <c r="E708" t="s">
        <v>17</v>
      </c>
      <c r="F708">
        <v>45</v>
      </c>
      <c r="G708">
        <v>0</v>
      </c>
      <c r="H708">
        <v>0</v>
      </c>
      <c r="I708">
        <v>223596</v>
      </c>
      <c r="J708" s="3">
        <v>13.5</v>
      </c>
      <c r="L708" t="s">
        <v>15</v>
      </c>
    </row>
    <row r="709" spans="1:12" x14ac:dyDescent="0.2">
      <c r="A709">
        <v>708</v>
      </c>
      <c r="B709">
        <v>1</v>
      </c>
      <c r="C709">
        <v>1</v>
      </c>
      <c r="D709" t="s">
        <v>992</v>
      </c>
      <c r="E709" t="s">
        <v>13</v>
      </c>
      <c r="F709">
        <v>42</v>
      </c>
      <c r="G709">
        <v>0</v>
      </c>
      <c r="H709">
        <v>0</v>
      </c>
      <c r="I709" t="s">
        <v>993</v>
      </c>
      <c r="J709" s="3">
        <v>26.287500000000001</v>
      </c>
      <c r="K709" t="s">
        <v>986</v>
      </c>
      <c r="L709" t="s">
        <v>15</v>
      </c>
    </row>
    <row r="710" spans="1:12" x14ac:dyDescent="0.2">
      <c r="A710">
        <v>709</v>
      </c>
      <c r="B710">
        <v>1</v>
      </c>
      <c r="C710">
        <v>1</v>
      </c>
      <c r="D710" t="s">
        <v>994</v>
      </c>
      <c r="E710" t="s">
        <v>17</v>
      </c>
      <c r="F710">
        <v>22</v>
      </c>
      <c r="G710">
        <v>0</v>
      </c>
      <c r="H710">
        <v>0</v>
      </c>
      <c r="I710">
        <v>113781</v>
      </c>
      <c r="J710" s="3">
        <v>151.55000000000001</v>
      </c>
      <c r="L710" t="s">
        <v>15</v>
      </c>
    </row>
    <row r="711" spans="1:12" x14ac:dyDescent="0.2">
      <c r="A711">
        <v>710</v>
      </c>
      <c r="B711">
        <v>1</v>
      </c>
      <c r="C711">
        <v>3</v>
      </c>
      <c r="D711" t="s">
        <v>995</v>
      </c>
      <c r="E711" t="s">
        <v>13</v>
      </c>
      <c r="G711">
        <v>1</v>
      </c>
      <c r="H711">
        <v>1</v>
      </c>
      <c r="I711">
        <v>2661</v>
      </c>
      <c r="J711" s="3">
        <v>15.245799999999999</v>
      </c>
      <c r="L711" t="s">
        <v>20</v>
      </c>
    </row>
    <row r="712" spans="1:12" x14ac:dyDescent="0.2">
      <c r="A712">
        <v>711</v>
      </c>
      <c r="B712">
        <v>1</v>
      </c>
      <c r="C712">
        <v>1</v>
      </c>
      <c r="D712" t="s">
        <v>996</v>
      </c>
      <c r="E712" t="s">
        <v>17</v>
      </c>
      <c r="F712">
        <v>24</v>
      </c>
      <c r="G712">
        <v>0</v>
      </c>
      <c r="H712">
        <v>0</v>
      </c>
      <c r="I712" t="s">
        <v>997</v>
      </c>
      <c r="J712" s="3">
        <v>49.504199999999997</v>
      </c>
      <c r="K712" t="s">
        <v>998</v>
      </c>
      <c r="L712" t="s">
        <v>20</v>
      </c>
    </row>
    <row r="713" spans="1:12" x14ac:dyDescent="0.2">
      <c r="A713">
        <v>712</v>
      </c>
      <c r="B713">
        <v>0</v>
      </c>
      <c r="C713">
        <v>1</v>
      </c>
      <c r="D713" t="s">
        <v>999</v>
      </c>
      <c r="E713" t="s">
        <v>13</v>
      </c>
      <c r="G713">
        <v>0</v>
      </c>
      <c r="H713">
        <v>0</v>
      </c>
      <c r="I713">
        <v>113028</v>
      </c>
      <c r="J713" s="3">
        <v>26.55</v>
      </c>
      <c r="K713" t="s">
        <v>500</v>
      </c>
      <c r="L713" t="s">
        <v>15</v>
      </c>
    </row>
    <row r="714" spans="1:12" x14ac:dyDescent="0.2">
      <c r="A714">
        <v>713</v>
      </c>
      <c r="B714">
        <v>1</v>
      </c>
      <c r="C714">
        <v>1</v>
      </c>
      <c r="D714" t="s">
        <v>1000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 s="3">
        <v>52</v>
      </c>
      <c r="K714" t="s">
        <v>943</v>
      </c>
      <c r="L714" t="s">
        <v>15</v>
      </c>
    </row>
    <row r="715" spans="1:12" x14ac:dyDescent="0.2">
      <c r="A715">
        <v>714</v>
      </c>
      <c r="B715">
        <v>0</v>
      </c>
      <c r="C715">
        <v>3</v>
      </c>
      <c r="D715" t="s">
        <v>1001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 s="3">
        <v>9.4832999999999998</v>
      </c>
      <c r="L715" t="s">
        <v>15</v>
      </c>
    </row>
    <row r="716" spans="1:12" x14ac:dyDescent="0.2">
      <c r="A716">
        <v>715</v>
      </c>
      <c r="B716">
        <v>0</v>
      </c>
      <c r="C716">
        <v>2</v>
      </c>
      <c r="D716" t="s">
        <v>1002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 s="3">
        <v>13</v>
      </c>
      <c r="L716" t="s">
        <v>15</v>
      </c>
    </row>
    <row r="717" spans="1:12" x14ac:dyDescent="0.2">
      <c r="A717">
        <v>716</v>
      </c>
      <c r="B717">
        <v>0</v>
      </c>
      <c r="C717">
        <v>3</v>
      </c>
      <c r="D717" t="s">
        <v>1003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 s="3">
        <v>7.65</v>
      </c>
      <c r="K717" t="s">
        <v>130</v>
      </c>
      <c r="L717" t="s">
        <v>15</v>
      </c>
    </row>
    <row r="718" spans="1:12" x14ac:dyDescent="0.2">
      <c r="A718">
        <v>717</v>
      </c>
      <c r="B718">
        <v>1</v>
      </c>
      <c r="C718">
        <v>1</v>
      </c>
      <c r="D718" t="s">
        <v>1004</v>
      </c>
      <c r="E718" t="s">
        <v>17</v>
      </c>
      <c r="F718">
        <v>38</v>
      </c>
      <c r="G718">
        <v>0</v>
      </c>
      <c r="H718">
        <v>0</v>
      </c>
      <c r="I718" t="s">
        <v>565</v>
      </c>
      <c r="J718" s="3">
        <v>227.52500000000001</v>
      </c>
      <c r="K718" t="s">
        <v>1005</v>
      </c>
      <c r="L718" t="s">
        <v>20</v>
      </c>
    </row>
    <row r="719" spans="1:12" x14ac:dyDescent="0.2">
      <c r="A719">
        <v>718</v>
      </c>
      <c r="B719">
        <v>1</v>
      </c>
      <c r="C719">
        <v>2</v>
      </c>
      <c r="D719" t="s">
        <v>1006</v>
      </c>
      <c r="E719" t="s">
        <v>17</v>
      </c>
      <c r="F719">
        <v>27</v>
      </c>
      <c r="G719">
        <v>0</v>
      </c>
      <c r="H719">
        <v>0</v>
      </c>
      <c r="I719">
        <v>34218</v>
      </c>
      <c r="J719" s="3">
        <v>10.5</v>
      </c>
      <c r="K719" t="s">
        <v>195</v>
      </c>
      <c r="L719" t="s">
        <v>15</v>
      </c>
    </row>
    <row r="720" spans="1:12" x14ac:dyDescent="0.2">
      <c r="A720">
        <v>719</v>
      </c>
      <c r="B720">
        <v>0</v>
      </c>
      <c r="C720">
        <v>3</v>
      </c>
      <c r="D720" t="s">
        <v>1007</v>
      </c>
      <c r="E720" t="s">
        <v>13</v>
      </c>
      <c r="G720">
        <v>0</v>
      </c>
      <c r="H720">
        <v>0</v>
      </c>
      <c r="I720">
        <v>36568</v>
      </c>
      <c r="J720" s="3">
        <v>15.5</v>
      </c>
      <c r="L720" t="s">
        <v>27</v>
      </c>
    </row>
    <row r="721" spans="1:12" x14ac:dyDescent="0.2">
      <c r="A721">
        <v>720</v>
      </c>
      <c r="B721">
        <v>0</v>
      </c>
      <c r="C721">
        <v>3</v>
      </c>
      <c r="D721" t="s">
        <v>1008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 s="3">
        <v>7.7750000000000004</v>
      </c>
      <c r="L721" t="s">
        <v>15</v>
      </c>
    </row>
    <row r="722" spans="1:12" x14ac:dyDescent="0.2">
      <c r="A722">
        <v>721</v>
      </c>
      <c r="B722">
        <v>1</v>
      </c>
      <c r="C722">
        <v>2</v>
      </c>
      <c r="D722" t="s">
        <v>1009</v>
      </c>
      <c r="E722" t="s">
        <v>17</v>
      </c>
      <c r="F722">
        <v>6</v>
      </c>
      <c r="G722">
        <v>0</v>
      </c>
      <c r="H722">
        <v>1</v>
      </c>
      <c r="I722">
        <v>248727</v>
      </c>
      <c r="J722" s="3">
        <v>33</v>
      </c>
      <c r="L722" t="s">
        <v>15</v>
      </c>
    </row>
    <row r="723" spans="1:12" x14ac:dyDescent="0.2">
      <c r="A723">
        <v>722</v>
      </c>
      <c r="B723">
        <v>0</v>
      </c>
      <c r="C723">
        <v>3</v>
      </c>
      <c r="D723" t="s">
        <v>1010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 s="3">
        <v>7.0541999999999998</v>
      </c>
      <c r="L723" t="s">
        <v>15</v>
      </c>
    </row>
    <row r="724" spans="1:12" x14ac:dyDescent="0.2">
      <c r="A724">
        <v>723</v>
      </c>
      <c r="B724">
        <v>0</v>
      </c>
      <c r="C724">
        <v>2</v>
      </c>
      <c r="D724" t="s">
        <v>1011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 s="3">
        <v>13</v>
      </c>
      <c r="L724" t="s">
        <v>15</v>
      </c>
    </row>
    <row r="725" spans="1:12" x14ac:dyDescent="0.2">
      <c r="A725">
        <v>724</v>
      </c>
      <c r="B725">
        <v>0</v>
      </c>
      <c r="C725">
        <v>2</v>
      </c>
      <c r="D725" t="s">
        <v>1012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 s="3">
        <v>13</v>
      </c>
      <c r="L725" t="s">
        <v>15</v>
      </c>
    </row>
    <row r="726" spans="1:12" x14ac:dyDescent="0.2">
      <c r="A726">
        <v>725</v>
      </c>
      <c r="B726">
        <v>1</v>
      </c>
      <c r="C726">
        <v>1</v>
      </c>
      <c r="D726" t="s">
        <v>1013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 s="3">
        <v>53.1</v>
      </c>
      <c r="K726" t="s">
        <v>1014</v>
      </c>
      <c r="L726" t="s">
        <v>15</v>
      </c>
    </row>
    <row r="727" spans="1:12" x14ac:dyDescent="0.2">
      <c r="A727">
        <v>726</v>
      </c>
      <c r="B727">
        <v>0</v>
      </c>
      <c r="C727">
        <v>3</v>
      </c>
      <c r="D727" t="s">
        <v>1015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 s="3">
        <v>8.6624999999999996</v>
      </c>
      <c r="L727" t="s">
        <v>15</v>
      </c>
    </row>
    <row r="728" spans="1:12" x14ac:dyDescent="0.2">
      <c r="A728">
        <v>727</v>
      </c>
      <c r="B728">
        <v>1</v>
      </c>
      <c r="C728">
        <v>2</v>
      </c>
      <c r="D728" t="s">
        <v>1016</v>
      </c>
      <c r="E728" t="s">
        <v>17</v>
      </c>
      <c r="F728">
        <v>30</v>
      </c>
      <c r="G728">
        <v>3</v>
      </c>
      <c r="H728">
        <v>0</v>
      </c>
      <c r="I728">
        <v>31027</v>
      </c>
      <c r="J728" s="3">
        <v>21</v>
      </c>
      <c r="L728" t="s">
        <v>15</v>
      </c>
    </row>
    <row r="729" spans="1:12" x14ac:dyDescent="0.2">
      <c r="A729">
        <v>728</v>
      </c>
      <c r="B729">
        <v>1</v>
      </c>
      <c r="C729">
        <v>3</v>
      </c>
      <c r="D729" t="s">
        <v>1017</v>
      </c>
      <c r="E729" t="s">
        <v>17</v>
      </c>
      <c r="G729">
        <v>0</v>
      </c>
      <c r="H729">
        <v>0</v>
      </c>
      <c r="I729">
        <v>36866</v>
      </c>
      <c r="J729" s="3">
        <v>7.7374999999999998</v>
      </c>
      <c r="L729" t="s">
        <v>27</v>
      </c>
    </row>
    <row r="730" spans="1:12" x14ac:dyDescent="0.2">
      <c r="A730">
        <v>729</v>
      </c>
      <c r="B730">
        <v>0</v>
      </c>
      <c r="C730">
        <v>2</v>
      </c>
      <c r="D730" t="s">
        <v>1018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 s="3">
        <v>26</v>
      </c>
      <c r="L730" t="s">
        <v>15</v>
      </c>
    </row>
    <row r="731" spans="1:12" x14ac:dyDescent="0.2">
      <c r="A731">
        <v>730</v>
      </c>
      <c r="B731">
        <v>0</v>
      </c>
      <c r="C731">
        <v>3</v>
      </c>
      <c r="D731" t="s">
        <v>1019</v>
      </c>
      <c r="E731" t="s">
        <v>17</v>
      </c>
      <c r="F731">
        <v>25</v>
      </c>
      <c r="G731">
        <v>1</v>
      </c>
      <c r="H731">
        <v>0</v>
      </c>
      <c r="I731" t="s">
        <v>1020</v>
      </c>
      <c r="J731" s="3">
        <v>7.9249999999999998</v>
      </c>
      <c r="L731" t="s">
        <v>15</v>
      </c>
    </row>
    <row r="732" spans="1:12" x14ac:dyDescent="0.2">
      <c r="A732">
        <v>731</v>
      </c>
      <c r="B732">
        <v>1</v>
      </c>
      <c r="C732">
        <v>1</v>
      </c>
      <c r="D732" t="s">
        <v>1021</v>
      </c>
      <c r="E732" t="s">
        <v>17</v>
      </c>
      <c r="F732">
        <v>29</v>
      </c>
      <c r="G732">
        <v>0</v>
      </c>
      <c r="H732">
        <v>0</v>
      </c>
      <c r="I732">
        <v>24160</v>
      </c>
      <c r="J732" s="3">
        <v>211.33750000000001</v>
      </c>
      <c r="K732" t="s">
        <v>969</v>
      </c>
      <c r="L732" t="s">
        <v>15</v>
      </c>
    </row>
    <row r="733" spans="1:12" x14ac:dyDescent="0.2">
      <c r="A733">
        <v>732</v>
      </c>
      <c r="B733">
        <v>0</v>
      </c>
      <c r="C733">
        <v>3</v>
      </c>
      <c r="D733" t="s">
        <v>1022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 s="3">
        <v>18.787500000000001</v>
      </c>
      <c r="L733" t="s">
        <v>20</v>
      </c>
    </row>
    <row r="734" spans="1:12" x14ac:dyDescent="0.2">
      <c r="A734">
        <v>733</v>
      </c>
      <c r="B734">
        <v>0</v>
      </c>
      <c r="C734">
        <v>2</v>
      </c>
      <c r="D734" t="s">
        <v>1023</v>
      </c>
      <c r="E734" t="s">
        <v>13</v>
      </c>
      <c r="G734">
        <v>0</v>
      </c>
      <c r="H734">
        <v>0</v>
      </c>
      <c r="I734">
        <v>239855</v>
      </c>
      <c r="J734" s="3">
        <v>0</v>
      </c>
      <c r="L734" t="s">
        <v>15</v>
      </c>
    </row>
    <row r="735" spans="1:12" x14ac:dyDescent="0.2">
      <c r="A735">
        <v>734</v>
      </c>
      <c r="B735">
        <v>0</v>
      </c>
      <c r="C735">
        <v>2</v>
      </c>
      <c r="D735" t="s">
        <v>1024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 s="3">
        <v>13</v>
      </c>
      <c r="L735" t="s">
        <v>15</v>
      </c>
    </row>
    <row r="736" spans="1:12" x14ac:dyDescent="0.2">
      <c r="A736">
        <v>735</v>
      </c>
      <c r="B736">
        <v>0</v>
      </c>
      <c r="C736">
        <v>2</v>
      </c>
      <c r="D736" t="s">
        <v>1025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 s="3">
        <v>13</v>
      </c>
      <c r="L736" t="s">
        <v>15</v>
      </c>
    </row>
    <row r="737" spans="1:12" x14ac:dyDescent="0.2">
      <c r="A737">
        <v>736</v>
      </c>
      <c r="B737">
        <v>0</v>
      </c>
      <c r="C737">
        <v>3</v>
      </c>
      <c r="D737" t="s">
        <v>1026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 s="3">
        <v>16.100000000000001</v>
      </c>
      <c r="L737" t="s">
        <v>15</v>
      </c>
    </row>
    <row r="738" spans="1:12" x14ac:dyDescent="0.2">
      <c r="A738">
        <v>737</v>
      </c>
      <c r="B738">
        <v>0</v>
      </c>
      <c r="C738">
        <v>3</v>
      </c>
      <c r="D738" t="s">
        <v>1027</v>
      </c>
      <c r="E738" t="s">
        <v>17</v>
      </c>
      <c r="F738">
        <v>48</v>
      </c>
      <c r="G738">
        <v>1</v>
      </c>
      <c r="H738">
        <v>3</v>
      </c>
      <c r="I738" t="s">
        <v>143</v>
      </c>
      <c r="J738" s="3">
        <v>34.375</v>
      </c>
      <c r="L738" t="s">
        <v>15</v>
      </c>
    </row>
    <row r="739" spans="1:12" x14ac:dyDescent="0.2">
      <c r="A739">
        <v>738</v>
      </c>
      <c r="B739">
        <v>1</v>
      </c>
      <c r="C739">
        <v>1</v>
      </c>
      <c r="D739" t="s">
        <v>1028</v>
      </c>
      <c r="E739" t="s">
        <v>13</v>
      </c>
      <c r="F739">
        <v>35</v>
      </c>
      <c r="G739">
        <v>0</v>
      </c>
      <c r="H739">
        <v>0</v>
      </c>
      <c r="I739" t="s">
        <v>392</v>
      </c>
      <c r="J739" s="3">
        <v>512.32920000000001</v>
      </c>
      <c r="K739" t="s">
        <v>1029</v>
      </c>
      <c r="L739" t="s">
        <v>20</v>
      </c>
    </row>
    <row r="740" spans="1:12" x14ac:dyDescent="0.2">
      <c r="A740">
        <v>739</v>
      </c>
      <c r="B740">
        <v>0</v>
      </c>
      <c r="C740">
        <v>3</v>
      </c>
      <c r="D740" t="s">
        <v>1030</v>
      </c>
      <c r="E740" t="s">
        <v>13</v>
      </c>
      <c r="G740">
        <v>0</v>
      </c>
      <c r="H740">
        <v>0</v>
      </c>
      <c r="I740">
        <v>349201</v>
      </c>
      <c r="J740" s="3">
        <v>7.8958000000000004</v>
      </c>
      <c r="L740" t="s">
        <v>15</v>
      </c>
    </row>
    <row r="741" spans="1:12" x14ac:dyDescent="0.2">
      <c r="A741">
        <v>740</v>
      </c>
      <c r="B741">
        <v>0</v>
      </c>
      <c r="C741">
        <v>3</v>
      </c>
      <c r="D741" t="s">
        <v>1031</v>
      </c>
      <c r="E741" t="s">
        <v>13</v>
      </c>
      <c r="G741">
        <v>0</v>
      </c>
      <c r="H741">
        <v>0</v>
      </c>
      <c r="I741">
        <v>349218</v>
      </c>
      <c r="J741" s="3">
        <v>7.8958000000000004</v>
      </c>
      <c r="L741" t="s">
        <v>15</v>
      </c>
    </row>
    <row r="742" spans="1:12" x14ac:dyDescent="0.2">
      <c r="A742">
        <v>741</v>
      </c>
      <c r="B742">
        <v>1</v>
      </c>
      <c r="C742">
        <v>1</v>
      </c>
      <c r="D742" t="s">
        <v>1032</v>
      </c>
      <c r="E742" t="s">
        <v>13</v>
      </c>
      <c r="G742">
        <v>0</v>
      </c>
      <c r="H742">
        <v>0</v>
      </c>
      <c r="I742">
        <v>16988</v>
      </c>
      <c r="J742" s="3">
        <v>30</v>
      </c>
      <c r="K742" t="s">
        <v>1033</v>
      </c>
      <c r="L742" t="s">
        <v>15</v>
      </c>
    </row>
    <row r="743" spans="1:12" x14ac:dyDescent="0.2">
      <c r="A743">
        <v>742</v>
      </c>
      <c r="B743">
        <v>0</v>
      </c>
      <c r="C743">
        <v>1</v>
      </c>
      <c r="D743" t="s">
        <v>1034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 s="3">
        <v>78.849999999999994</v>
      </c>
      <c r="K743" t="s">
        <v>1035</v>
      </c>
      <c r="L743" t="s">
        <v>15</v>
      </c>
    </row>
    <row r="744" spans="1:12" x14ac:dyDescent="0.2">
      <c r="A744">
        <v>743</v>
      </c>
      <c r="B744">
        <v>1</v>
      </c>
      <c r="C744">
        <v>1</v>
      </c>
      <c r="D744" t="s">
        <v>1036</v>
      </c>
      <c r="E744" t="s">
        <v>17</v>
      </c>
      <c r="F744">
        <v>21</v>
      </c>
      <c r="G744">
        <v>2</v>
      </c>
      <c r="H744">
        <v>2</v>
      </c>
      <c r="I744" t="s">
        <v>472</v>
      </c>
      <c r="J744" s="3">
        <v>262.375</v>
      </c>
      <c r="K744" t="s">
        <v>473</v>
      </c>
      <c r="L744" t="s">
        <v>20</v>
      </c>
    </row>
    <row r="745" spans="1:12" x14ac:dyDescent="0.2">
      <c r="A745">
        <v>744</v>
      </c>
      <c r="B745">
        <v>0</v>
      </c>
      <c r="C745">
        <v>3</v>
      </c>
      <c r="D745" t="s">
        <v>1037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 s="3">
        <v>16.100000000000001</v>
      </c>
      <c r="L745" t="s">
        <v>15</v>
      </c>
    </row>
    <row r="746" spans="1:12" x14ac:dyDescent="0.2">
      <c r="A746">
        <v>745</v>
      </c>
      <c r="B746">
        <v>1</v>
      </c>
      <c r="C746">
        <v>3</v>
      </c>
      <c r="D746" t="s">
        <v>1038</v>
      </c>
      <c r="E746" t="s">
        <v>13</v>
      </c>
      <c r="F746">
        <v>31</v>
      </c>
      <c r="G746">
        <v>0</v>
      </c>
      <c r="H746">
        <v>0</v>
      </c>
      <c r="I746" t="s">
        <v>1039</v>
      </c>
      <c r="J746" s="3">
        <v>7.9249999999999998</v>
      </c>
      <c r="L746" t="s">
        <v>15</v>
      </c>
    </row>
    <row r="747" spans="1:12" x14ac:dyDescent="0.2">
      <c r="A747">
        <v>746</v>
      </c>
      <c r="B747">
        <v>0</v>
      </c>
      <c r="C747">
        <v>1</v>
      </c>
      <c r="D747" t="s">
        <v>1040</v>
      </c>
      <c r="E747" t="s">
        <v>13</v>
      </c>
      <c r="F747">
        <v>70</v>
      </c>
      <c r="G747">
        <v>1</v>
      </c>
      <c r="H747">
        <v>1</v>
      </c>
      <c r="I747" t="s">
        <v>777</v>
      </c>
      <c r="J747" s="3">
        <v>71</v>
      </c>
      <c r="K747" t="s">
        <v>778</v>
      </c>
      <c r="L747" t="s">
        <v>15</v>
      </c>
    </row>
    <row r="748" spans="1:12" x14ac:dyDescent="0.2">
      <c r="A748">
        <v>747</v>
      </c>
      <c r="B748">
        <v>0</v>
      </c>
      <c r="C748">
        <v>3</v>
      </c>
      <c r="D748" t="s">
        <v>1041</v>
      </c>
      <c r="E748" t="s">
        <v>13</v>
      </c>
      <c r="F748">
        <v>16</v>
      </c>
      <c r="G748">
        <v>1</v>
      </c>
      <c r="H748">
        <v>1</v>
      </c>
      <c r="I748" t="s">
        <v>424</v>
      </c>
      <c r="J748" s="3">
        <v>20.25</v>
      </c>
      <c r="L748" t="s">
        <v>15</v>
      </c>
    </row>
    <row r="749" spans="1:12" x14ac:dyDescent="0.2">
      <c r="A749">
        <v>748</v>
      </c>
      <c r="B749">
        <v>1</v>
      </c>
      <c r="C749">
        <v>2</v>
      </c>
      <c r="D749" t="s">
        <v>1042</v>
      </c>
      <c r="E749" t="s">
        <v>17</v>
      </c>
      <c r="F749">
        <v>30</v>
      </c>
      <c r="G749">
        <v>0</v>
      </c>
      <c r="H749">
        <v>0</v>
      </c>
      <c r="I749">
        <v>250648</v>
      </c>
      <c r="J749" s="3">
        <v>13</v>
      </c>
      <c r="L749" t="s">
        <v>15</v>
      </c>
    </row>
    <row r="750" spans="1:12" x14ac:dyDescent="0.2">
      <c r="A750">
        <v>749</v>
      </c>
      <c r="B750">
        <v>0</v>
      </c>
      <c r="C750">
        <v>1</v>
      </c>
      <c r="D750" t="s">
        <v>1043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 s="3">
        <v>53.1</v>
      </c>
      <c r="K750" t="s">
        <v>1044</v>
      </c>
      <c r="L750" t="s">
        <v>15</v>
      </c>
    </row>
    <row r="751" spans="1:12" x14ac:dyDescent="0.2">
      <c r="A751">
        <v>750</v>
      </c>
      <c r="B751">
        <v>0</v>
      </c>
      <c r="C751">
        <v>3</v>
      </c>
      <c r="D751" t="s">
        <v>1045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 s="3">
        <v>7.75</v>
      </c>
      <c r="L751" t="s">
        <v>27</v>
      </c>
    </row>
    <row r="752" spans="1:12" x14ac:dyDescent="0.2">
      <c r="A752">
        <v>751</v>
      </c>
      <c r="B752">
        <v>1</v>
      </c>
      <c r="C752">
        <v>2</v>
      </c>
      <c r="D752" t="s">
        <v>1046</v>
      </c>
      <c r="E752" t="s">
        <v>17</v>
      </c>
      <c r="F752">
        <v>4</v>
      </c>
      <c r="G752">
        <v>1</v>
      </c>
      <c r="H752">
        <v>1</v>
      </c>
      <c r="I752">
        <v>29103</v>
      </c>
      <c r="J752" s="3">
        <v>23</v>
      </c>
      <c r="L752" t="s">
        <v>15</v>
      </c>
    </row>
    <row r="753" spans="1:12" x14ac:dyDescent="0.2">
      <c r="A753">
        <v>752</v>
      </c>
      <c r="B753">
        <v>1</v>
      </c>
      <c r="C753">
        <v>3</v>
      </c>
      <c r="D753" t="s">
        <v>1047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 s="3">
        <v>12.475</v>
      </c>
      <c r="K753" t="s">
        <v>1048</v>
      </c>
      <c r="L753" t="s">
        <v>15</v>
      </c>
    </row>
    <row r="754" spans="1:12" x14ac:dyDescent="0.2">
      <c r="A754">
        <v>753</v>
      </c>
      <c r="B754">
        <v>0</v>
      </c>
      <c r="C754">
        <v>3</v>
      </c>
      <c r="D754" t="s">
        <v>1049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 s="3">
        <v>9.5</v>
      </c>
      <c r="L754" t="s">
        <v>15</v>
      </c>
    </row>
    <row r="755" spans="1:12" x14ac:dyDescent="0.2">
      <c r="A755">
        <v>754</v>
      </c>
      <c r="B755">
        <v>0</v>
      </c>
      <c r="C755">
        <v>3</v>
      </c>
      <c r="D755" t="s">
        <v>1050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 s="3">
        <v>7.8958000000000004</v>
      </c>
      <c r="L755" t="s">
        <v>15</v>
      </c>
    </row>
    <row r="756" spans="1:12" x14ac:dyDescent="0.2">
      <c r="A756">
        <v>755</v>
      </c>
      <c r="B756">
        <v>1</v>
      </c>
      <c r="C756">
        <v>2</v>
      </c>
      <c r="D756" t="s">
        <v>1051</v>
      </c>
      <c r="E756" t="s">
        <v>17</v>
      </c>
      <c r="F756">
        <v>48</v>
      </c>
      <c r="G756">
        <v>1</v>
      </c>
      <c r="H756">
        <v>2</v>
      </c>
      <c r="I756">
        <v>220845</v>
      </c>
      <c r="J756" s="3">
        <v>65</v>
      </c>
      <c r="L756" t="s">
        <v>15</v>
      </c>
    </row>
    <row r="757" spans="1:12" x14ac:dyDescent="0.2">
      <c r="A757">
        <v>756</v>
      </c>
      <c r="B757">
        <v>1</v>
      </c>
      <c r="C757">
        <v>2</v>
      </c>
      <c r="D757" t="s">
        <v>1052</v>
      </c>
      <c r="E757" t="s">
        <v>13</v>
      </c>
      <c r="F757">
        <v>0.67</v>
      </c>
      <c r="G757">
        <v>1</v>
      </c>
      <c r="H757">
        <v>1</v>
      </c>
      <c r="I757">
        <v>250649</v>
      </c>
      <c r="J757" s="3">
        <v>14.5</v>
      </c>
      <c r="L757" t="s">
        <v>15</v>
      </c>
    </row>
    <row r="758" spans="1:12" x14ac:dyDescent="0.2">
      <c r="A758">
        <v>757</v>
      </c>
      <c r="B758">
        <v>0</v>
      </c>
      <c r="C758">
        <v>3</v>
      </c>
      <c r="D758" t="s">
        <v>1053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 s="3">
        <v>7.7957999999999998</v>
      </c>
      <c r="L758" t="s">
        <v>15</v>
      </c>
    </row>
    <row r="759" spans="1:12" x14ac:dyDescent="0.2">
      <c r="A759">
        <v>758</v>
      </c>
      <c r="B759">
        <v>0</v>
      </c>
      <c r="C759">
        <v>2</v>
      </c>
      <c r="D759" t="s">
        <v>1054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 s="3">
        <v>11.5</v>
      </c>
      <c r="L759" t="s">
        <v>15</v>
      </c>
    </row>
    <row r="760" spans="1:12" x14ac:dyDescent="0.2">
      <c r="A760">
        <v>759</v>
      </c>
      <c r="B760">
        <v>0</v>
      </c>
      <c r="C760">
        <v>3</v>
      </c>
      <c r="D760" t="s">
        <v>1055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 s="3">
        <v>8.0500000000000007</v>
      </c>
      <c r="L760" t="s">
        <v>15</v>
      </c>
    </row>
    <row r="761" spans="1:12" x14ac:dyDescent="0.2">
      <c r="A761">
        <v>760</v>
      </c>
      <c r="B761">
        <v>1</v>
      </c>
      <c r="C761">
        <v>1</v>
      </c>
      <c r="D761" t="s">
        <v>1056</v>
      </c>
      <c r="E761" t="s">
        <v>17</v>
      </c>
      <c r="F761">
        <v>33</v>
      </c>
      <c r="G761">
        <v>0</v>
      </c>
      <c r="H761">
        <v>0</v>
      </c>
      <c r="I761">
        <v>110152</v>
      </c>
      <c r="J761" s="3">
        <v>86.5</v>
      </c>
      <c r="K761" t="s">
        <v>390</v>
      </c>
      <c r="L761" t="s">
        <v>15</v>
      </c>
    </row>
    <row r="762" spans="1:12" x14ac:dyDescent="0.2">
      <c r="A762">
        <v>761</v>
      </c>
      <c r="B762">
        <v>0</v>
      </c>
      <c r="C762">
        <v>3</v>
      </c>
      <c r="D762" t="s">
        <v>1057</v>
      </c>
      <c r="E762" t="s">
        <v>13</v>
      </c>
      <c r="G762">
        <v>0</v>
      </c>
      <c r="H762">
        <v>0</v>
      </c>
      <c r="I762">
        <v>358585</v>
      </c>
      <c r="J762" s="3">
        <v>14.5</v>
      </c>
      <c r="L762" t="s">
        <v>15</v>
      </c>
    </row>
    <row r="763" spans="1:12" x14ac:dyDescent="0.2">
      <c r="A763">
        <v>762</v>
      </c>
      <c r="B763">
        <v>0</v>
      </c>
      <c r="C763">
        <v>3</v>
      </c>
      <c r="D763" t="s">
        <v>1058</v>
      </c>
      <c r="E763" t="s">
        <v>13</v>
      </c>
      <c r="F763">
        <v>41</v>
      </c>
      <c r="G763">
        <v>0</v>
      </c>
      <c r="H763">
        <v>0</v>
      </c>
      <c r="I763" t="s">
        <v>1059</v>
      </c>
      <c r="J763" s="3">
        <v>7.125</v>
      </c>
      <c r="L763" t="s">
        <v>15</v>
      </c>
    </row>
    <row r="764" spans="1:12" x14ac:dyDescent="0.2">
      <c r="A764">
        <v>763</v>
      </c>
      <c r="B764">
        <v>1</v>
      </c>
      <c r="C764">
        <v>3</v>
      </c>
      <c r="D764" t="s">
        <v>1060</v>
      </c>
      <c r="E764" t="s">
        <v>13</v>
      </c>
      <c r="F764">
        <v>20</v>
      </c>
      <c r="G764">
        <v>0</v>
      </c>
      <c r="H764">
        <v>0</v>
      </c>
      <c r="I764">
        <v>2663</v>
      </c>
      <c r="J764" s="3">
        <v>7.2291999999999996</v>
      </c>
      <c r="L764" t="s">
        <v>20</v>
      </c>
    </row>
    <row r="765" spans="1:12" x14ac:dyDescent="0.2">
      <c r="A765">
        <v>764</v>
      </c>
      <c r="B765">
        <v>1</v>
      </c>
      <c r="C765">
        <v>1</v>
      </c>
      <c r="D765" t="s">
        <v>1061</v>
      </c>
      <c r="E765" t="s">
        <v>17</v>
      </c>
      <c r="F765">
        <v>36</v>
      </c>
      <c r="G765">
        <v>1</v>
      </c>
      <c r="H765">
        <v>2</v>
      </c>
      <c r="I765">
        <v>113760</v>
      </c>
      <c r="J765" s="3">
        <v>120</v>
      </c>
      <c r="K765" t="s">
        <v>578</v>
      </c>
      <c r="L765" t="s">
        <v>15</v>
      </c>
    </row>
    <row r="766" spans="1:12" x14ac:dyDescent="0.2">
      <c r="A766">
        <v>765</v>
      </c>
      <c r="B766">
        <v>0</v>
      </c>
      <c r="C766">
        <v>3</v>
      </c>
      <c r="D766" t="s">
        <v>1062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 s="3">
        <v>7.7750000000000004</v>
      </c>
      <c r="L766" t="s">
        <v>15</v>
      </c>
    </row>
    <row r="767" spans="1:12" x14ac:dyDescent="0.2">
      <c r="A767">
        <v>766</v>
      </c>
      <c r="B767">
        <v>1</v>
      </c>
      <c r="C767">
        <v>1</v>
      </c>
      <c r="D767" t="s">
        <v>1063</v>
      </c>
      <c r="E767" t="s">
        <v>17</v>
      </c>
      <c r="F767">
        <v>51</v>
      </c>
      <c r="G767">
        <v>1</v>
      </c>
      <c r="H767">
        <v>0</v>
      </c>
      <c r="I767">
        <v>13502</v>
      </c>
      <c r="J767" s="3">
        <v>77.958299999999994</v>
      </c>
      <c r="K767" t="s">
        <v>1064</v>
      </c>
      <c r="L767" t="s">
        <v>15</v>
      </c>
    </row>
    <row r="768" spans="1:12" x14ac:dyDescent="0.2">
      <c r="A768">
        <v>767</v>
      </c>
      <c r="B768">
        <v>0</v>
      </c>
      <c r="C768">
        <v>1</v>
      </c>
      <c r="D768" t="s">
        <v>1065</v>
      </c>
      <c r="E768" t="s">
        <v>13</v>
      </c>
      <c r="G768">
        <v>0</v>
      </c>
      <c r="H768">
        <v>0</v>
      </c>
      <c r="I768">
        <v>112379</v>
      </c>
      <c r="J768" s="3">
        <v>39.6</v>
      </c>
      <c r="L768" t="s">
        <v>20</v>
      </c>
    </row>
    <row r="769" spans="1:12" x14ac:dyDescent="0.2">
      <c r="A769">
        <v>768</v>
      </c>
      <c r="B769">
        <v>0</v>
      </c>
      <c r="C769">
        <v>3</v>
      </c>
      <c r="D769" t="s">
        <v>1066</v>
      </c>
      <c r="E769" t="s">
        <v>17</v>
      </c>
      <c r="F769">
        <v>30.5</v>
      </c>
      <c r="G769">
        <v>0</v>
      </c>
      <c r="H769">
        <v>0</v>
      </c>
      <c r="I769">
        <v>364850</v>
      </c>
      <c r="J769" s="3">
        <v>7.75</v>
      </c>
      <c r="L769" t="s">
        <v>27</v>
      </c>
    </row>
    <row r="770" spans="1:12" x14ac:dyDescent="0.2">
      <c r="A770">
        <v>769</v>
      </c>
      <c r="B770">
        <v>0</v>
      </c>
      <c r="C770">
        <v>3</v>
      </c>
      <c r="D770" t="s">
        <v>1067</v>
      </c>
      <c r="E770" t="s">
        <v>13</v>
      </c>
      <c r="G770">
        <v>1</v>
      </c>
      <c r="H770">
        <v>0</v>
      </c>
      <c r="I770">
        <v>371110</v>
      </c>
      <c r="J770" s="3">
        <v>24.15</v>
      </c>
      <c r="L770" t="s">
        <v>27</v>
      </c>
    </row>
    <row r="771" spans="1:12" x14ac:dyDescent="0.2">
      <c r="A771">
        <v>770</v>
      </c>
      <c r="B771">
        <v>0</v>
      </c>
      <c r="C771">
        <v>3</v>
      </c>
      <c r="D771" t="s">
        <v>1068</v>
      </c>
      <c r="E771" t="s">
        <v>13</v>
      </c>
      <c r="F771">
        <v>32</v>
      </c>
      <c r="G771">
        <v>0</v>
      </c>
      <c r="H771">
        <v>0</v>
      </c>
      <c r="I771">
        <v>8471</v>
      </c>
      <c r="J771" s="3">
        <v>8.3625000000000007</v>
      </c>
      <c r="L771" t="s">
        <v>15</v>
      </c>
    </row>
    <row r="772" spans="1:12" x14ac:dyDescent="0.2">
      <c r="A772">
        <v>771</v>
      </c>
      <c r="B772">
        <v>0</v>
      </c>
      <c r="C772">
        <v>3</v>
      </c>
      <c r="D772" t="s">
        <v>1069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 s="3">
        <v>9.5</v>
      </c>
      <c r="L772" t="s">
        <v>15</v>
      </c>
    </row>
    <row r="773" spans="1:12" x14ac:dyDescent="0.2">
      <c r="A773">
        <v>772</v>
      </c>
      <c r="B773">
        <v>0</v>
      </c>
      <c r="C773">
        <v>3</v>
      </c>
      <c r="D773" t="s">
        <v>1070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 s="3">
        <v>7.8541999999999996</v>
      </c>
      <c r="L773" t="s">
        <v>15</v>
      </c>
    </row>
    <row r="774" spans="1:12" x14ac:dyDescent="0.2">
      <c r="A774">
        <v>773</v>
      </c>
      <c r="B774">
        <v>0</v>
      </c>
      <c r="C774">
        <v>2</v>
      </c>
      <c r="D774" t="s">
        <v>1071</v>
      </c>
      <c r="E774" t="s">
        <v>17</v>
      </c>
      <c r="F774">
        <v>57</v>
      </c>
      <c r="G774">
        <v>0</v>
      </c>
      <c r="H774">
        <v>0</v>
      </c>
      <c r="I774" t="s">
        <v>1072</v>
      </c>
      <c r="J774" s="3">
        <v>10.5</v>
      </c>
      <c r="K774" t="s">
        <v>1073</v>
      </c>
      <c r="L774" t="s">
        <v>15</v>
      </c>
    </row>
    <row r="775" spans="1:12" x14ac:dyDescent="0.2">
      <c r="A775">
        <v>774</v>
      </c>
      <c r="B775">
        <v>0</v>
      </c>
      <c r="C775">
        <v>3</v>
      </c>
      <c r="D775" t="s">
        <v>1074</v>
      </c>
      <c r="E775" t="s">
        <v>13</v>
      </c>
      <c r="G775">
        <v>0</v>
      </c>
      <c r="H775">
        <v>0</v>
      </c>
      <c r="I775">
        <v>2674</v>
      </c>
      <c r="J775" s="3">
        <v>7.2249999999999996</v>
      </c>
      <c r="L775" t="s">
        <v>20</v>
      </c>
    </row>
    <row r="776" spans="1:12" x14ac:dyDescent="0.2">
      <c r="A776">
        <v>775</v>
      </c>
      <c r="B776">
        <v>1</v>
      </c>
      <c r="C776">
        <v>2</v>
      </c>
      <c r="D776" t="s">
        <v>1075</v>
      </c>
      <c r="E776" t="s">
        <v>17</v>
      </c>
      <c r="F776">
        <v>54</v>
      </c>
      <c r="G776">
        <v>1</v>
      </c>
      <c r="H776">
        <v>3</v>
      </c>
      <c r="I776">
        <v>29105</v>
      </c>
      <c r="J776" s="3">
        <v>23</v>
      </c>
      <c r="L776" t="s">
        <v>15</v>
      </c>
    </row>
    <row r="777" spans="1:12" x14ac:dyDescent="0.2">
      <c r="A777">
        <v>776</v>
      </c>
      <c r="B777">
        <v>0</v>
      </c>
      <c r="C777">
        <v>3</v>
      </c>
      <c r="D777" t="s">
        <v>1076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 s="3">
        <v>7.75</v>
      </c>
      <c r="L777" t="s">
        <v>15</v>
      </c>
    </row>
    <row r="778" spans="1:12" x14ac:dyDescent="0.2">
      <c r="A778">
        <v>777</v>
      </c>
      <c r="B778">
        <v>0</v>
      </c>
      <c r="C778">
        <v>3</v>
      </c>
      <c r="D778" t="s">
        <v>1077</v>
      </c>
      <c r="E778" t="s">
        <v>13</v>
      </c>
      <c r="G778">
        <v>0</v>
      </c>
      <c r="H778">
        <v>0</v>
      </c>
      <c r="I778">
        <v>383121</v>
      </c>
      <c r="J778" s="3">
        <v>7.75</v>
      </c>
      <c r="K778" t="s">
        <v>1078</v>
      </c>
      <c r="L778" t="s">
        <v>27</v>
      </c>
    </row>
    <row r="779" spans="1:12" x14ac:dyDescent="0.2">
      <c r="A779">
        <v>778</v>
      </c>
      <c r="B779">
        <v>1</v>
      </c>
      <c r="C779">
        <v>3</v>
      </c>
      <c r="D779" t="s">
        <v>1079</v>
      </c>
      <c r="E779" t="s">
        <v>17</v>
      </c>
      <c r="F779">
        <v>5</v>
      </c>
      <c r="G779">
        <v>0</v>
      </c>
      <c r="H779">
        <v>0</v>
      </c>
      <c r="I779">
        <v>364516</v>
      </c>
      <c r="J779" s="3">
        <v>12.475</v>
      </c>
      <c r="L779" t="s">
        <v>15</v>
      </c>
    </row>
    <row r="780" spans="1:12" x14ac:dyDescent="0.2">
      <c r="A780">
        <v>779</v>
      </c>
      <c r="B780">
        <v>0</v>
      </c>
      <c r="C780">
        <v>3</v>
      </c>
      <c r="D780" t="s">
        <v>1080</v>
      </c>
      <c r="E780" t="s">
        <v>13</v>
      </c>
      <c r="G780">
        <v>0</v>
      </c>
      <c r="H780">
        <v>0</v>
      </c>
      <c r="I780">
        <v>36865</v>
      </c>
      <c r="J780" s="3">
        <v>7.7374999999999998</v>
      </c>
      <c r="L780" t="s">
        <v>27</v>
      </c>
    </row>
    <row r="781" spans="1:12" x14ac:dyDescent="0.2">
      <c r="A781">
        <v>780</v>
      </c>
      <c r="B781">
        <v>1</v>
      </c>
      <c r="C781">
        <v>1</v>
      </c>
      <c r="D781" t="s">
        <v>1081</v>
      </c>
      <c r="E781" t="s">
        <v>17</v>
      </c>
      <c r="F781">
        <v>43</v>
      </c>
      <c r="G781">
        <v>0</v>
      </c>
      <c r="H781">
        <v>1</v>
      </c>
      <c r="I781">
        <v>24160</v>
      </c>
      <c r="J781" s="3">
        <v>211.33750000000001</v>
      </c>
      <c r="K781" t="s">
        <v>1082</v>
      </c>
      <c r="L781" t="s">
        <v>15</v>
      </c>
    </row>
    <row r="782" spans="1:12" x14ac:dyDescent="0.2">
      <c r="A782">
        <v>781</v>
      </c>
      <c r="B782">
        <v>1</v>
      </c>
      <c r="C782">
        <v>3</v>
      </c>
      <c r="D782" t="s">
        <v>1083</v>
      </c>
      <c r="E782" t="s">
        <v>17</v>
      </c>
      <c r="F782">
        <v>13</v>
      </c>
      <c r="G782">
        <v>0</v>
      </c>
      <c r="H782">
        <v>0</v>
      </c>
      <c r="I782">
        <v>2687</v>
      </c>
      <c r="J782" s="3">
        <v>7.2291999999999996</v>
      </c>
      <c r="L782" t="s">
        <v>20</v>
      </c>
    </row>
    <row r="783" spans="1:12" x14ac:dyDescent="0.2">
      <c r="A783">
        <v>782</v>
      </c>
      <c r="B783">
        <v>1</v>
      </c>
      <c r="C783">
        <v>1</v>
      </c>
      <c r="D783" t="s">
        <v>1084</v>
      </c>
      <c r="E783" t="s">
        <v>17</v>
      </c>
      <c r="F783">
        <v>17</v>
      </c>
      <c r="G783">
        <v>1</v>
      </c>
      <c r="H783">
        <v>0</v>
      </c>
      <c r="I783">
        <v>17474</v>
      </c>
      <c r="J783" s="3">
        <v>57</v>
      </c>
      <c r="K783" t="s">
        <v>971</v>
      </c>
      <c r="L783" t="s">
        <v>15</v>
      </c>
    </row>
    <row r="784" spans="1:12" x14ac:dyDescent="0.2">
      <c r="A784">
        <v>783</v>
      </c>
      <c r="B784">
        <v>0</v>
      </c>
      <c r="C784">
        <v>1</v>
      </c>
      <c r="D784" t="s">
        <v>1085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 s="3">
        <v>30</v>
      </c>
      <c r="K784" t="s">
        <v>1086</v>
      </c>
      <c r="L784" t="s">
        <v>15</v>
      </c>
    </row>
    <row r="785" spans="1:12" x14ac:dyDescent="0.2">
      <c r="A785">
        <v>784</v>
      </c>
      <c r="B785">
        <v>0</v>
      </c>
      <c r="C785">
        <v>3</v>
      </c>
      <c r="D785" t="s">
        <v>1087</v>
      </c>
      <c r="E785" t="s">
        <v>13</v>
      </c>
      <c r="G785">
        <v>1</v>
      </c>
      <c r="H785">
        <v>2</v>
      </c>
      <c r="I785" t="s">
        <v>1088</v>
      </c>
      <c r="J785" s="3">
        <v>23.45</v>
      </c>
      <c r="L785" t="s">
        <v>15</v>
      </c>
    </row>
    <row r="786" spans="1:12" x14ac:dyDescent="0.2">
      <c r="A786">
        <v>785</v>
      </c>
      <c r="B786">
        <v>0</v>
      </c>
      <c r="C786">
        <v>3</v>
      </c>
      <c r="D786" t="s">
        <v>1089</v>
      </c>
      <c r="E786" t="s">
        <v>13</v>
      </c>
      <c r="F786">
        <v>25</v>
      </c>
      <c r="G786">
        <v>0</v>
      </c>
      <c r="H786">
        <v>0</v>
      </c>
      <c r="I786" t="s">
        <v>1090</v>
      </c>
      <c r="J786" s="3">
        <v>7.05</v>
      </c>
      <c r="L786" t="s">
        <v>15</v>
      </c>
    </row>
    <row r="787" spans="1:12" x14ac:dyDescent="0.2">
      <c r="A787">
        <v>786</v>
      </c>
      <c r="B787">
        <v>0</v>
      </c>
      <c r="C787">
        <v>3</v>
      </c>
      <c r="D787" t="s">
        <v>1091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 s="3">
        <v>7.25</v>
      </c>
      <c r="L787" t="s">
        <v>15</v>
      </c>
    </row>
    <row r="788" spans="1:12" x14ac:dyDescent="0.2">
      <c r="A788">
        <v>787</v>
      </c>
      <c r="B788">
        <v>1</v>
      </c>
      <c r="C788">
        <v>3</v>
      </c>
      <c r="D788" t="s">
        <v>1092</v>
      </c>
      <c r="E788" t="s">
        <v>17</v>
      </c>
      <c r="F788">
        <v>18</v>
      </c>
      <c r="G788">
        <v>0</v>
      </c>
      <c r="H788">
        <v>0</v>
      </c>
      <c r="I788">
        <v>3101265</v>
      </c>
      <c r="J788" s="3">
        <v>7.4958</v>
      </c>
      <c r="L788" t="s">
        <v>15</v>
      </c>
    </row>
    <row r="789" spans="1:12" x14ac:dyDescent="0.2">
      <c r="A789">
        <v>788</v>
      </c>
      <c r="B789">
        <v>0</v>
      </c>
      <c r="C789">
        <v>3</v>
      </c>
      <c r="D789" t="s">
        <v>1093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 s="3">
        <v>29.125</v>
      </c>
      <c r="L789" t="s">
        <v>27</v>
      </c>
    </row>
    <row r="790" spans="1:12" x14ac:dyDescent="0.2">
      <c r="A790">
        <v>789</v>
      </c>
      <c r="B790">
        <v>1</v>
      </c>
      <c r="C790">
        <v>3</v>
      </c>
      <c r="D790" t="s">
        <v>1094</v>
      </c>
      <c r="E790" t="s">
        <v>13</v>
      </c>
      <c r="F790">
        <v>1</v>
      </c>
      <c r="G790">
        <v>1</v>
      </c>
      <c r="H790">
        <v>2</v>
      </c>
      <c r="I790" t="s">
        <v>154</v>
      </c>
      <c r="J790" s="3">
        <v>20.574999999999999</v>
      </c>
      <c r="L790" t="s">
        <v>15</v>
      </c>
    </row>
    <row r="791" spans="1:12" x14ac:dyDescent="0.2">
      <c r="A791">
        <v>790</v>
      </c>
      <c r="B791">
        <v>0</v>
      </c>
      <c r="C791">
        <v>1</v>
      </c>
      <c r="D791" t="s">
        <v>1095</v>
      </c>
      <c r="E791" t="s">
        <v>13</v>
      </c>
      <c r="F791">
        <v>46</v>
      </c>
      <c r="G791">
        <v>0</v>
      </c>
      <c r="H791">
        <v>0</v>
      </c>
      <c r="I791" t="s">
        <v>219</v>
      </c>
      <c r="J791" s="3">
        <v>79.2</v>
      </c>
      <c r="K791" t="s">
        <v>1096</v>
      </c>
      <c r="L791" t="s">
        <v>20</v>
      </c>
    </row>
    <row r="792" spans="1:12" x14ac:dyDescent="0.2">
      <c r="A792">
        <v>791</v>
      </c>
      <c r="B792">
        <v>0</v>
      </c>
      <c r="C792">
        <v>3</v>
      </c>
      <c r="D792" t="s">
        <v>1097</v>
      </c>
      <c r="E792" t="s">
        <v>13</v>
      </c>
      <c r="G792">
        <v>0</v>
      </c>
      <c r="H792">
        <v>0</v>
      </c>
      <c r="I792">
        <v>12460</v>
      </c>
      <c r="J792" s="3">
        <v>7.75</v>
      </c>
      <c r="L792" t="s">
        <v>27</v>
      </c>
    </row>
    <row r="793" spans="1:12" x14ac:dyDescent="0.2">
      <c r="A793">
        <v>792</v>
      </c>
      <c r="B793">
        <v>0</v>
      </c>
      <c r="C793">
        <v>2</v>
      </c>
      <c r="D793" t="s">
        <v>1098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 s="3">
        <v>26</v>
      </c>
      <c r="L793" t="s">
        <v>15</v>
      </c>
    </row>
    <row r="794" spans="1:12" x14ac:dyDescent="0.2">
      <c r="A794">
        <v>793</v>
      </c>
      <c r="B794">
        <v>0</v>
      </c>
      <c r="C794">
        <v>3</v>
      </c>
      <c r="D794" t="s">
        <v>1099</v>
      </c>
      <c r="E794" t="s">
        <v>17</v>
      </c>
      <c r="G794">
        <v>8</v>
      </c>
      <c r="H794">
        <v>2</v>
      </c>
      <c r="I794" t="s">
        <v>251</v>
      </c>
      <c r="J794" s="3">
        <v>69.55</v>
      </c>
      <c r="L794" t="s">
        <v>15</v>
      </c>
    </row>
    <row r="795" spans="1:12" x14ac:dyDescent="0.2">
      <c r="A795">
        <v>794</v>
      </c>
      <c r="B795">
        <v>0</v>
      </c>
      <c r="C795">
        <v>1</v>
      </c>
      <c r="D795" t="s">
        <v>1100</v>
      </c>
      <c r="E795" t="s">
        <v>13</v>
      </c>
      <c r="G795">
        <v>0</v>
      </c>
      <c r="H795">
        <v>0</v>
      </c>
      <c r="I795" t="s">
        <v>1101</v>
      </c>
      <c r="J795" s="3">
        <v>30.695799999999998</v>
      </c>
      <c r="L795" t="s">
        <v>20</v>
      </c>
    </row>
    <row r="796" spans="1:12" x14ac:dyDescent="0.2">
      <c r="A796">
        <v>795</v>
      </c>
      <c r="B796">
        <v>0</v>
      </c>
      <c r="C796">
        <v>3</v>
      </c>
      <c r="D796" t="s">
        <v>1102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 s="3">
        <v>7.8958000000000004</v>
      </c>
      <c r="L796" t="s">
        <v>15</v>
      </c>
    </row>
    <row r="797" spans="1:12" x14ac:dyDescent="0.2">
      <c r="A797">
        <v>796</v>
      </c>
      <c r="B797">
        <v>0</v>
      </c>
      <c r="C797">
        <v>2</v>
      </c>
      <c r="D797" t="s">
        <v>1103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 s="3">
        <v>13</v>
      </c>
      <c r="L797" t="s">
        <v>15</v>
      </c>
    </row>
    <row r="798" spans="1:12" x14ac:dyDescent="0.2">
      <c r="A798">
        <v>797</v>
      </c>
      <c r="B798">
        <v>1</v>
      </c>
      <c r="C798">
        <v>1</v>
      </c>
      <c r="D798" t="s">
        <v>1104</v>
      </c>
      <c r="E798" t="s">
        <v>17</v>
      </c>
      <c r="F798">
        <v>49</v>
      </c>
      <c r="G798">
        <v>0</v>
      </c>
      <c r="H798">
        <v>0</v>
      </c>
      <c r="I798">
        <v>17465</v>
      </c>
      <c r="J798" s="3">
        <v>25.929200000000002</v>
      </c>
      <c r="K798" t="s">
        <v>1105</v>
      </c>
      <c r="L798" t="s">
        <v>15</v>
      </c>
    </row>
    <row r="799" spans="1:12" x14ac:dyDescent="0.2">
      <c r="A799">
        <v>798</v>
      </c>
      <c r="B799">
        <v>1</v>
      </c>
      <c r="C799">
        <v>3</v>
      </c>
      <c r="D799" t="s">
        <v>1106</v>
      </c>
      <c r="E799" t="s">
        <v>17</v>
      </c>
      <c r="F799">
        <v>31</v>
      </c>
      <c r="G799">
        <v>0</v>
      </c>
      <c r="H799">
        <v>0</v>
      </c>
      <c r="I799">
        <v>349244</v>
      </c>
      <c r="J799" s="3">
        <v>8.6832999999999991</v>
      </c>
      <c r="L799" t="s">
        <v>15</v>
      </c>
    </row>
    <row r="800" spans="1:12" x14ac:dyDescent="0.2">
      <c r="A800">
        <v>799</v>
      </c>
      <c r="B800">
        <v>0</v>
      </c>
      <c r="C800">
        <v>3</v>
      </c>
      <c r="D800" t="s">
        <v>1107</v>
      </c>
      <c r="E800" t="s">
        <v>13</v>
      </c>
      <c r="F800">
        <v>30</v>
      </c>
      <c r="G800">
        <v>0</v>
      </c>
      <c r="H800">
        <v>0</v>
      </c>
      <c r="I800">
        <v>2685</v>
      </c>
      <c r="J800" s="3">
        <v>7.2291999999999996</v>
      </c>
      <c r="L800" t="s">
        <v>20</v>
      </c>
    </row>
    <row r="801" spans="1:12" x14ac:dyDescent="0.2">
      <c r="A801">
        <v>800</v>
      </c>
      <c r="B801">
        <v>0</v>
      </c>
      <c r="C801">
        <v>3</v>
      </c>
      <c r="D801" t="s">
        <v>1108</v>
      </c>
      <c r="E801" t="s">
        <v>17</v>
      </c>
      <c r="F801">
        <v>30</v>
      </c>
      <c r="G801">
        <v>1</v>
      </c>
      <c r="H801">
        <v>1</v>
      </c>
      <c r="I801">
        <v>345773</v>
      </c>
      <c r="J801" s="3">
        <v>24.15</v>
      </c>
      <c r="L801" t="s">
        <v>15</v>
      </c>
    </row>
    <row r="802" spans="1:12" x14ac:dyDescent="0.2">
      <c r="A802">
        <v>801</v>
      </c>
      <c r="B802">
        <v>0</v>
      </c>
      <c r="C802">
        <v>2</v>
      </c>
      <c r="D802" t="s">
        <v>1109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 s="3">
        <v>13</v>
      </c>
      <c r="L802" t="s">
        <v>15</v>
      </c>
    </row>
    <row r="803" spans="1:12" x14ac:dyDescent="0.2">
      <c r="A803">
        <v>802</v>
      </c>
      <c r="B803">
        <v>1</v>
      </c>
      <c r="C803">
        <v>2</v>
      </c>
      <c r="D803" t="s">
        <v>1110</v>
      </c>
      <c r="E803" t="s">
        <v>17</v>
      </c>
      <c r="F803">
        <v>31</v>
      </c>
      <c r="G803">
        <v>1</v>
      </c>
      <c r="H803">
        <v>1</v>
      </c>
      <c r="I803" t="s">
        <v>361</v>
      </c>
      <c r="J803" s="3">
        <v>26.25</v>
      </c>
      <c r="L803" t="s">
        <v>15</v>
      </c>
    </row>
    <row r="804" spans="1:12" x14ac:dyDescent="0.2">
      <c r="A804">
        <v>803</v>
      </c>
      <c r="B804">
        <v>1</v>
      </c>
      <c r="C804">
        <v>1</v>
      </c>
      <c r="D804" t="s">
        <v>1111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 s="3">
        <v>120</v>
      </c>
      <c r="K804" t="s">
        <v>578</v>
      </c>
      <c r="L804" t="s">
        <v>15</v>
      </c>
    </row>
    <row r="805" spans="1:12" x14ac:dyDescent="0.2">
      <c r="A805">
        <v>804</v>
      </c>
      <c r="B805">
        <v>1</v>
      </c>
      <c r="C805">
        <v>3</v>
      </c>
      <c r="D805" t="s">
        <v>1112</v>
      </c>
      <c r="E805" t="s">
        <v>13</v>
      </c>
      <c r="F805">
        <v>0.42</v>
      </c>
      <c r="G805">
        <v>0</v>
      </c>
      <c r="H805">
        <v>1</v>
      </c>
      <c r="I805">
        <v>2625</v>
      </c>
      <c r="J805" s="3">
        <v>8.5167000000000002</v>
      </c>
      <c r="L805" t="s">
        <v>20</v>
      </c>
    </row>
    <row r="806" spans="1:12" x14ac:dyDescent="0.2">
      <c r="A806">
        <v>805</v>
      </c>
      <c r="B806">
        <v>1</v>
      </c>
      <c r="C806">
        <v>3</v>
      </c>
      <c r="D806" t="s">
        <v>1113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 s="3">
        <v>6.9749999999999996</v>
      </c>
      <c r="L806" t="s">
        <v>15</v>
      </c>
    </row>
    <row r="807" spans="1:12" x14ac:dyDescent="0.2">
      <c r="A807">
        <v>806</v>
      </c>
      <c r="B807">
        <v>0</v>
      </c>
      <c r="C807">
        <v>3</v>
      </c>
      <c r="D807" t="s">
        <v>1114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 s="3">
        <v>7.7750000000000004</v>
      </c>
      <c r="L807" t="s">
        <v>15</v>
      </c>
    </row>
    <row r="808" spans="1:12" x14ac:dyDescent="0.2">
      <c r="A808">
        <v>807</v>
      </c>
      <c r="B808">
        <v>0</v>
      </c>
      <c r="C808">
        <v>1</v>
      </c>
      <c r="D808" t="s">
        <v>1115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 s="3">
        <v>0</v>
      </c>
      <c r="K808" t="s">
        <v>1116</v>
      </c>
      <c r="L808" t="s">
        <v>15</v>
      </c>
    </row>
    <row r="809" spans="1:12" x14ac:dyDescent="0.2">
      <c r="A809">
        <v>808</v>
      </c>
      <c r="B809">
        <v>0</v>
      </c>
      <c r="C809">
        <v>3</v>
      </c>
      <c r="D809" t="s">
        <v>1117</v>
      </c>
      <c r="E809" t="s">
        <v>17</v>
      </c>
      <c r="F809">
        <v>18</v>
      </c>
      <c r="G809">
        <v>0</v>
      </c>
      <c r="H809">
        <v>0</v>
      </c>
      <c r="I809">
        <v>347087</v>
      </c>
      <c r="J809" s="3">
        <v>7.7750000000000004</v>
      </c>
      <c r="L809" t="s">
        <v>15</v>
      </c>
    </row>
    <row r="810" spans="1:12" x14ac:dyDescent="0.2">
      <c r="A810">
        <v>809</v>
      </c>
      <c r="B810">
        <v>0</v>
      </c>
      <c r="C810">
        <v>2</v>
      </c>
      <c r="D810" t="s">
        <v>1118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 s="3">
        <v>13</v>
      </c>
      <c r="L810" t="s">
        <v>15</v>
      </c>
    </row>
    <row r="811" spans="1:12" x14ac:dyDescent="0.2">
      <c r="A811">
        <v>810</v>
      </c>
      <c r="B811">
        <v>1</v>
      </c>
      <c r="C811">
        <v>1</v>
      </c>
      <c r="D811" t="s">
        <v>1119</v>
      </c>
      <c r="E811" t="s">
        <v>17</v>
      </c>
      <c r="F811">
        <v>33</v>
      </c>
      <c r="G811">
        <v>1</v>
      </c>
      <c r="H811">
        <v>0</v>
      </c>
      <c r="I811">
        <v>113806</v>
      </c>
      <c r="J811" s="3">
        <v>53.1</v>
      </c>
      <c r="K811" t="s">
        <v>1014</v>
      </c>
      <c r="L811" t="s">
        <v>15</v>
      </c>
    </row>
    <row r="812" spans="1:12" x14ac:dyDescent="0.2">
      <c r="A812">
        <v>811</v>
      </c>
      <c r="B812">
        <v>0</v>
      </c>
      <c r="C812">
        <v>3</v>
      </c>
      <c r="D812" t="s">
        <v>1120</v>
      </c>
      <c r="E812" t="s">
        <v>13</v>
      </c>
      <c r="F812">
        <v>26</v>
      </c>
      <c r="G812">
        <v>0</v>
      </c>
      <c r="H812">
        <v>0</v>
      </c>
      <c r="I812">
        <v>3474</v>
      </c>
      <c r="J812" s="3">
        <v>7.8875000000000002</v>
      </c>
      <c r="L812" t="s">
        <v>15</v>
      </c>
    </row>
    <row r="813" spans="1:12" x14ac:dyDescent="0.2">
      <c r="A813">
        <v>812</v>
      </c>
      <c r="B813">
        <v>0</v>
      </c>
      <c r="C813">
        <v>3</v>
      </c>
      <c r="D813" t="s">
        <v>1121</v>
      </c>
      <c r="E813" t="s">
        <v>13</v>
      </c>
      <c r="F813">
        <v>39</v>
      </c>
      <c r="G813">
        <v>0</v>
      </c>
      <c r="H813">
        <v>0</v>
      </c>
      <c r="I813" t="s">
        <v>810</v>
      </c>
      <c r="J813" s="3">
        <v>24.15</v>
      </c>
      <c r="L813" t="s">
        <v>15</v>
      </c>
    </row>
    <row r="814" spans="1:12" x14ac:dyDescent="0.2">
      <c r="A814">
        <v>813</v>
      </c>
      <c r="B814">
        <v>0</v>
      </c>
      <c r="C814">
        <v>2</v>
      </c>
      <c r="D814" t="s">
        <v>1122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 s="3">
        <v>10.5</v>
      </c>
      <c r="L814" t="s">
        <v>15</v>
      </c>
    </row>
    <row r="815" spans="1:12" x14ac:dyDescent="0.2">
      <c r="A815">
        <v>814</v>
      </c>
      <c r="B815">
        <v>0</v>
      </c>
      <c r="C815">
        <v>3</v>
      </c>
      <c r="D815" t="s">
        <v>1123</v>
      </c>
      <c r="E815" t="s">
        <v>17</v>
      </c>
      <c r="F815">
        <v>6</v>
      </c>
      <c r="G815">
        <v>4</v>
      </c>
      <c r="H815">
        <v>2</v>
      </c>
      <c r="I815">
        <v>347082</v>
      </c>
      <c r="J815" s="3">
        <v>31.274999999999999</v>
      </c>
      <c r="L815" t="s">
        <v>15</v>
      </c>
    </row>
    <row r="816" spans="1:12" x14ac:dyDescent="0.2">
      <c r="A816">
        <v>815</v>
      </c>
      <c r="B816">
        <v>0</v>
      </c>
      <c r="C816">
        <v>3</v>
      </c>
      <c r="D816" t="s">
        <v>1124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 s="3">
        <v>8.0500000000000007</v>
      </c>
      <c r="L816" t="s">
        <v>15</v>
      </c>
    </row>
    <row r="817" spans="1:12" x14ac:dyDescent="0.2">
      <c r="A817">
        <v>816</v>
      </c>
      <c r="B817">
        <v>0</v>
      </c>
      <c r="C817">
        <v>1</v>
      </c>
      <c r="D817" t="s">
        <v>1125</v>
      </c>
      <c r="E817" t="s">
        <v>13</v>
      </c>
      <c r="G817">
        <v>0</v>
      </c>
      <c r="H817">
        <v>0</v>
      </c>
      <c r="I817">
        <v>112058</v>
      </c>
      <c r="J817" s="3">
        <v>0</v>
      </c>
      <c r="K817" t="s">
        <v>1126</v>
      </c>
      <c r="L817" t="s">
        <v>15</v>
      </c>
    </row>
    <row r="818" spans="1:12" x14ac:dyDescent="0.2">
      <c r="A818">
        <v>817</v>
      </c>
      <c r="B818">
        <v>0</v>
      </c>
      <c r="C818">
        <v>3</v>
      </c>
      <c r="D818" t="s">
        <v>1127</v>
      </c>
      <c r="E818" t="s">
        <v>17</v>
      </c>
      <c r="F818">
        <v>23</v>
      </c>
      <c r="G818">
        <v>0</v>
      </c>
      <c r="H818">
        <v>0</v>
      </c>
      <c r="I818" t="s">
        <v>1128</v>
      </c>
      <c r="J818" s="3">
        <v>7.9249999999999998</v>
      </c>
      <c r="L818" t="s">
        <v>15</v>
      </c>
    </row>
    <row r="819" spans="1:12" x14ac:dyDescent="0.2">
      <c r="A819">
        <v>818</v>
      </c>
      <c r="B819">
        <v>0</v>
      </c>
      <c r="C819">
        <v>2</v>
      </c>
      <c r="D819" t="s">
        <v>1129</v>
      </c>
      <c r="E819" t="s">
        <v>13</v>
      </c>
      <c r="F819">
        <v>31</v>
      </c>
      <c r="G819">
        <v>1</v>
      </c>
      <c r="H819">
        <v>1</v>
      </c>
      <c r="I819" t="s">
        <v>1130</v>
      </c>
      <c r="J819" s="3">
        <v>37.004199999999997</v>
      </c>
      <c r="L819" t="s">
        <v>20</v>
      </c>
    </row>
    <row r="820" spans="1:12" x14ac:dyDescent="0.2">
      <c r="A820">
        <v>819</v>
      </c>
      <c r="B820">
        <v>0</v>
      </c>
      <c r="C820">
        <v>3</v>
      </c>
      <c r="D820" t="s">
        <v>1131</v>
      </c>
      <c r="E820" t="s">
        <v>13</v>
      </c>
      <c r="F820">
        <v>43</v>
      </c>
      <c r="G820">
        <v>0</v>
      </c>
      <c r="H820">
        <v>0</v>
      </c>
      <c r="I820" t="s">
        <v>1132</v>
      </c>
      <c r="J820" s="3">
        <v>6.45</v>
      </c>
      <c r="L820" t="s">
        <v>15</v>
      </c>
    </row>
    <row r="821" spans="1:12" x14ac:dyDescent="0.2">
      <c r="A821">
        <v>820</v>
      </c>
      <c r="B821">
        <v>0</v>
      </c>
      <c r="C821">
        <v>3</v>
      </c>
      <c r="D821" t="s">
        <v>1133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 s="3">
        <v>27.9</v>
      </c>
      <c r="L821" t="s">
        <v>15</v>
      </c>
    </row>
    <row r="822" spans="1:12" x14ac:dyDescent="0.2">
      <c r="A822">
        <v>821</v>
      </c>
      <c r="B822">
        <v>1</v>
      </c>
      <c r="C822">
        <v>1</v>
      </c>
      <c r="D822" t="s">
        <v>1134</v>
      </c>
      <c r="E822" t="s">
        <v>17</v>
      </c>
      <c r="F822">
        <v>52</v>
      </c>
      <c r="G822">
        <v>1</v>
      </c>
      <c r="H822">
        <v>1</v>
      </c>
      <c r="I822">
        <v>12749</v>
      </c>
      <c r="J822" s="3">
        <v>93.5</v>
      </c>
      <c r="K822" t="s">
        <v>1135</v>
      </c>
      <c r="L822" t="s">
        <v>15</v>
      </c>
    </row>
    <row r="823" spans="1:12" x14ac:dyDescent="0.2">
      <c r="A823">
        <v>822</v>
      </c>
      <c r="B823">
        <v>1</v>
      </c>
      <c r="C823">
        <v>3</v>
      </c>
      <c r="D823" t="s">
        <v>1136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 s="3">
        <v>8.6624999999999996</v>
      </c>
      <c r="L823" t="s">
        <v>15</v>
      </c>
    </row>
    <row r="824" spans="1:12" x14ac:dyDescent="0.2">
      <c r="A824">
        <v>823</v>
      </c>
      <c r="B824">
        <v>0</v>
      </c>
      <c r="C824">
        <v>1</v>
      </c>
      <c r="D824" t="s">
        <v>1137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 s="3">
        <v>0</v>
      </c>
      <c r="L824" t="s">
        <v>15</v>
      </c>
    </row>
    <row r="825" spans="1:12" x14ac:dyDescent="0.2">
      <c r="A825">
        <v>824</v>
      </c>
      <c r="B825">
        <v>1</v>
      </c>
      <c r="C825">
        <v>3</v>
      </c>
      <c r="D825" t="s">
        <v>1138</v>
      </c>
      <c r="E825" t="s">
        <v>17</v>
      </c>
      <c r="F825">
        <v>27</v>
      </c>
      <c r="G825">
        <v>0</v>
      </c>
      <c r="H825">
        <v>1</v>
      </c>
      <c r="I825">
        <v>392096</v>
      </c>
      <c r="J825" s="3">
        <v>12.475</v>
      </c>
      <c r="K825" t="s">
        <v>1048</v>
      </c>
      <c r="L825" t="s">
        <v>15</v>
      </c>
    </row>
    <row r="826" spans="1:12" x14ac:dyDescent="0.2">
      <c r="A826">
        <v>825</v>
      </c>
      <c r="B826">
        <v>0</v>
      </c>
      <c r="C826">
        <v>3</v>
      </c>
      <c r="D826" t="s">
        <v>1139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 s="3">
        <v>39.6875</v>
      </c>
      <c r="L826" t="s">
        <v>15</v>
      </c>
    </row>
    <row r="827" spans="1:12" x14ac:dyDescent="0.2">
      <c r="A827">
        <v>826</v>
      </c>
      <c r="B827">
        <v>0</v>
      </c>
      <c r="C827">
        <v>3</v>
      </c>
      <c r="D827" t="s">
        <v>1140</v>
      </c>
      <c r="E827" t="s">
        <v>13</v>
      </c>
      <c r="G827">
        <v>0</v>
      </c>
      <c r="H827">
        <v>0</v>
      </c>
      <c r="I827">
        <v>368323</v>
      </c>
      <c r="J827" s="3">
        <v>6.95</v>
      </c>
      <c r="L827" t="s">
        <v>27</v>
      </c>
    </row>
    <row r="828" spans="1:12" x14ac:dyDescent="0.2">
      <c r="A828">
        <v>827</v>
      </c>
      <c r="B828">
        <v>0</v>
      </c>
      <c r="C828">
        <v>3</v>
      </c>
      <c r="D828" t="s">
        <v>1141</v>
      </c>
      <c r="E828" t="s">
        <v>13</v>
      </c>
      <c r="G828">
        <v>0</v>
      </c>
      <c r="H828">
        <v>0</v>
      </c>
      <c r="I828">
        <v>1601</v>
      </c>
      <c r="J828" s="3">
        <v>56.495800000000003</v>
      </c>
      <c r="L828" t="s">
        <v>15</v>
      </c>
    </row>
    <row r="829" spans="1:12" x14ac:dyDescent="0.2">
      <c r="A829">
        <v>828</v>
      </c>
      <c r="B829">
        <v>1</v>
      </c>
      <c r="C829">
        <v>2</v>
      </c>
      <c r="D829" t="s">
        <v>1142</v>
      </c>
      <c r="E829" t="s">
        <v>13</v>
      </c>
      <c r="F829">
        <v>1</v>
      </c>
      <c r="G829">
        <v>0</v>
      </c>
      <c r="H829">
        <v>2</v>
      </c>
      <c r="I829" t="s">
        <v>1130</v>
      </c>
      <c r="J829" s="3">
        <v>37.004199999999997</v>
      </c>
      <c r="L829" t="s">
        <v>20</v>
      </c>
    </row>
    <row r="830" spans="1:12" x14ac:dyDescent="0.2">
      <c r="A830">
        <v>829</v>
      </c>
      <c r="B830">
        <v>1</v>
      </c>
      <c r="C830">
        <v>3</v>
      </c>
      <c r="D830" t="s">
        <v>1143</v>
      </c>
      <c r="E830" t="s">
        <v>13</v>
      </c>
      <c r="G830">
        <v>0</v>
      </c>
      <c r="H830">
        <v>0</v>
      </c>
      <c r="I830">
        <v>367228</v>
      </c>
      <c r="J830" s="3">
        <v>7.75</v>
      </c>
      <c r="L830" t="s">
        <v>27</v>
      </c>
    </row>
    <row r="831" spans="1:12" x14ac:dyDescent="0.2">
      <c r="A831">
        <v>830</v>
      </c>
      <c r="B831">
        <v>1</v>
      </c>
      <c r="C831">
        <v>1</v>
      </c>
      <c r="D831" t="s">
        <v>1144</v>
      </c>
      <c r="E831" t="s">
        <v>17</v>
      </c>
      <c r="F831">
        <v>62</v>
      </c>
      <c r="G831">
        <v>0</v>
      </c>
      <c r="H831">
        <v>0</v>
      </c>
      <c r="I831">
        <v>113572</v>
      </c>
      <c r="J831" s="3">
        <v>80</v>
      </c>
      <c r="K831" t="s">
        <v>108</v>
      </c>
    </row>
    <row r="832" spans="1:12" x14ac:dyDescent="0.2">
      <c r="A832">
        <v>831</v>
      </c>
      <c r="B832">
        <v>1</v>
      </c>
      <c r="C832">
        <v>3</v>
      </c>
      <c r="D832" t="s">
        <v>1145</v>
      </c>
      <c r="E832" t="s">
        <v>17</v>
      </c>
      <c r="F832">
        <v>15</v>
      </c>
      <c r="G832">
        <v>1</v>
      </c>
      <c r="H832">
        <v>0</v>
      </c>
      <c r="I832">
        <v>2659</v>
      </c>
      <c r="J832" s="3">
        <v>14.4542</v>
      </c>
      <c r="L832" t="s">
        <v>20</v>
      </c>
    </row>
    <row r="833" spans="1:12" x14ac:dyDescent="0.2">
      <c r="A833">
        <v>832</v>
      </c>
      <c r="B833">
        <v>1</v>
      </c>
      <c r="C833">
        <v>2</v>
      </c>
      <c r="D833" t="s">
        <v>1146</v>
      </c>
      <c r="E833" t="s">
        <v>13</v>
      </c>
      <c r="F833">
        <v>0.83</v>
      </c>
      <c r="G833">
        <v>1</v>
      </c>
      <c r="H833">
        <v>1</v>
      </c>
      <c r="I833">
        <v>29106</v>
      </c>
      <c r="J833" s="3">
        <v>18.75</v>
      </c>
      <c r="L833" t="s">
        <v>15</v>
      </c>
    </row>
    <row r="834" spans="1:12" x14ac:dyDescent="0.2">
      <c r="A834">
        <v>833</v>
      </c>
      <c r="B834">
        <v>0</v>
      </c>
      <c r="C834">
        <v>3</v>
      </c>
      <c r="D834" t="s">
        <v>1147</v>
      </c>
      <c r="E834" t="s">
        <v>13</v>
      </c>
      <c r="G834">
        <v>0</v>
      </c>
      <c r="H834">
        <v>0</v>
      </c>
      <c r="I834">
        <v>2671</v>
      </c>
      <c r="J834" s="3">
        <v>7.2291999999999996</v>
      </c>
      <c r="L834" t="s">
        <v>20</v>
      </c>
    </row>
    <row r="835" spans="1:12" x14ac:dyDescent="0.2">
      <c r="A835">
        <v>834</v>
      </c>
      <c r="B835">
        <v>0</v>
      </c>
      <c r="C835">
        <v>3</v>
      </c>
      <c r="D835" t="s">
        <v>1148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 s="3">
        <v>7.8541999999999996</v>
      </c>
      <c r="L835" t="s">
        <v>15</v>
      </c>
    </row>
    <row r="836" spans="1:12" x14ac:dyDescent="0.2">
      <c r="A836">
        <v>835</v>
      </c>
      <c r="B836">
        <v>0</v>
      </c>
      <c r="C836">
        <v>3</v>
      </c>
      <c r="D836" t="s">
        <v>1149</v>
      </c>
      <c r="E836" t="s">
        <v>13</v>
      </c>
      <c r="F836">
        <v>18</v>
      </c>
      <c r="G836">
        <v>0</v>
      </c>
      <c r="H836">
        <v>0</v>
      </c>
      <c r="I836">
        <v>2223</v>
      </c>
      <c r="J836" s="3">
        <v>8.3000000000000007</v>
      </c>
      <c r="L836" t="s">
        <v>15</v>
      </c>
    </row>
    <row r="837" spans="1:12" x14ac:dyDescent="0.2">
      <c r="A837">
        <v>836</v>
      </c>
      <c r="B837">
        <v>1</v>
      </c>
      <c r="C837">
        <v>1</v>
      </c>
      <c r="D837" t="s">
        <v>1150</v>
      </c>
      <c r="E837" t="s">
        <v>17</v>
      </c>
      <c r="F837">
        <v>39</v>
      </c>
      <c r="G837">
        <v>1</v>
      </c>
      <c r="H837">
        <v>1</v>
      </c>
      <c r="I837" t="s">
        <v>1151</v>
      </c>
      <c r="J837" s="3">
        <v>83.158299999999997</v>
      </c>
      <c r="K837" t="s">
        <v>1152</v>
      </c>
      <c r="L837" t="s">
        <v>20</v>
      </c>
    </row>
    <row r="838" spans="1:12" x14ac:dyDescent="0.2">
      <c r="A838">
        <v>837</v>
      </c>
      <c r="B838">
        <v>0</v>
      </c>
      <c r="C838">
        <v>3</v>
      </c>
      <c r="D838" t="s">
        <v>1153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 s="3">
        <v>8.6624999999999996</v>
      </c>
      <c r="L838" t="s">
        <v>15</v>
      </c>
    </row>
    <row r="839" spans="1:12" x14ac:dyDescent="0.2">
      <c r="A839">
        <v>838</v>
      </c>
      <c r="B839">
        <v>0</v>
      </c>
      <c r="C839">
        <v>3</v>
      </c>
      <c r="D839" t="s">
        <v>1154</v>
      </c>
      <c r="E839" t="s">
        <v>13</v>
      </c>
      <c r="G839">
        <v>0</v>
      </c>
      <c r="H839">
        <v>0</v>
      </c>
      <c r="I839">
        <v>392092</v>
      </c>
      <c r="J839" s="3">
        <v>8.0500000000000007</v>
      </c>
      <c r="L839" t="s">
        <v>15</v>
      </c>
    </row>
    <row r="840" spans="1:12" x14ac:dyDescent="0.2">
      <c r="A840">
        <v>839</v>
      </c>
      <c r="B840">
        <v>1</v>
      </c>
      <c r="C840">
        <v>3</v>
      </c>
      <c r="D840" t="s">
        <v>1155</v>
      </c>
      <c r="E840" t="s">
        <v>13</v>
      </c>
      <c r="F840">
        <v>32</v>
      </c>
      <c r="G840">
        <v>0</v>
      </c>
      <c r="H840">
        <v>0</v>
      </c>
      <c r="I840">
        <v>1601</v>
      </c>
      <c r="J840" s="3">
        <v>56.495800000000003</v>
      </c>
      <c r="L840" t="s">
        <v>15</v>
      </c>
    </row>
    <row r="841" spans="1:12" x14ac:dyDescent="0.2">
      <c r="A841">
        <v>840</v>
      </c>
      <c r="B841">
        <v>1</v>
      </c>
      <c r="C841">
        <v>1</v>
      </c>
      <c r="D841" t="s">
        <v>1156</v>
      </c>
      <c r="E841" t="s">
        <v>13</v>
      </c>
      <c r="G841">
        <v>0</v>
      </c>
      <c r="H841">
        <v>0</v>
      </c>
      <c r="I841">
        <v>11774</v>
      </c>
      <c r="J841" s="3">
        <v>29.7</v>
      </c>
      <c r="K841" t="s">
        <v>1157</v>
      </c>
      <c r="L841" t="s">
        <v>20</v>
      </c>
    </row>
    <row r="842" spans="1:12" x14ac:dyDescent="0.2">
      <c r="A842">
        <v>841</v>
      </c>
      <c r="B842">
        <v>0</v>
      </c>
      <c r="C842">
        <v>3</v>
      </c>
      <c r="D842" t="s">
        <v>1158</v>
      </c>
      <c r="E842" t="s">
        <v>13</v>
      </c>
      <c r="F842">
        <v>20</v>
      </c>
      <c r="G842">
        <v>0</v>
      </c>
      <c r="H842">
        <v>0</v>
      </c>
      <c r="I842" t="s">
        <v>1159</v>
      </c>
      <c r="J842" s="3">
        <v>7.9249999999999998</v>
      </c>
      <c r="L842" t="s">
        <v>15</v>
      </c>
    </row>
    <row r="843" spans="1:12" x14ac:dyDescent="0.2">
      <c r="A843">
        <v>842</v>
      </c>
      <c r="B843">
        <v>0</v>
      </c>
      <c r="C843">
        <v>2</v>
      </c>
      <c r="D843" t="s">
        <v>1160</v>
      </c>
      <c r="E843" t="s">
        <v>13</v>
      </c>
      <c r="F843">
        <v>16</v>
      </c>
      <c r="G843">
        <v>0</v>
      </c>
      <c r="H843">
        <v>0</v>
      </c>
      <c r="I843" t="s">
        <v>1072</v>
      </c>
      <c r="J843" s="3">
        <v>10.5</v>
      </c>
      <c r="L843" t="s">
        <v>15</v>
      </c>
    </row>
    <row r="844" spans="1:12" x14ac:dyDescent="0.2">
      <c r="A844">
        <v>843</v>
      </c>
      <c r="B844">
        <v>1</v>
      </c>
      <c r="C844">
        <v>1</v>
      </c>
      <c r="D844" t="s">
        <v>1161</v>
      </c>
      <c r="E844" t="s">
        <v>17</v>
      </c>
      <c r="F844">
        <v>30</v>
      </c>
      <c r="G844">
        <v>0</v>
      </c>
      <c r="H844">
        <v>0</v>
      </c>
      <c r="I844">
        <v>113798</v>
      </c>
      <c r="J844" s="3">
        <v>31</v>
      </c>
      <c r="L844" t="s">
        <v>20</v>
      </c>
    </row>
    <row r="845" spans="1:12" x14ac:dyDescent="0.2">
      <c r="A845">
        <v>844</v>
      </c>
      <c r="B845">
        <v>0</v>
      </c>
      <c r="C845">
        <v>3</v>
      </c>
      <c r="D845" t="s">
        <v>1162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 s="3">
        <v>6.4375</v>
      </c>
      <c r="L845" t="s">
        <v>20</v>
      </c>
    </row>
    <row r="846" spans="1:12" x14ac:dyDescent="0.2">
      <c r="A846">
        <v>845</v>
      </c>
      <c r="B846">
        <v>0</v>
      </c>
      <c r="C846">
        <v>3</v>
      </c>
      <c r="D846" t="s">
        <v>1163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 s="3">
        <v>8.6624999999999996</v>
      </c>
      <c r="L846" t="s">
        <v>15</v>
      </c>
    </row>
    <row r="847" spans="1:12" x14ac:dyDescent="0.2">
      <c r="A847">
        <v>846</v>
      </c>
      <c r="B847">
        <v>0</v>
      </c>
      <c r="C847">
        <v>3</v>
      </c>
      <c r="D847" t="s">
        <v>1164</v>
      </c>
      <c r="E847" t="s">
        <v>13</v>
      </c>
      <c r="F847">
        <v>42</v>
      </c>
      <c r="G847">
        <v>0</v>
      </c>
      <c r="H847">
        <v>0</v>
      </c>
      <c r="I847" t="s">
        <v>1165</v>
      </c>
      <c r="J847" s="3">
        <v>7.55</v>
      </c>
      <c r="L847" t="s">
        <v>15</v>
      </c>
    </row>
    <row r="848" spans="1:12" x14ac:dyDescent="0.2">
      <c r="A848">
        <v>847</v>
      </c>
      <c r="B848">
        <v>0</v>
      </c>
      <c r="C848">
        <v>3</v>
      </c>
      <c r="D848" t="s">
        <v>1166</v>
      </c>
      <c r="E848" t="s">
        <v>13</v>
      </c>
      <c r="G848">
        <v>8</v>
      </c>
      <c r="H848">
        <v>2</v>
      </c>
      <c r="I848" t="s">
        <v>251</v>
      </c>
      <c r="J848" s="3">
        <v>69.55</v>
      </c>
      <c r="L848" t="s">
        <v>15</v>
      </c>
    </row>
    <row r="849" spans="1:12" x14ac:dyDescent="0.2">
      <c r="A849">
        <v>848</v>
      </c>
      <c r="B849">
        <v>0</v>
      </c>
      <c r="C849">
        <v>3</v>
      </c>
      <c r="D849" t="s">
        <v>1167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 s="3">
        <v>7.8958000000000004</v>
      </c>
      <c r="L849" t="s">
        <v>20</v>
      </c>
    </row>
    <row r="850" spans="1:12" x14ac:dyDescent="0.2">
      <c r="A850">
        <v>849</v>
      </c>
      <c r="B850">
        <v>0</v>
      </c>
      <c r="C850">
        <v>2</v>
      </c>
      <c r="D850" t="s">
        <v>1168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 s="3">
        <v>33</v>
      </c>
      <c r="L850" t="s">
        <v>15</v>
      </c>
    </row>
    <row r="851" spans="1:12" x14ac:dyDescent="0.2">
      <c r="A851">
        <v>850</v>
      </c>
      <c r="B851">
        <v>1</v>
      </c>
      <c r="C851">
        <v>1</v>
      </c>
      <c r="D851" t="s">
        <v>1169</v>
      </c>
      <c r="E851" t="s">
        <v>17</v>
      </c>
      <c r="G851">
        <v>1</v>
      </c>
      <c r="H851">
        <v>0</v>
      </c>
      <c r="I851">
        <v>17453</v>
      </c>
      <c r="J851" s="3">
        <v>89.104200000000006</v>
      </c>
      <c r="K851" t="s">
        <v>655</v>
      </c>
      <c r="L851" t="s">
        <v>20</v>
      </c>
    </row>
    <row r="852" spans="1:12" x14ac:dyDescent="0.2">
      <c r="A852">
        <v>851</v>
      </c>
      <c r="B852">
        <v>0</v>
      </c>
      <c r="C852">
        <v>3</v>
      </c>
      <c r="D852" t="s">
        <v>1170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 s="3">
        <v>31.274999999999999</v>
      </c>
      <c r="L852" t="s">
        <v>15</v>
      </c>
    </row>
    <row r="853" spans="1:12" x14ac:dyDescent="0.2">
      <c r="A853">
        <v>852</v>
      </c>
      <c r="B853">
        <v>0</v>
      </c>
      <c r="C853">
        <v>3</v>
      </c>
      <c r="D853" t="s">
        <v>1171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 s="3">
        <v>7.7750000000000004</v>
      </c>
      <c r="L853" t="s">
        <v>15</v>
      </c>
    </row>
    <row r="854" spans="1:12" x14ac:dyDescent="0.2">
      <c r="A854">
        <v>853</v>
      </c>
      <c r="B854">
        <v>0</v>
      </c>
      <c r="C854">
        <v>3</v>
      </c>
      <c r="D854" t="s">
        <v>1172</v>
      </c>
      <c r="E854" t="s">
        <v>17</v>
      </c>
      <c r="F854">
        <v>9</v>
      </c>
      <c r="G854">
        <v>1</v>
      </c>
      <c r="H854">
        <v>1</v>
      </c>
      <c r="I854">
        <v>2678</v>
      </c>
      <c r="J854" s="3">
        <v>15.245799999999999</v>
      </c>
      <c r="L854" t="s">
        <v>20</v>
      </c>
    </row>
    <row r="855" spans="1:12" x14ac:dyDescent="0.2">
      <c r="A855">
        <v>854</v>
      </c>
      <c r="B855">
        <v>1</v>
      </c>
      <c r="C855">
        <v>1</v>
      </c>
      <c r="D855" t="s">
        <v>1173</v>
      </c>
      <c r="E855" t="s">
        <v>17</v>
      </c>
      <c r="F855">
        <v>16</v>
      </c>
      <c r="G855">
        <v>0</v>
      </c>
      <c r="H855">
        <v>1</v>
      </c>
      <c r="I855" t="s">
        <v>1174</v>
      </c>
      <c r="J855" s="3">
        <v>39.4</v>
      </c>
      <c r="K855" t="s">
        <v>1175</v>
      </c>
      <c r="L855" t="s">
        <v>15</v>
      </c>
    </row>
    <row r="856" spans="1:12" x14ac:dyDescent="0.2">
      <c r="A856">
        <v>855</v>
      </c>
      <c r="B856">
        <v>0</v>
      </c>
      <c r="C856">
        <v>2</v>
      </c>
      <c r="D856" t="s">
        <v>1176</v>
      </c>
      <c r="E856" t="s">
        <v>17</v>
      </c>
      <c r="F856">
        <v>44</v>
      </c>
      <c r="G856">
        <v>1</v>
      </c>
      <c r="H856">
        <v>0</v>
      </c>
      <c r="I856">
        <v>244252</v>
      </c>
      <c r="J856" s="3">
        <v>26</v>
      </c>
      <c r="L856" t="s">
        <v>15</v>
      </c>
    </row>
    <row r="857" spans="1:12" x14ac:dyDescent="0.2">
      <c r="A857">
        <v>856</v>
      </c>
      <c r="B857">
        <v>1</v>
      </c>
      <c r="C857">
        <v>3</v>
      </c>
      <c r="D857" t="s">
        <v>1177</v>
      </c>
      <c r="E857" t="s">
        <v>17</v>
      </c>
      <c r="F857">
        <v>18</v>
      </c>
      <c r="G857">
        <v>0</v>
      </c>
      <c r="H857">
        <v>1</v>
      </c>
      <c r="I857">
        <v>392091</v>
      </c>
      <c r="J857" s="3">
        <v>9.35</v>
      </c>
      <c r="L857" t="s">
        <v>15</v>
      </c>
    </row>
    <row r="858" spans="1:12" x14ac:dyDescent="0.2">
      <c r="A858">
        <v>857</v>
      </c>
      <c r="B858">
        <v>1</v>
      </c>
      <c r="C858">
        <v>1</v>
      </c>
      <c r="D858" t="s">
        <v>1178</v>
      </c>
      <c r="E858" t="s">
        <v>17</v>
      </c>
      <c r="F858">
        <v>45</v>
      </c>
      <c r="G858">
        <v>1</v>
      </c>
      <c r="H858">
        <v>1</v>
      </c>
      <c r="I858">
        <v>36928</v>
      </c>
      <c r="J858" s="3">
        <v>164.86670000000001</v>
      </c>
      <c r="L858" t="s">
        <v>15</v>
      </c>
    </row>
    <row r="859" spans="1:12" x14ac:dyDescent="0.2">
      <c r="A859">
        <v>858</v>
      </c>
      <c r="B859">
        <v>1</v>
      </c>
      <c r="C859">
        <v>1</v>
      </c>
      <c r="D859" t="s">
        <v>1179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 s="3">
        <v>26.55</v>
      </c>
      <c r="K859" t="s">
        <v>1180</v>
      </c>
      <c r="L859" t="s">
        <v>15</v>
      </c>
    </row>
    <row r="860" spans="1:12" x14ac:dyDescent="0.2">
      <c r="A860">
        <v>859</v>
      </c>
      <c r="B860">
        <v>1</v>
      </c>
      <c r="C860">
        <v>3</v>
      </c>
      <c r="D860" t="s">
        <v>1181</v>
      </c>
      <c r="E860" t="s">
        <v>17</v>
      </c>
      <c r="F860">
        <v>24</v>
      </c>
      <c r="G860">
        <v>0</v>
      </c>
      <c r="H860">
        <v>3</v>
      </c>
      <c r="I860">
        <v>2666</v>
      </c>
      <c r="J860" s="3">
        <v>19.258299999999998</v>
      </c>
      <c r="L860" t="s">
        <v>20</v>
      </c>
    </row>
    <row r="861" spans="1:12" x14ac:dyDescent="0.2">
      <c r="A861">
        <v>860</v>
      </c>
      <c r="B861">
        <v>0</v>
      </c>
      <c r="C861">
        <v>3</v>
      </c>
      <c r="D861" t="s">
        <v>1182</v>
      </c>
      <c r="E861" t="s">
        <v>13</v>
      </c>
      <c r="G861">
        <v>0</v>
      </c>
      <c r="H861">
        <v>0</v>
      </c>
      <c r="I861">
        <v>2629</v>
      </c>
      <c r="J861" s="3">
        <v>7.2291999999999996</v>
      </c>
      <c r="L861" t="s">
        <v>20</v>
      </c>
    </row>
    <row r="862" spans="1:12" x14ac:dyDescent="0.2">
      <c r="A862">
        <v>861</v>
      </c>
      <c r="B862">
        <v>0</v>
      </c>
      <c r="C862">
        <v>3</v>
      </c>
      <c r="D862" t="s">
        <v>1183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 s="3">
        <v>14.1083</v>
      </c>
      <c r="L862" t="s">
        <v>15</v>
      </c>
    </row>
    <row r="863" spans="1:12" x14ac:dyDescent="0.2">
      <c r="A863">
        <v>862</v>
      </c>
      <c r="B863">
        <v>0</v>
      </c>
      <c r="C863">
        <v>2</v>
      </c>
      <c r="D863" t="s">
        <v>1184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 s="3">
        <v>11.5</v>
      </c>
      <c r="L863" t="s">
        <v>15</v>
      </c>
    </row>
    <row r="864" spans="1:12" x14ac:dyDescent="0.2">
      <c r="A864">
        <v>863</v>
      </c>
      <c r="B864">
        <v>1</v>
      </c>
      <c r="C864">
        <v>1</v>
      </c>
      <c r="D864" t="s">
        <v>1185</v>
      </c>
      <c r="E864" t="s">
        <v>17</v>
      </c>
      <c r="F864">
        <v>48</v>
      </c>
      <c r="G864">
        <v>0</v>
      </c>
      <c r="H864">
        <v>0</v>
      </c>
      <c r="I864">
        <v>17466</v>
      </c>
      <c r="J864" s="3">
        <v>25.929200000000002</v>
      </c>
      <c r="K864" t="s">
        <v>1105</v>
      </c>
      <c r="L864" t="s">
        <v>15</v>
      </c>
    </row>
    <row r="865" spans="1:12" x14ac:dyDescent="0.2">
      <c r="A865">
        <v>864</v>
      </c>
      <c r="B865">
        <v>0</v>
      </c>
      <c r="C865">
        <v>3</v>
      </c>
      <c r="D865" t="s">
        <v>1186</v>
      </c>
      <c r="E865" t="s">
        <v>17</v>
      </c>
      <c r="G865">
        <v>8</v>
      </c>
      <c r="H865">
        <v>2</v>
      </c>
      <c r="I865" t="s">
        <v>251</v>
      </c>
      <c r="J865" s="3">
        <v>69.55</v>
      </c>
      <c r="L865" t="s">
        <v>15</v>
      </c>
    </row>
    <row r="866" spans="1:12" x14ac:dyDescent="0.2">
      <c r="A866">
        <v>865</v>
      </c>
      <c r="B866">
        <v>0</v>
      </c>
      <c r="C866">
        <v>2</v>
      </c>
      <c r="D866" t="s">
        <v>1187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 s="3">
        <v>13</v>
      </c>
      <c r="L866" t="s">
        <v>15</v>
      </c>
    </row>
    <row r="867" spans="1:12" x14ac:dyDescent="0.2">
      <c r="A867">
        <v>866</v>
      </c>
      <c r="B867">
        <v>1</v>
      </c>
      <c r="C867">
        <v>2</v>
      </c>
      <c r="D867" t="s">
        <v>1188</v>
      </c>
      <c r="E867" t="s">
        <v>17</v>
      </c>
      <c r="F867">
        <v>42</v>
      </c>
      <c r="G867">
        <v>0</v>
      </c>
      <c r="H867">
        <v>0</v>
      </c>
      <c r="I867">
        <v>236852</v>
      </c>
      <c r="J867" s="3">
        <v>13</v>
      </c>
      <c r="L867" t="s">
        <v>15</v>
      </c>
    </row>
    <row r="868" spans="1:12" x14ac:dyDescent="0.2">
      <c r="A868">
        <v>867</v>
      </c>
      <c r="B868">
        <v>1</v>
      </c>
      <c r="C868">
        <v>2</v>
      </c>
      <c r="D868" t="s">
        <v>1189</v>
      </c>
      <c r="E868" t="s">
        <v>17</v>
      </c>
      <c r="F868">
        <v>27</v>
      </c>
      <c r="G868">
        <v>1</v>
      </c>
      <c r="H868">
        <v>0</v>
      </c>
      <c r="I868" t="s">
        <v>1190</v>
      </c>
      <c r="J868" s="3">
        <v>13.8583</v>
      </c>
      <c r="L868" t="s">
        <v>20</v>
      </c>
    </row>
    <row r="869" spans="1:12" x14ac:dyDescent="0.2">
      <c r="A869">
        <v>868</v>
      </c>
      <c r="B869">
        <v>0</v>
      </c>
      <c r="C869">
        <v>1</v>
      </c>
      <c r="D869" t="s">
        <v>1191</v>
      </c>
      <c r="E869" t="s">
        <v>13</v>
      </c>
      <c r="F869">
        <v>31</v>
      </c>
      <c r="G869">
        <v>0</v>
      </c>
      <c r="H869">
        <v>0</v>
      </c>
      <c r="I869" t="s">
        <v>1192</v>
      </c>
      <c r="J869" s="3">
        <v>50.495800000000003</v>
      </c>
      <c r="K869" t="s">
        <v>1193</v>
      </c>
      <c r="L869" t="s">
        <v>15</v>
      </c>
    </row>
    <row r="870" spans="1:12" x14ac:dyDescent="0.2">
      <c r="A870">
        <v>869</v>
      </c>
      <c r="B870">
        <v>0</v>
      </c>
      <c r="C870">
        <v>3</v>
      </c>
      <c r="D870" t="s">
        <v>1194</v>
      </c>
      <c r="E870" t="s">
        <v>13</v>
      </c>
      <c r="G870">
        <v>0</v>
      </c>
      <c r="H870">
        <v>0</v>
      </c>
      <c r="I870">
        <v>345777</v>
      </c>
      <c r="J870" s="3">
        <v>9.5</v>
      </c>
      <c r="L870" t="s">
        <v>15</v>
      </c>
    </row>
    <row r="871" spans="1:12" x14ac:dyDescent="0.2">
      <c r="A871">
        <v>870</v>
      </c>
      <c r="B871">
        <v>1</v>
      </c>
      <c r="C871">
        <v>3</v>
      </c>
      <c r="D871" t="s">
        <v>1195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 s="3">
        <v>11.1333</v>
      </c>
      <c r="L871" t="s">
        <v>15</v>
      </c>
    </row>
    <row r="872" spans="1:12" x14ac:dyDescent="0.2">
      <c r="A872">
        <v>871</v>
      </c>
      <c r="B872">
        <v>0</v>
      </c>
      <c r="C872">
        <v>3</v>
      </c>
      <c r="D872" t="s">
        <v>1196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 s="3">
        <v>7.8958000000000004</v>
      </c>
      <c r="L872" t="s">
        <v>15</v>
      </c>
    </row>
    <row r="873" spans="1:12" x14ac:dyDescent="0.2">
      <c r="A873">
        <v>872</v>
      </c>
      <c r="B873">
        <v>1</v>
      </c>
      <c r="C873">
        <v>1</v>
      </c>
      <c r="D873" t="s">
        <v>1197</v>
      </c>
      <c r="E873" t="s">
        <v>17</v>
      </c>
      <c r="F873">
        <v>47</v>
      </c>
      <c r="G873">
        <v>1</v>
      </c>
      <c r="H873">
        <v>1</v>
      </c>
      <c r="I873">
        <v>11751</v>
      </c>
      <c r="J873" s="3">
        <v>52.554200000000002</v>
      </c>
      <c r="K873" t="s">
        <v>377</v>
      </c>
      <c r="L873" t="s">
        <v>15</v>
      </c>
    </row>
    <row r="874" spans="1:12" x14ac:dyDescent="0.2">
      <c r="A874">
        <v>873</v>
      </c>
      <c r="B874">
        <v>0</v>
      </c>
      <c r="C874">
        <v>1</v>
      </c>
      <c r="D874" t="s">
        <v>1198</v>
      </c>
      <c r="E874" t="s">
        <v>13</v>
      </c>
      <c r="F874">
        <v>33</v>
      </c>
      <c r="G874">
        <v>0</v>
      </c>
      <c r="H874">
        <v>0</v>
      </c>
      <c r="I874">
        <v>695</v>
      </c>
      <c r="J874" s="3">
        <v>5</v>
      </c>
      <c r="K874" t="s">
        <v>957</v>
      </c>
      <c r="L874" t="s">
        <v>15</v>
      </c>
    </row>
    <row r="875" spans="1:12" x14ac:dyDescent="0.2">
      <c r="A875">
        <v>874</v>
      </c>
      <c r="B875">
        <v>0</v>
      </c>
      <c r="C875">
        <v>3</v>
      </c>
      <c r="D875" t="s">
        <v>1199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 s="3">
        <v>9</v>
      </c>
      <c r="L875" t="s">
        <v>15</v>
      </c>
    </row>
    <row r="876" spans="1:12" x14ac:dyDescent="0.2">
      <c r="A876">
        <v>875</v>
      </c>
      <c r="B876">
        <v>1</v>
      </c>
      <c r="C876">
        <v>2</v>
      </c>
      <c r="D876" t="s">
        <v>1200</v>
      </c>
      <c r="E876" t="s">
        <v>17</v>
      </c>
      <c r="F876">
        <v>28</v>
      </c>
      <c r="G876">
        <v>1</v>
      </c>
      <c r="H876">
        <v>0</v>
      </c>
      <c r="I876" t="s">
        <v>465</v>
      </c>
      <c r="J876" s="3">
        <v>24</v>
      </c>
      <c r="L876" t="s">
        <v>20</v>
      </c>
    </row>
    <row r="877" spans="1:12" x14ac:dyDescent="0.2">
      <c r="A877">
        <v>876</v>
      </c>
      <c r="B877">
        <v>1</v>
      </c>
      <c r="C877">
        <v>3</v>
      </c>
      <c r="D877" t="s">
        <v>1201</v>
      </c>
      <c r="E877" t="s">
        <v>17</v>
      </c>
      <c r="F877">
        <v>15</v>
      </c>
      <c r="G877">
        <v>0</v>
      </c>
      <c r="H877">
        <v>0</v>
      </c>
      <c r="I877">
        <v>2667</v>
      </c>
      <c r="J877" s="3">
        <v>7.2249999999999996</v>
      </c>
      <c r="L877" t="s">
        <v>20</v>
      </c>
    </row>
    <row r="878" spans="1:12" x14ac:dyDescent="0.2">
      <c r="A878">
        <v>877</v>
      </c>
      <c r="B878">
        <v>0</v>
      </c>
      <c r="C878">
        <v>3</v>
      </c>
      <c r="D878" t="s">
        <v>1202</v>
      </c>
      <c r="E878" t="s">
        <v>13</v>
      </c>
      <c r="F878">
        <v>20</v>
      </c>
      <c r="G878">
        <v>0</v>
      </c>
      <c r="H878">
        <v>0</v>
      </c>
      <c r="I878">
        <v>7534</v>
      </c>
      <c r="J878" s="3">
        <v>9.8458000000000006</v>
      </c>
      <c r="L878" t="s">
        <v>15</v>
      </c>
    </row>
    <row r="879" spans="1:12" x14ac:dyDescent="0.2">
      <c r="A879">
        <v>878</v>
      </c>
      <c r="B879">
        <v>0</v>
      </c>
      <c r="C879">
        <v>3</v>
      </c>
      <c r="D879" t="s">
        <v>1203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 s="3">
        <v>7.8958000000000004</v>
      </c>
      <c r="L879" t="s">
        <v>15</v>
      </c>
    </row>
    <row r="880" spans="1:12" x14ac:dyDescent="0.2">
      <c r="A880">
        <v>879</v>
      </c>
      <c r="B880">
        <v>0</v>
      </c>
      <c r="C880">
        <v>3</v>
      </c>
      <c r="D880" t="s">
        <v>1204</v>
      </c>
      <c r="E880" t="s">
        <v>13</v>
      </c>
      <c r="G880">
        <v>0</v>
      </c>
      <c r="H880">
        <v>0</v>
      </c>
      <c r="I880">
        <v>349217</v>
      </c>
      <c r="J880" s="3">
        <v>7.8958000000000004</v>
      </c>
      <c r="L880" t="s">
        <v>15</v>
      </c>
    </row>
    <row r="881" spans="1:12" x14ac:dyDescent="0.2">
      <c r="A881">
        <v>880</v>
      </c>
      <c r="B881">
        <v>1</v>
      </c>
      <c r="C881">
        <v>1</v>
      </c>
      <c r="D881" t="s">
        <v>1205</v>
      </c>
      <c r="E881" t="s">
        <v>17</v>
      </c>
      <c r="F881">
        <v>56</v>
      </c>
      <c r="G881">
        <v>0</v>
      </c>
      <c r="H881">
        <v>1</v>
      </c>
      <c r="I881">
        <v>11767</v>
      </c>
      <c r="J881" s="3">
        <v>83.158299999999997</v>
      </c>
      <c r="K881" t="s">
        <v>1206</v>
      </c>
      <c r="L881" t="s">
        <v>20</v>
      </c>
    </row>
    <row r="882" spans="1:12" x14ac:dyDescent="0.2">
      <c r="A882">
        <v>881</v>
      </c>
      <c r="B882">
        <v>1</v>
      </c>
      <c r="C882">
        <v>2</v>
      </c>
      <c r="D882" t="s">
        <v>1207</v>
      </c>
      <c r="E882" t="s">
        <v>17</v>
      </c>
      <c r="F882">
        <v>25</v>
      </c>
      <c r="G882">
        <v>0</v>
      </c>
      <c r="H882">
        <v>1</v>
      </c>
      <c r="I882">
        <v>230433</v>
      </c>
      <c r="J882" s="3">
        <v>26</v>
      </c>
      <c r="L882" t="s">
        <v>15</v>
      </c>
    </row>
    <row r="883" spans="1:12" x14ac:dyDescent="0.2">
      <c r="A883">
        <v>882</v>
      </c>
      <c r="B883">
        <v>0</v>
      </c>
      <c r="C883">
        <v>3</v>
      </c>
      <c r="D883" t="s">
        <v>1208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 s="3">
        <v>7.8958000000000004</v>
      </c>
      <c r="L883" t="s">
        <v>15</v>
      </c>
    </row>
    <row r="884" spans="1:12" x14ac:dyDescent="0.2">
      <c r="A884">
        <v>883</v>
      </c>
      <c r="B884">
        <v>0</v>
      </c>
      <c r="C884">
        <v>3</v>
      </c>
      <c r="D884" t="s">
        <v>1209</v>
      </c>
      <c r="E884" t="s">
        <v>17</v>
      </c>
      <c r="F884">
        <v>22</v>
      </c>
      <c r="G884">
        <v>0</v>
      </c>
      <c r="H884">
        <v>0</v>
      </c>
      <c r="I884">
        <v>7552</v>
      </c>
      <c r="J884" s="3">
        <v>10.5167</v>
      </c>
      <c r="L884" t="s">
        <v>15</v>
      </c>
    </row>
    <row r="885" spans="1:12" x14ac:dyDescent="0.2">
      <c r="A885">
        <v>884</v>
      </c>
      <c r="B885">
        <v>0</v>
      </c>
      <c r="C885">
        <v>2</v>
      </c>
      <c r="D885" t="s">
        <v>1210</v>
      </c>
      <c r="E885" t="s">
        <v>13</v>
      </c>
      <c r="F885">
        <v>28</v>
      </c>
      <c r="G885">
        <v>0</v>
      </c>
      <c r="H885">
        <v>0</v>
      </c>
      <c r="I885" t="s">
        <v>1211</v>
      </c>
      <c r="J885" s="3">
        <v>10.5</v>
      </c>
      <c r="L885" t="s">
        <v>15</v>
      </c>
    </row>
    <row r="886" spans="1:12" x14ac:dyDescent="0.2">
      <c r="A886">
        <v>885</v>
      </c>
      <c r="B886">
        <v>0</v>
      </c>
      <c r="C886">
        <v>3</v>
      </c>
      <c r="D886" t="s">
        <v>1212</v>
      </c>
      <c r="E886" t="s">
        <v>13</v>
      </c>
      <c r="F886">
        <v>25</v>
      </c>
      <c r="G886">
        <v>0</v>
      </c>
      <c r="H886">
        <v>0</v>
      </c>
      <c r="I886" t="s">
        <v>1213</v>
      </c>
      <c r="J886" s="3">
        <v>7.05</v>
      </c>
      <c r="L886" t="s">
        <v>15</v>
      </c>
    </row>
    <row r="887" spans="1:12" x14ac:dyDescent="0.2">
      <c r="A887">
        <v>886</v>
      </c>
      <c r="B887">
        <v>0</v>
      </c>
      <c r="C887">
        <v>3</v>
      </c>
      <c r="D887" t="s">
        <v>1214</v>
      </c>
      <c r="E887" t="s">
        <v>17</v>
      </c>
      <c r="F887">
        <v>39</v>
      </c>
      <c r="G887">
        <v>0</v>
      </c>
      <c r="H887">
        <v>5</v>
      </c>
      <c r="I887">
        <v>382652</v>
      </c>
      <c r="J887" s="3">
        <v>29.125</v>
      </c>
      <c r="L887" t="s">
        <v>27</v>
      </c>
    </row>
    <row r="888" spans="1:12" x14ac:dyDescent="0.2">
      <c r="A888">
        <v>887</v>
      </c>
      <c r="B888">
        <v>0</v>
      </c>
      <c r="C888">
        <v>2</v>
      </c>
      <c r="D888" t="s">
        <v>1215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 s="3">
        <v>13</v>
      </c>
      <c r="L888" t="s">
        <v>15</v>
      </c>
    </row>
    <row r="889" spans="1:12" x14ac:dyDescent="0.2">
      <c r="A889">
        <v>888</v>
      </c>
      <c r="B889">
        <v>1</v>
      </c>
      <c r="C889">
        <v>1</v>
      </c>
      <c r="D889" t="s">
        <v>1216</v>
      </c>
      <c r="E889" t="s">
        <v>17</v>
      </c>
      <c r="F889">
        <v>19</v>
      </c>
      <c r="G889">
        <v>0</v>
      </c>
      <c r="H889">
        <v>0</v>
      </c>
      <c r="I889">
        <v>112053</v>
      </c>
      <c r="J889" s="3">
        <v>30</v>
      </c>
      <c r="K889" t="s">
        <v>1217</v>
      </c>
      <c r="L889" t="s">
        <v>15</v>
      </c>
    </row>
    <row r="890" spans="1:12" x14ac:dyDescent="0.2">
      <c r="A890">
        <v>889</v>
      </c>
      <c r="B890">
        <v>0</v>
      </c>
      <c r="C890">
        <v>3</v>
      </c>
      <c r="D890" t="s">
        <v>1218</v>
      </c>
      <c r="E890" t="s">
        <v>17</v>
      </c>
      <c r="G890">
        <v>1</v>
      </c>
      <c r="H890">
        <v>2</v>
      </c>
      <c r="I890" t="s">
        <v>1088</v>
      </c>
      <c r="J890" s="3">
        <v>23.45</v>
      </c>
      <c r="L890" t="s">
        <v>15</v>
      </c>
    </row>
    <row r="891" spans="1:12" x14ac:dyDescent="0.2">
      <c r="A891">
        <v>890</v>
      </c>
      <c r="B891">
        <v>1</v>
      </c>
      <c r="C891">
        <v>1</v>
      </c>
      <c r="D891" t="s">
        <v>1219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 s="3">
        <v>30</v>
      </c>
      <c r="K891" t="s">
        <v>1220</v>
      </c>
      <c r="L891" t="s">
        <v>20</v>
      </c>
    </row>
    <row r="892" spans="1:12" x14ac:dyDescent="0.2">
      <c r="A892">
        <v>891</v>
      </c>
      <c r="B892">
        <v>0</v>
      </c>
      <c r="C892">
        <v>3</v>
      </c>
      <c r="D892" t="s">
        <v>1221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 s="3">
        <v>7.75</v>
      </c>
      <c r="L892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72A-6567-604F-9B6C-713EB8E3E11E}">
  <dimension ref="A1:B892"/>
  <sheetViews>
    <sheetView workbookViewId="0">
      <selection activeCell="V19" sqref="V19"/>
    </sheetView>
  </sheetViews>
  <sheetFormatPr baseColWidth="10" defaultRowHeight="16" x14ac:dyDescent="0.2"/>
  <cols>
    <col min="2" max="2" width="9.33203125" style="3" customWidth="1"/>
  </cols>
  <sheetData>
    <row r="1" spans="1:2" x14ac:dyDescent="0.2">
      <c r="A1" t="s">
        <v>5</v>
      </c>
      <c r="B1" s="3" t="s">
        <v>9</v>
      </c>
    </row>
    <row r="2" spans="1:2" x14ac:dyDescent="0.2">
      <c r="A2">
        <v>0.42</v>
      </c>
      <c r="B2" s="3">
        <v>8.5167000000000002</v>
      </c>
    </row>
    <row r="3" spans="1:2" x14ac:dyDescent="0.2">
      <c r="A3">
        <v>0.67</v>
      </c>
      <c r="B3" s="3">
        <v>14.5</v>
      </c>
    </row>
    <row r="4" spans="1:2" x14ac:dyDescent="0.2">
      <c r="A4">
        <v>0.75</v>
      </c>
      <c r="B4" s="3">
        <v>19.258299999999998</v>
      </c>
    </row>
    <row r="5" spans="1:2" x14ac:dyDescent="0.2">
      <c r="A5">
        <v>0.75</v>
      </c>
      <c r="B5" s="3">
        <v>19.258299999999998</v>
      </c>
    </row>
    <row r="6" spans="1:2" x14ac:dyDescent="0.2">
      <c r="A6">
        <v>0.83</v>
      </c>
      <c r="B6" s="3">
        <v>29</v>
      </c>
    </row>
    <row r="7" spans="1:2" x14ac:dyDescent="0.2">
      <c r="A7">
        <v>0.83</v>
      </c>
      <c r="B7" s="3">
        <v>18.75</v>
      </c>
    </row>
    <row r="8" spans="1:2" x14ac:dyDescent="0.2">
      <c r="A8">
        <v>0.92</v>
      </c>
      <c r="B8" s="3">
        <v>151.55000000000001</v>
      </c>
    </row>
    <row r="9" spans="1:2" x14ac:dyDescent="0.2">
      <c r="A9">
        <v>1</v>
      </c>
      <c r="B9" s="3">
        <v>39.6875</v>
      </c>
    </row>
    <row r="10" spans="1:2" x14ac:dyDescent="0.2">
      <c r="A10">
        <v>1</v>
      </c>
      <c r="B10" s="3">
        <v>11.1333</v>
      </c>
    </row>
    <row r="11" spans="1:2" x14ac:dyDescent="0.2">
      <c r="A11">
        <v>1</v>
      </c>
      <c r="B11" s="3">
        <v>39</v>
      </c>
    </row>
    <row r="12" spans="1:2" x14ac:dyDescent="0.2">
      <c r="A12">
        <v>1</v>
      </c>
      <c r="B12" s="3">
        <v>15.7417</v>
      </c>
    </row>
    <row r="13" spans="1:2" x14ac:dyDescent="0.2">
      <c r="A13">
        <v>1</v>
      </c>
      <c r="B13" s="3">
        <v>46.9</v>
      </c>
    </row>
    <row r="14" spans="1:2" x14ac:dyDescent="0.2">
      <c r="A14">
        <v>1</v>
      </c>
      <c r="B14" s="3">
        <v>20.574999999999999</v>
      </c>
    </row>
    <row r="15" spans="1:2" x14ac:dyDescent="0.2">
      <c r="A15">
        <v>1</v>
      </c>
      <c r="B15" s="3">
        <v>37.004199999999997</v>
      </c>
    </row>
    <row r="16" spans="1:2" x14ac:dyDescent="0.2">
      <c r="A16">
        <v>2</v>
      </c>
      <c r="B16" s="3">
        <v>21.074999999999999</v>
      </c>
    </row>
    <row r="17" spans="1:2" x14ac:dyDescent="0.2">
      <c r="A17">
        <v>2</v>
      </c>
      <c r="B17" s="3">
        <v>29.125</v>
      </c>
    </row>
    <row r="18" spans="1:2" x14ac:dyDescent="0.2">
      <c r="A18">
        <v>2</v>
      </c>
      <c r="B18" s="3">
        <v>31.274999999999999</v>
      </c>
    </row>
    <row r="19" spans="1:2" x14ac:dyDescent="0.2">
      <c r="A19">
        <v>2</v>
      </c>
      <c r="B19" s="3">
        <v>10.4625</v>
      </c>
    </row>
    <row r="20" spans="1:2" x14ac:dyDescent="0.2">
      <c r="A20">
        <v>2</v>
      </c>
      <c r="B20" s="3">
        <v>151.55000000000001</v>
      </c>
    </row>
    <row r="21" spans="1:2" x14ac:dyDescent="0.2">
      <c r="A21">
        <v>2</v>
      </c>
      <c r="B21" s="3">
        <v>26</v>
      </c>
    </row>
    <row r="22" spans="1:2" x14ac:dyDescent="0.2">
      <c r="A22">
        <v>2</v>
      </c>
      <c r="B22" s="3">
        <v>12.2875</v>
      </c>
    </row>
    <row r="23" spans="1:2" x14ac:dyDescent="0.2">
      <c r="A23">
        <v>2</v>
      </c>
      <c r="B23" s="3">
        <v>26</v>
      </c>
    </row>
    <row r="24" spans="1:2" x14ac:dyDescent="0.2">
      <c r="A24">
        <v>2</v>
      </c>
      <c r="B24" s="3">
        <v>27.9</v>
      </c>
    </row>
    <row r="25" spans="1:2" x14ac:dyDescent="0.2">
      <c r="A25">
        <v>2</v>
      </c>
      <c r="B25" s="3">
        <v>39.6875</v>
      </c>
    </row>
    <row r="26" spans="1:2" x14ac:dyDescent="0.2">
      <c r="A26">
        <v>3</v>
      </c>
      <c r="B26" s="3">
        <v>41.5792</v>
      </c>
    </row>
    <row r="27" spans="1:2" x14ac:dyDescent="0.2">
      <c r="A27">
        <v>3</v>
      </c>
      <c r="B27" s="3">
        <v>26</v>
      </c>
    </row>
    <row r="28" spans="1:2" x14ac:dyDescent="0.2">
      <c r="A28">
        <v>3</v>
      </c>
      <c r="B28" s="3">
        <v>31.387499999999999</v>
      </c>
    </row>
    <row r="29" spans="1:2" x14ac:dyDescent="0.2">
      <c r="A29">
        <v>3</v>
      </c>
      <c r="B29" s="3">
        <v>15.9</v>
      </c>
    </row>
    <row r="30" spans="1:2" x14ac:dyDescent="0.2">
      <c r="A30">
        <v>3</v>
      </c>
      <c r="B30" s="3">
        <v>21.074999999999999</v>
      </c>
    </row>
    <row r="31" spans="1:2" x14ac:dyDescent="0.2">
      <c r="A31">
        <v>3</v>
      </c>
      <c r="B31" s="3">
        <v>18.75</v>
      </c>
    </row>
    <row r="32" spans="1:2" x14ac:dyDescent="0.2">
      <c r="A32">
        <v>4</v>
      </c>
      <c r="B32" s="3">
        <v>16.7</v>
      </c>
    </row>
    <row r="33" spans="1:2" x14ac:dyDescent="0.2">
      <c r="A33">
        <v>4</v>
      </c>
      <c r="B33" s="3">
        <v>27.9</v>
      </c>
    </row>
    <row r="34" spans="1:2" x14ac:dyDescent="0.2">
      <c r="A34">
        <v>4</v>
      </c>
      <c r="B34" s="3">
        <v>29.125</v>
      </c>
    </row>
    <row r="35" spans="1:2" x14ac:dyDescent="0.2">
      <c r="A35">
        <v>4</v>
      </c>
      <c r="B35" s="3">
        <v>22.024999999999999</v>
      </c>
    </row>
    <row r="36" spans="1:2" x14ac:dyDescent="0.2">
      <c r="A36">
        <v>4</v>
      </c>
      <c r="B36" s="3">
        <v>81.8583</v>
      </c>
    </row>
    <row r="37" spans="1:2" x14ac:dyDescent="0.2">
      <c r="A37">
        <v>4</v>
      </c>
      <c r="B37" s="3">
        <v>39</v>
      </c>
    </row>
    <row r="38" spans="1:2" x14ac:dyDescent="0.2">
      <c r="A38">
        <v>4</v>
      </c>
      <c r="B38" s="3">
        <v>13.416700000000001</v>
      </c>
    </row>
    <row r="39" spans="1:2" x14ac:dyDescent="0.2">
      <c r="A39">
        <v>4</v>
      </c>
      <c r="B39" s="3">
        <v>23</v>
      </c>
    </row>
    <row r="40" spans="1:2" x14ac:dyDescent="0.2">
      <c r="A40">
        <v>4</v>
      </c>
      <c r="B40" s="3">
        <v>31.274999999999999</v>
      </c>
    </row>
    <row r="41" spans="1:2" x14ac:dyDescent="0.2">
      <c r="A41">
        <v>4</v>
      </c>
      <c r="B41" s="3">
        <v>11.1333</v>
      </c>
    </row>
    <row r="42" spans="1:2" x14ac:dyDescent="0.2">
      <c r="A42">
        <v>5</v>
      </c>
      <c r="B42" s="3">
        <v>27.75</v>
      </c>
    </row>
    <row r="43" spans="1:2" x14ac:dyDescent="0.2">
      <c r="A43">
        <v>5</v>
      </c>
      <c r="B43" s="3">
        <v>31.387499999999999</v>
      </c>
    </row>
    <row r="44" spans="1:2" x14ac:dyDescent="0.2">
      <c r="A44">
        <v>5</v>
      </c>
      <c r="B44" s="3">
        <v>19.258299999999998</v>
      </c>
    </row>
    <row r="45" spans="1:2" x14ac:dyDescent="0.2">
      <c r="A45">
        <v>5</v>
      </c>
      <c r="B45" s="3">
        <v>12.475</v>
      </c>
    </row>
    <row r="46" spans="1:2" x14ac:dyDescent="0.2">
      <c r="A46">
        <v>6</v>
      </c>
      <c r="B46" s="3">
        <v>33</v>
      </c>
    </row>
    <row r="47" spans="1:2" x14ac:dyDescent="0.2">
      <c r="A47">
        <v>6</v>
      </c>
      <c r="B47" s="3">
        <v>12.475</v>
      </c>
    </row>
    <row r="48" spans="1:2" x14ac:dyDescent="0.2">
      <c r="A48">
        <v>6</v>
      </c>
      <c r="B48" s="3">
        <v>31.274999999999999</v>
      </c>
    </row>
    <row r="49" spans="1:2" x14ac:dyDescent="0.2">
      <c r="A49">
        <v>7</v>
      </c>
      <c r="B49" s="3">
        <v>39.6875</v>
      </c>
    </row>
    <row r="50" spans="1:2" x14ac:dyDescent="0.2">
      <c r="A50">
        <v>7</v>
      </c>
      <c r="B50" s="3">
        <v>29.125</v>
      </c>
    </row>
    <row r="51" spans="1:2" x14ac:dyDescent="0.2">
      <c r="A51">
        <v>7</v>
      </c>
      <c r="B51" s="3">
        <v>26.25</v>
      </c>
    </row>
    <row r="52" spans="1:2" x14ac:dyDescent="0.2">
      <c r="A52">
        <v>8</v>
      </c>
      <c r="B52" s="3">
        <v>21.074999999999999</v>
      </c>
    </row>
    <row r="53" spans="1:2" x14ac:dyDescent="0.2">
      <c r="A53">
        <v>8</v>
      </c>
      <c r="B53" s="3">
        <v>26.25</v>
      </c>
    </row>
    <row r="54" spans="1:2" x14ac:dyDescent="0.2">
      <c r="A54">
        <v>8</v>
      </c>
      <c r="B54" s="3">
        <v>36.75</v>
      </c>
    </row>
    <row r="55" spans="1:2" x14ac:dyDescent="0.2">
      <c r="A55">
        <v>8</v>
      </c>
      <c r="B55" s="3">
        <v>29.125</v>
      </c>
    </row>
    <row r="56" spans="1:2" x14ac:dyDescent="0.2">
      <c r="A56">
        <v>9</v>
      </c>
      <c r="B56" s="3">
        <v>34.375</v>
      </c>
    </row>
    <row r="57" spans="1:2" x14ac:dyDescent="0.2">
      <c r="A57">
        <v>9</v>
      </c>
      <c r="B57" s="3">
        <v>20.524999999999999</v>
      </c>
    </row>
    <row r="58" spans="1:2" x14ac:dyDescent="0.2">
      <c r="A58">
        <v>9</v>
      </c>
      <c r="B58" s="3">
        <v>31.387499999999999</v>
      </c>
    </row>
    <row r="59" spans="1:2" x14ac:dyDescent="0.2">
      <c r="A59">
        <v>9</v>
      </c>
      <c r="B59" s="3">
        <v>46.9</v>
      </c>
    </row>
    <row r="60" spans="1:2" x14ac:dyDescent="0.2">
      <c r="A60">
        <v>9</v>
      </c>
      <c r="B60" s="3">
        <v>15.9</v>
      </c>
    </row>
    <row r="61" spans="1:2" x14ac:dyDescent="0.2">
      <c r="A61">
        <v>9</v>
      </c>
      <c r="B61" s="3">
        <v>31.274999999999999</v>
      </c>
    </row>
    <row r="62" spans="1:2" x14ac:dyDescent="0.2">
      <c r="A62">
        <v>9</v>
      </c>
      <c r="B62" s="3">
        <v>27.9</v>
      </c>
    </row>
    <row r="63" spans="1:2" x14ac:dyDescent="0.2">
      <c r="A63">
        <v>9</v>
      </c>
      <c r="B63" s="3">
        <v>15.245799999999999</v>
      </c>
    </row>
    <row r="64" spans="1:2" x14ac:dyDescent="0.2">
      <c r="A64">
        <v>10</v>
      </c>
      <c r="B64" s="3">
        <v>24.15</v>
      </c>
    </row>
    <row r="65" spans="1:2" x14ac:dyDescent="0.2">
      <c r="A65">
        <v>10</v>
      </c>
      <c r="B65" s="3">
        <v>27.9</v>
      </c>
    </row>
    <row r="66" spans="1:2" x14ac:dyDescent="0.2">
      <c r="A66">
        <v>11</v>
      </c>
      <c r="B66" s="3">
        <v>46.9</v>
      </c>
    </row>
    <row r="67" spans="1:2" x14ac:dyDescent="0.2">
      <c r="A67">
        <v>11</v>
      </c>
      <c r="B67" s="3">
        <v>31.274999999999999</v>
      </c>
    </row>
    <row r="68" spans="1:2" x14ac:dyDescent="0.2">
      <c r="A68">
        <v>11</v>
      </c>
      <c r="B68" s="3">
        <v>18.787500000000001</v>
      </c>
    </row>
    <row r="69" spans="1:2" x14ac:dyDescent="0.2">
      <c r="A69">
        <v>11</v>
      </c>
      <c r="B69" s="3">
        <v>120</v>
      </c>
    </row>
    <row r="70" spans="1:2" x14ac:dyDescent="0.2">
      <c r="A70">
        <v>12</v>
      </c>
      <c r="B70" s="3">
        <v>11.2417</v>
      </c>
    </row>
    <row r="71" spans="1:2" x14ac:dyDescent="0.2">
      <c r="A71">
        <v>13</v>
      </c>
      <c r="B71" s="3">
        <v>19.5</v>
      </c>
    </row>
    <row r="72" spans="1:2" x14ac:dyDescent="0.2">
      <c r="A72">
        <v>13</v>
      </c>
      <c r="B72" s="3">
        <v>7.2291999999999996</v>
      </c>
    </row>
    <row r="73" spans="1:2" x14ac:dyDescent="0.2">
      <c r="A73">
        <v>14</v>
      </c>
      <c r="B73" s="3">
        <v>30.070799999999998</v>
      </c>
    </row>
    <row r="74" spans="1:2" x14ac:dyDescent="0.2">
      <c r="A74">
        <v>14</v>
      </c>
      <c r="B74" s="3">
        <v>7.8541999999999996</v>
      </c>
    </row>
    <row r="75" spans="1:2" x14ac:dyDescent="0.2">
      <c r="A75">
        <v>14</v>
      </c>
      <c r="B75" s="3">
        <v>11.2417</v>
      </c>
    </row>
    <row r="76" spans="1:2" x14ac:dyDescent="0.2">
      <c r="A76">
        <v>14</v>
      </c>
      <c r="B76" s="3">
        <v>120</v>
      </c>
    </row>
    <row r="77" spans="1:2" x14ac:dyDescent="0.2">
      <c r="A77">
        <v>14</v>
      </c>
      <c r="B77" s="3">
        <v>46.9</v>
      </c>
    </row>
    <row r="78" spans="1:2" x14ac:dyDescent="0.2">
      <c r="A78">
        <v>14</v>
      </c>
      <c r="B78" s="3">
        <v>39.6875</v>
      </c>
    </row>
    <row r="79" spans="1:2" x14ac:dyDescent="0.2">
      <c r="A79">
        <v>14.5</v>
      </c>
      <c r="B79" s="3">
        <v>14.4542</v>
      </c>
    </row>
    <row r="80" spans="1:2" x14ac:dyDescent="0.2">
      <c r="A80">
        <v>15</v>
      </c>
      <c r="B80" s="3">
        <v>8.0291999999999994</v>
      </c>
    </row>
    <row r="81" spans="1:2" x14ac:dyDescent="0.2">
      <c r="A81">
        <v>15</v>
      </c>
      <c r="B81" s="3">
        <v>7.2291999999999996</v>
      </c>
    </row>
    <row r="82" spans="1:2" x14ac:dyDescent="0.2">
      <c r="A82">
        <v>15</v>
      </c>
      <c r="B82" s="3">
        <v>211.33750000000001</v>
      </c>
    </row>
    <row r="83" spans="1:2" x14ac:dyDescent="0.2">
      <c r="A83">
        <v>15</v>
      </c>
      <c r="B83" s="3">
        <v>14.4542</v>
      </c>
    </row>
    <row r="84" spans="1:2" x14ac:dyDescent="0.2">
      <c r="A84">
        <v>15</v>
      </c>
      <c r="B84" s="3">
        <v>7.2249999999999996</v>
      </c>
    </row>
    <row r="85" spans="1:2" x14ac:dyDescent="0.2">
      <c r="A85">
        <v>16</v>
      </c>
      <c r="B85" s="3">
        <v>46.9</v>
      </c>
    </row>
    <row r="86" spans="1:2" x14ac:dyDescent="0.2">
      <c r="A86">
        <v>16</v>
      </c>
      <c r="B86" s="3">
        <v>34.375</v>
      </c>
    </row>
    <row r="87" spans="1:2" x14ac:dyDescent="0.2">
      <c r="A87">
        <v>16</v>
      </c>
      <c r="B87" s="3">
        <v>9.2166999999999994</v>
      </c>
    </row>
    <row r="88" spans="1:2" x14ac:dyDescent="0.2">
      <c r="A88">
        <v>16</v>
      </c>
      <c r="B88" s="3">
        <v>7.7332999999999998</v>
      </c>
    </row>
    <row r="89" spans="1:2" x14ac:dyDescent="0.2">
      <c r="A89">
        <v>16</v>
      </c>
      <c r="B89" s="3">
        <v>7.75</v>
      </c>
    </row>
    <row r="90" spans="1:2" x14ac:dyDescent="0.2">
      <c r="A90">
        <v>16</v>
      </c>
      <c r="B90" s="3">
        <v>8.0500000000000007</v>
      </c>
    </row>
    <row r="91" spans="1:2" x14ac:dyDescent="0.2">
      <c r="A91">
        <v>16</v>
      </c>
      <c r="B91" s="3">
        <v>39.6875</v>
      </c>
    </row>
    <row r="92" spans="1:2" x14ac:dyDescent="0.2">
      <c r="A92">
        <v>16</v>
      </c>
      <c r="B92" s="3">
        <v>9.5</v>
      </c>
    </row>
    <row r="93" spans="1:2" x14ac:dyDescent="0.2">
      <c r="A93">
        <v>16</v>
      </c>
      <c r="B93" s="3">
        <v>57.979199999999999</v>
      </c>
    </row>
    <row r="94" spans="1:2" x14ac:dyDescent="0.2">
      <c r="A94">
        <v>16</v>
      </c>
      <c r="B94" s="3">
        <v>18</v>
      </c>
    </row>
    <row r="95" spans="1:2" x14ac:dyDescent="0.2">
      <c r="A95">
        <v>16</v>
      </c>
      <c r="B95" s="3">
        <v>86.5</v>
      </c>
    </row>
    <row r="96" spans="1:2" x14ac:dyDescent="0.2">
      <c r="A96">
        <v>16</v>
      </c>
      <c r="B96" s="3">
        <v>8.0500000000000007</v>
      </c>
    </row>
    <row r="97" spans="1:2" x14ac:dyDescent="0.2">
      <c r="A97">
        <v>16</v>
      </c>
      <c r="B97" s="3">
        <v>20.25</v>
      </c>
    </row>
    <row r="98" spans="1:2" x14ac:dyDescent="0.2">
      <c r="A98">
        <v>16</v>
      </c>
      <c r="B98" s="3">
        <v>7.7750000000000004</v>
      </c>
    </row>
    <row r="99" spans="1:2" x14ac:dyDescent="0.2">
      <c r="A99">
        <v>16</v>
      </c>
      <c r="B99" s="3">
        <v>26</v>
      </c>
    </row>
    <row r="100" spans="1:2" x14ac:dyDescent="0.2">
      <c r="A100">
        <v>16</v>
      </c>
      <c r="B100" s="3">
        <v>10.5</v>
      </c>
    </row>
    <row r="101" spans="1:2" x14ac:dyDescent="0.2">
      <c r="A101">
        <v>16</v>
      </c>
      <c r="B101" s="3">
        <v>39.4</v>
      </c>
    </row>
    <row r="102" spans="1:2" x14ac:dyDescent="0.2">
      <c r="A102">
        <v>17</v>
      </c>
      <c r="B102" s="3">
        <v>7.9249999999999998</v>
      </c>
    </row>
    <row r="103" spans="1:2" x14ac:dyDescent="0.2">
      <c r="A103">
        <v>17</v>
      </c>
      <c r="B103" s="3">
        <v>10.5</v>
      </c>
    </row>
    <row r="104" spans="1:2" x14ac:dyDescent="0.2">
      <c r="A104">
        <v>17</v>
      </c>
      <c r="B104" s="3">
        <v>14.458299999999999</v>
      </c>
    </row>
    <row r="105" spans="1:2" x14ac:dyDescent="0.2">
      <c r="A105">
        <v>17</v>
      </c>
      <c r="B105" s="3">
        <v>8.6624999999999996</v>
      </c>
    </row>
    <row r="106" spans="1:2" x14ac:dyDescent="0.2">
      <c r="A106">
        <v>17</v>
      </c>
      <c r="B106" s="3">
        <v>108.9</v>
      </c>
    </row>
    <row r="107" spans="1:2" x14ac:dyDescent="0.2">
      <c r="A107">
        <v>17</v>
      </c>
      <c r="B107" s="3">
        <v>12</v>
      </c>
    </row>
    <row r="108" spans="1:2" x14ac:dyDescent="0.2">
      <c r="A108">
        <v>17</v>
      </c>
      <c r="B108" s="3">
        <v>7.125</v>
      </c>
    </row>
    <row r="109" spans="1:2" x14ac:dyDescent="0.2">
      <c r="A109">
        <v>17</v>
      </c>
      <c r="B109" s="3">
        <v>8.6624999999999996</v>
      </c>
    </row>
    <row r="110" spans="1:2" x14ac:dyDescent="0.2">
      <c r="A110">
        <v>17</v>
      </c>
      <c r="B110" s="3">
        <v>7.2291999999999996</v>
      </c>
    </row>
    <row r="111" spans="1:2" x14ac:dyDescent="0.2">
      <c r="A111">
        <v>17</v>
      </c>
      <c r="B111" s="3">
        <v>110.88330000000001</v>
      </c>
    </row>
    <row r="112" spans="1:2" x14ac:dyDescent="0.2">
      <c r="A112">
        <v>17</v>
      </c>
      <c r="B112" s="3">
        <v>7.0541999999999998</v>
      </c>
    </row>
    <row r="113" spans="1:2" x14ac:dyDescent="0.2">
      <c r="A113">
        <v>17</v>
      </c>
      <c r="B113" s="3">
        <v>57</v>
      </c>
    </row>
    <row r="114" spans="1:2" x14ac:dyDescent="0.2">
      <c r="A114">
        <v>17</v>
      </c>
      <c r="B114" s="3">
        <v>8.6624999999999996</v>
      </c>
    </row>
    <row r="115" spans="1:2" x14ac:dyDescent="0.2">
      <c r="A115">
        <v>18</v>
      </c>
      <c r="B115" s="3">
        <v>18</v>
      </c>
    </row>
    <row r="116" spans="1:2" x14ac:dyDescent="0.2">
      <c r="A116">
        <v>18</v>
      </c>
      <c r="B116" s="3">
        <v>17.8</v>
      </c>
    </row>
    <row r="117" spans="1:2" x14ac:dyDescent="0.2">
      <c r="A117">
        <v>18</v>
      </c>
      <c r="B117" s="3">
        <v>11.5</v>
      </c>
    </row>
    <row r="118" spans="1:2" x14ac:dyDescent="0.2">
      <c r="A118">
        <v>18</v>
      </c>
      <c r="B118" s="3">
        <v>7.8541999999999996</v>
      </c>
    </row>
    <row r="119" spans="1:2" x14ac:dyDescent="0.2">
      <c r="A119">
        <v>18</v>
      </c>
      <c r="B119" s="3">
        <v>8.0500000000000007</v>
      </c>
    </row>
    <row r="120" spans="1:2" x14ac:dyDescent="0.2">
      <c r="A120">
        <v>18</v>
      </c>
      <c r="B120" s="3">
        <v>13</v>
      </c>
    </row>
    <row r="121" spans="1:2" x14ac:dyDescent="0.2">
      <c r="A121">
        <v>18</v>
      </c>
      <c r="B121" s="3">
        <v>262.375</v>
      </c>
    </row>
    <row r="122" spans="1:2" x14ac:dyDescent="0.2">
      <c r="A122">
        <v>18</v>
      </c>
      <c r="B122" s="3">
        <v>6.4958</v>
      </c>
    </row>
    <row r="123" spans="1:2" x14ac:dyDescent="0.2">
      <c r="A123">
        <v>18</v>
      </c>
      <c r="B123" s="3">
        <v>73.5</v>
      </c>
    </row>
    <row r="124" spans="1:2" x14ac:dyDescent="0.2">
      <c r="A124">
        <v>18</v>
      </c>
      <c r="B124" s="3">
        <v>13</v>
      </c>
    </row>
    <row r="125" spans="1:2" x14ac:dyDescent="0.2">
      <c r="A125">
        <v>18</v>
      </c>
      <c r="B125" s="3">
        <v>20.212499999999999</v>
      </c>
    </row>
    <row r="126" spans="1:2" x14ac:dyDescent="0.2">
      <c r="A126">
        <v>18</v>
      </c>
      <c r="B126" s="3">
        <v>108.9</v>
      </c>
    </row>
    <row r="127" spans="1:2" x14ac:dyDescent="0.2">
      <c r="A127">
        <v>18</v>
      </c>
      <c r="B127" s="3">
        <v>79.650000000000006</v>
      </c>
    </row>
    <row r="128" spans="1:2" x14ac:dyDescent="0.2">
      <c r="A128">
        <v>18</v>
      </c>
      <c r="B128" s="3">
        <v>23</v>
      </c>
    </row>
    <row r="129" spans="1:2" x14ac:dyDescent="0.2">
      <c r="A129">
        <v>18</v>
      </c>
      <c r="B129" s="3">
        <v>6.75</v>
      </c>
    </row>
    <row r="130" spans="1:2" x14ac:dyDescent="0.2">
      <c r="A130">
        <v>18</v>
      </c>
      <c r="B130" s="3">
        <v>7.7750000000000004</v>
      </c>
    </row>
    <row r="131" spans="1:2" x14ac:dyDescent="0.2">
      <c r="A131">
        <v>18</v>
      </c>
      <c r="B131" s="3">
        <v>9.8416999999999994</v>
      </c>
    </row>
    <row r="132" spans="1:2" x14ac:dyDescent="0.2">
      <c r="A132">
        <v>18</v>
      </c>
      <c r="B132" s="3">
        <v>7.7957999999999998</v>
      </c>
    </row>
    <row r="133" spans="1:2" x14ac:dyDescent="0.2">
      <c r="A133">
        <v>18</v>
      </c>
      <c r="B133" s="3">
        <v>227.52500000000001</v>
      </c>
    </row>
    <row r="134" spans="1:2" x14ac:dyDescent="0.2">
      <c r="A134">
        <v>18</v>
      </c>
      <c r="B134" s="3">
        <v>14.4542</v>
      </c>
    </row>
    <row r="135" spans="1:2" x14ac:dyDescent="0.2">
      <c r="A135">
        <v>18</v>
      </c>
      <c r="B135" s="3">
        <v>11.5</v>
      </c>
    </row>
    <row r="136" spans="1:2" x14ac:dyDescent="0.2">
      <c r="A136">
        <v>18</v>
      </c>
      <c r="B136" s="3">
        <v>7.75</v>
      </c>
    </row>
    <row r="137" spans="1:2" x14ac:dyDescent="0.2">
      <c r="A137">
        <v>18</v>
      </c>
      <c r="B137" s="3">
        <v>7.4958</v>
      </c>
    </row>
    <row r="138" spans="1:2" x14ac:dyDescent="0.2">
      <c r="A138">
        <v>18</v>
      </c>
      <c r="B138" s="3">
        <v>7.7750000000000004</v>
      </c>
    </row>
    <row r="139" spans="1:2" x14ac:dyDescent="0.2">
      <c r="A139">
        <v>18</v>
      </c>
      <c r="B139" s="3">
        <v>8.3000000000000007</v>
      </c>
    </row>
    <row r="140" spans="1:2" x14ac:dyDescent="0.2">
      <c r="A140">
        <v>18</v>
      </c>
      <c r="B140" s="3">
        <v>9.35</v>
      </c>
    </row>
    <row r="141" spans="1:2" x14ac:dyDescent="0.2">
      <c r="A141">
        <v>19</v>
      </c>
      <c r="B141" s="3">
        <v>263</v>
      </c>
    </row>
    <row r="142" spans="1:2" x14ac:dyDescent="0.2">
      <c r="A142">
        <v>19</v>
      </c>
      <c r="B142" s="3">
        <v>7.8792</v>
      </c>
    </row>
    <row r="143" spans="1:2" x14ac:dyDescent="0.2">
      <c r="A143">
        <v>19</v>
      </c>
      <c r="B143" s="3">
        <v>8.1583000000000006</v>
      </c>
    </row>
    <row r="144" spans="1:2" x14ac:dyDescent="0.2">
      <c r="A144">
        <v>19</v>
      </c>
      <c r="B144" s="3">
        <v>26.283300000000001</v>
      </c>
    </row>
    <row r="145" spans="1:2" x14ac:dyDescent="0.2">
      <c r="A145">
        <v>19</v>
      </c>
      <c r="B145" s="3">
        <v>6.75</v>
      </c>
    </row>
    <row r="146" spans="1:2" x14ac:dyDescent="0.2">
      <c r="A146">
        <v>19</v>
      </c>
      <c r="B146" s="3">
        <v>36.75</v>
      </c>
    </row>
    <row r="147" spans="1:2" x14ac:dyDescent="0.2">
      <c r="A147">
        <v>19</v>
      </c>
      <c r="B147" s="3">
        <v>13</v>
      </c>
    </row>
    <row r="148" spans="1:2" x14ac:dyDescent="0.2">
      <c r="A148">
        <v>19</v>
      </c>
      <c r="B148" s="3">
        <v>7.8541999999999996</v>
      </c>
    </row>
    <row r="149" spans="1:2" x14ac:dyDescent="0.2">
      <c r="A149">
        <v>19</v>
      </c>
      <c r="B149" s="3">
        <v>10.5</v>
      </c>
    </row>
    <row r="150" spans="1:2" x14ac:dyDescent="0.2">
      <c r="A150">
        <v>19</v>
      </c>
      <c r="B150" s="3">
        <v>10.5</v>
      </c>
    </row>
    <row r="151" spans="1:2" x14ac:dyDescent="0.2">
      <c r="A151">
        <v>19</v>
      </c>
      <c r="B151" s="3">
        <v>8.0500000000000007</v>
      </c>
    </row>
    <row r="152" spans="1:2" x14ac:dyDescent="0.2">
      <c r="A152">
        <v>19</v>
      </c>
      <c r="B152" s="3">
        <v>91.0792</v>
      </c>
    </row>
    <row r="153" spans="1:2" x14ac:dyDescent="0.2">
      <c r="A153">
        <v>19</v>
      </c>
      <c r="B153" s="3">
        <v>0</v>
      </c>
    </row>
    <row r="154" spans="1:2" x14ac:dyDescent="0.2">
      <c r="A154">
        <v>19</v>
      </c>
      <c r="B154" s="3">
        <v>8.0500000000000007</v>
      </c>
    </row>
    <row r="155" spans="1:2" x14ac:dyDescent="0.2">
      <c r="A155">
        <v>19</v>
      </c>
      <c r="B155" s="3">
        <v>7.7750000000000004</v>
      </c>
    </row>
    <row r="156" spans="1:2" x14ac:dyDescent="0.2">
      <c r="A156">
        <v>19</v>
      </c>
      <c r="B156" s="3">
        <v>26</v>
      </c>
    </row>
    <row r="157" spans="1:2" x14ac:dyDescent="0.2">
      <c r="A157">
        <v>19</v>
      </c>
      <c r="B157" s="3">
        <v>26</v>
      </c>
    </row>
    <row r="158" spans="1:2" x14ac:dyDescent="0.2">
      <c r="A158">
        <v>19</v>
      </c>
      <c r="B158" s="3">
        <v>7.8958000000000004</v>
      </c>
    </row>
    <row r="159" spans="1:2" x14ac:dyDescent="0.2">
      <c r="A159">
        <v>19</v>
      </c>
      <c r="B159" s="3">
        <v>14.5</v>
      </c>
    </row>
    <row r="160" spans="1:2" x14ac:dyDescent="0.2">
      <c r="A160">
        <v>19</v>
      </c>
      <c r="B160" s="3">
        <v>7.8958000000000004</v>
      </c>
    </row>
    <row r="161" spans="1:2" x14ac:dyDescent="0.2">
      <c r="A161">
        <v>19</v>
      </c>
      <c r="B161" s="3">
        <v>10.1708</v>
      </c>
    </row>
    <row r="162" spans="1:2" x14ac:dyDescent="0.2">
      <c r="A162">
        <v>19</v>
      </c>
      <c r="B162" s="3">
        <v>7.65</v>
      </c>
    </row>
    <row r="163" spans="1:2" x14ac:dyDescent="0.2">
      <c r="A163">
        <v>19</v>
      </c>
      <c r="B163" s="3">
        <v>53.1</v>
      </c>
    </row>
    <row r="164" spans="1:2" x14ac:dyDescent="0.2">
      <c r="A164">
        <v>19</v>
      </c>
      <c r="B164" s="3">
        <v>7.8958000000000004</v>
      </c>
    </row>
    <row r="165" spans="1:2" x14ac:dyDescent="0.2">
      <c r="A165">
        <v>19</v>
      </c>
      <c r="B165" s="3">
        <v>30</v>
      </c>
    </row>
    <row r="166" spans="1:2" x14ac:dyDescent="0.2">
      <c r="A166">
        <v>20</v>
      </c>
      <c r="B166" s="3">
        <v>8.0500000000000007</v>
      </c>
    </row>
    <row r="167" spans="1:2" x14ac:dyDescent="0.2">
      <c r="A167">
        <v>20</v>
      </c>
      <c r="B167" s="3">
        <v>7.8541999999999996</v>
      </c>
    </row>
    <row r="168" spans="1:2" x14ac:dyDescent="0.2">
      <c r="A168">
        <v>20</v>
      </c>
      <c r="B168" s="3">
        <v>9.8249999999999993</v>
      </c>
    </row>
    <row r="169" spans="1:2" x14ac:dyDescent="0.2">
      <c r="A169">
        <v>20</v>
      </c>
      <c r="B169" s="3">
        <v>7.05</v>
      </c>
    </row>
    <row r="170" spans="1:2" x14ac:dyDescent="0.2">
      <c r="A170">
        <v>20</v>
      </c>
      <c r="B170" s="3">
        <v>4.0125000000000002</v>
      </c>
    </row>
    <row r="171" spans="1:2" x14ac:dyDescent="0.2">
      <c r="A171">
        <v>20</v>
      </c>
      <c r="B171" s="3">
        <v>8.6624999999999996</v>
      </c>
    </row>
    <row r="172" spans="1:2" x14ac:dyDescent="0.2">
      <c r="A172">
        <v>20</v>
      </c>
      <c r="B172" s="3">
        <v>9.5</v>
      </c>
    </row>
    <row r="173" spans="1:2" x14ac:dyDescent="0.2">
      <c r="A173">
        <v>20</v>
      </c>
      <c r="B173" s="3">
        <v>15.7417</v>
      </c>
    </row>
    <row r="174" spans="1:2" x14ac:dyDescent="0.2">
      <c r="A174">
        <v>20</v>
      </c>
      <c r="B174" s="3">
        <v>7.8541999999999996</v>
      </c>
    </row>
    <row r="175" spans="1:2" x14ac:dyDescent="0.2">
      <c r="A175">
        <v>20</v>
      </c>
      <c r="B175" s="3">
        <v>7.9249999999999998</v>
      </c>
    </row>
    <row r="176" spans="1:2" x14ac:dyDescent="0.2">
      <c r="A176">
        <v>20</v>
      </c>
      <c r="B176" s="3">
        <v>9.2249999999999996</v>
      </c>
    </row>
    <row r="177" spans="1:2" x14ac:dyDescent="0.2">
      <c r="A177">
        <v>20</v>
      </c>
      <c r="B177" s="3">
        <v>8.6624999999999996</v>
      </c>
    </row>
    <row r="178" spans="1:2" x14ac:dyDescent="0.2">
      <c r="A178">
        <v>20</v>
      </c>
      <c r="B178" s="3">
        <v>7.2291999999999996</v>
      </c>
    </row>
    <row r="179" spans="1:2" x14ac:dyDescent="0.2">
      <c r="A179">
        <v>20</v>
      </c>
      <c r="B179" s="3">
        <v>7.9249999999999998</v>
      </c>
    </row>
    <row r="180" spans="1:2" x14ac:dyDescent="0.2">
      <c r="A180">
        <v>20</v>
      </c>
      <c r="B180" s="3">
        <v>9.8458000000000006</v>
      </c>
    </row>
    <row r="181" spans="1:2" x14ac:dyDescent="0.2">
      <c r="A181">
        <v>20.5</v>
      </c>
      <c r="B181" s="3">
        <v>7.25</v>
      </c>
    </row>
    <row r="182" spans="1:2" x14ac:dyDescent="0.2">
      <c r="A182">
        <v>21</v>
      </c>
      <c r="B182" s="3">
        <v>8.0500000000000007</v>
      </c>
    </row>
    <row r="183" spans="1:2" x14ac:dyDescent="0.2">
      <c r="A183">
        <v>21</v>
      </c>
      <c r="B183" s="3">
        <v>7.8</v>
      </c>
    </row>
    <row r="184" spans="1:2" x14ac:dyDescent="0.2">
      <c r="A184">
        <v>21</v>
      </c>
      <c r="B184" s="3">
        <v>10.5</v>
      </c>
    </row>
    <row r="185" spans="1:2" x14ac:dyDescent="0.2">
      <c r="A185">
        <v>21</v>
      </c>
      <c r="B185" s="3">
        <v>73.5</v>
      </c>
    </row>
    <row r="186" spans="1:2" x14ac:dyDescent="0.2">
      <c r="A186">
        <v>21</v>
      </c>
      <c r="B186" s="3">
        <v>77.287499999999994</v>
      </c>
    </row>
    <row r="187" spans="1:2" x14ac:dyDescent="0.2">
      <c r="A187">
        <v>21</v>
      </c>
      <c r="B187" s="3">
        <v>7.65</v>
      </c>
    </row>
    <row r="188" spans="1:2" x14ac:dyDescent="0.2">
      <c r="A188">
        <v>21</v>
      </c>
      <c r="B188" s="3">
        <v>7.9249999999999998</v>
      </c>
    </row>
    <row r="189" spans="1:2" x14ac:dyDescent="0.2">
      <c r="A189">
        <v>21</v>
      </c>
      <c r="B189" s="3">
        <v>73.5</v>
      </c>
    </row>
    <row r="190" spans="1:2" x14ac:dyDescent="0.2">
      <c r="A190">
        <v>21</v>
      </c>
      <c r="B190" s="3">
        <v>7.9249999999999998</v>
      </c>
    </row>
    <row r="191" spans="1:2" x14ac:dyDescent="0.2">
      <c r="A191">
        <v>21</v>
      </c>
      <c r="B191" s="3">
        <v>7.7957999999999998</v>
      </c>
    </row>
    <row r="192" spans="1:2" x14ac:dyDescent="0.2">
      <c r="A192">
        <v>21</v>
      </c>
      <c r="B192" s="3">
        <v>9.8249999999999993</v>
      </c>
    </row>
    <row r="193" spans="1:2" x14ac:dyDescent="0.2">
      <c r="A193">
        <v>21</v>
      </c>
      <c r="B193" s="3">
        <v>7.7750000000000004</v>
      </c>
    </row>
    <row r="194" spans="1:2" x14ac:dyDescent="0.2">
      <c r="A194">
        <v>21</v>
      </c>
      <c r="B194" s="3">
        <v>7.7332999999999998</v>
      </c>
    </row>
    <row r="195" spans="1:2" x14ac:dyDescent="0.2">
      <c r="A195">
        <v>21</v>
      </c>
      <c r="B195" s="3">
        <v>34.375</v>
      </c>
    </row>
    <row r="196" spans="1:2" x14ac:dyDescent="0.2">
      <c r="A196">
        <v>21</v>
      </c>
      <c r="B196" s="3">
        <v>7.25</v>
      </c>
    </row>
    <row r="197" spans="1:2" x14ac:dyDescent="0.2">
      <c r="A197">
        <v>21</v>
      </c>
      <c r="B197" s="3">
        <v>8.0500000000000007</v>
      </c>
    </row>
    <row r="198" spans="1:2" x14ac:dyDescent="0.2">
      <c r="A198">
        <v>21</v>
      </c>
      <c r="B198" s="3">
        <v>7.75</v>
      </c>
    </row>
    <row r="199" spans="1:2" x14ac:dyDescent="0.2">
      <c r="A199">
        <v>21</v>
      </c>
      <c r="B199" s="3">
        <v>7.8541999999999996</v>
      </c>
    </row>
    <row r="200" spans="1:2" x14ac:dyDescent="0.2">
      <c r="A200">
        <v>21</v>
      </c>
      <c r="B200" s="3">
        <v>16.100000000000001</v>
      </c>
    </row>
    <row r="201" spans="1:2" x14ac:dyDescent="0.2">
      <c r="A201">
        <v>21</v>
      </c>
      <c r="B201" s="3">
        <v>77.958299999999994</v>
      </c>
    </row>
    <row r="202" spans="1:2" x14ac:dyDescent="0.2">
      <c r="A202">
        <v>21</v>
      </c>
      <c r="B202" s="3">
        <v>8.4332999999999991</v>
      </c>
    </row>
    <row r="203" spans="1:2" x14ac:dyDescent="0.2">
      <c r="A203">
        <v>21</v>
      </c>
      <c r="B203" s="3">
        <v>262.375</v>
      </c>
    </row>
    <row r="204" spans="1:2" x14ac:dyDescent="0.2">
      <c r="A204">
        <v>21</v>
      </c>
      <c r="B204" s="3">
        <v>8.6624999999999996</v>
      </c>
    </row>
    <row r="205" spans="1:2" x14ac:dyDescent="0.2">
      <c r="A205">
        <v>21</v>
      </c>
      <c r="B205" s="3">
        <v>11.5</v>
      </c>
    </row>
    <row r="206" spans="1:2" x14ac:dyDescent="0.2">
      <c r="A206">
        <v>22</v>
      </c>
      <c r="B206" s="3">
        <v>7.25</v>
      </c>
    </row>
    <row r="207" spans="1:2" x14ac:dyDescent="0.2">
      <c r="A207">
        <v>22</v>
      </c>
      <c r="B207" s="3">
        <v>7.2291999999999996</v>
      </c>
    </row>
    <row r="208" spans="1:2" x14ac:dyDescent="0.2">
      <c r="A208">
        <v>22</v>
      </c>
      <c r="B208" s="3">
        <v>9</v>
      </c>
    </row>
    <row r="209" spans="1:2" x14ac:dyDescent="0.2">
      <c r="A209">
        <v>22</v>
      </c>
      <c r="B209" s="3">
        <v>8.0500000000000007</v>
      </c>
    </row>
    <row r="210" spans="1:2" x14ac:dyDescent="0.2">
      <c r="A210">
        <v>22</v>
      </c>
      <c r="B210" s="3">
        <v>7.75</v>
      </c>
    </row>
    <row r="211" spans="1:2" x14ac:dyDescent="0.2">
      <c r="A211">
        <v>22</v>
      </c>
      <c r="B211" s="3">
        <v>66.599999999999994</v>
      </c>
    </row>
    <row r="212" spans="1:2" x14ac:dyDescent="0.2">
      <c r="A212">
        <v>22</v>
      </c>
      <c r="B212" s="3">
        <v>7.25</v>
      </c>
    </row>
    <row r="213" spans="1:2" x14ac:dyDescent="0.2">
      <c r="A213">
        <v>22</v>
      </c>
      <c r="B213" s="3">
        <v>9.35</v>
      </c>
    </row>
    <row r="214" spans="1:2" x14ac:dyDescent="0.2">
      <c r="A214">
        <v>22</v>
      </c>
      <c r="B214" s="3">
        <v>7.125</v>
      </c>
    </row>
    <row r="215" spans="1:2" x14ac:dyDescent="0.2">
      <c r="A215">
        <v>22</v>
      </c>
      <c r="B215" s="3">
        <v>7.8958000000000004</v>
      </c>
    </row>
    <row r="216" spans="1:2" x14ac:dyDescent="0.2">
      <c r="A216">
        <v>22</v>
      </c>
      <c r="B216" s="3">
        <v>7.75</v>
      </c>
    </row>
    <row r="217" spans="1:2" x14ac:dyDescent="0.2">
      <c r="A217">
        <v>22</v>
      </c>
      <c r="B217" s="3">
        <v>7.25</v>
      </c>
    </row>
    <row r="218" spans="1:2" x14ac:dyDescent="0.2">
      <c r="A218">
        <v>22</v>
      </c>
      <c r="B218" s="3">
        <v>29</v>
      </c>
    </row>
    <row r="219" spans="1:2" x14ac:dyDescent="0.2">
      <c r="A219">
        <v>22</v>
      </c>
      <c r="B219" s="3">
        <v>55</v>
      </c>
    </row>
    <row r="220" spans="1:2" x14ac:dyDescent="0.2">
      <c r="A220">
        <v>22</v>
      </c>
      <c r="B220" s="3">
        <v>135.63329999999999</v>
      </c>
    </row>
    <row r="221" spans="1:2" x14ac:dyDescent="0.2">
      <c r="A221">
        <v>22</v>
      </c>
      <c r="B221" s="3">
        <v>7.25</v>
      </c>
    </row>
    <row r="222" spans="1:2" x14ac:dyDescent="0.2">
      <c r="A222">
        <v>22</v>
      </c>
      <c r="B222" s="3">
        <v>7.7957999999999998</v>
      </c>
    </row>
    <row r="223" spans="1:2" x14ac:dyDescent="0.2">
      <c r="A223">
        <v>22</v>
      </c>
      <c r="B223" s="3">
        <v>9.8375000000000004</v>
      </c>
    </row>
    <row r="224" spans="1:2" x14ac:dyDescent="0.2">
      <c r="A224">
        <v>22</v>
      </c>
      <c r="B224" s="3">
        <v>7.5208000000000004</v>
      </c>
    </row>
    <row r="225" spans="1:2" x14ac:dyDescent="0.2">
      <c r="A225">
        <v>22</v>
      </c>
      <c r="B225" s="3">
        <v>7.8958000000000004</v>
      </c>
    </row>
    <row r="226" spans="1:2" x14ac:dyDescent="0.2">
      <c r="A226">
        <v>22</v>
      </c>
      <c r="B226" s="3">
        <v>49.5</v>
      </c>
    </row>
    <row r="227" spans="1:2" x14ac:dyDescent="0.2">
      <c r="A227">
        <v>22</v>
      </c>
      <c r="B227" s="3">
        <v>7.2249999999999996</v>
      </c>
    </row>
    <row r="228" spans="1:2" x14ac:dyDescent="0.2">
      <c r="A228">
        <v>22</v>
      </c>
      <c r="B228" s="3">
        <v>7.7750000000000004</v>
      </c>
    </row>
    <row r="229" spans="1:2" x14ac:dyDescent="0.2">
      <c r="A229">
        <v>22</v>
      </c>
      <c r="B229" s="3">
        <v>8.0500000000000007</v>
      </c>
    </row>
    <row r="230" spans="1:2" x14ac:dyDescent="0.2">
      <c r="A230">
        <v>22</v>
      </c>
      <c r="B230" s="3">
        <v>41.5792</v>
      </c>
    </row>
    <row r="231" spans="1:2" x14ac:dyDescent="0.2">
      <c r="A231">
        <v>22</v>
      </c>
      <c r="B231" s="3">
        <v>151.55000000000001</v>
      </c>
    </row>
    <row r="232" spans="1:2" x14ac:dyDescent="0.2">
      <c r="A232">
        <v>22</v>
      </c>
      <c r="B232" s="3">
        <v>10.5167</v>
      </c>
    </row>
    <row r="233" spans="1:2" x14ac:dyDescent="0.2">
      <c r="A233">
        <v>23</v>
      </c>
      <c r="B233" s="3">
        <v>263</v>
      </c>
    </row>
    <row r="234" spans="1:2" x14ac:dyDescent="0.2">
      <c r="A234">
        <v>23</v>
      </c>
      <c r="B234" s="3">
        <v>63.3583</v>
      </c>
    </row>
    <row r="235" spans="1:2" x14ac:dyDescent="0.2">
      <c r="A235">
        <v>23</v>
      </c>
      <c r="B235" s="3">
        <v>15.0458</v>
      </c>
    </row>
    <row r="236" spans="1:2" x14ac:dyDescent="0.2">
      <c r="A236">
        <v>23</v>
      </c>
      <c r="B236" s="3">
        <v>9.2249999999999996</v>
      </c>
    </row>
    <row r="237" spans="1:2" x14ac:dyDescent="0.2">
      <c r="A237">
        <v>23</v>
      </c>
      <c r="B237" s="3">
        <v>113.27500000000001</v>
      </c>
    </row>
    <row r="238" spans="1:2" x14ac:dyDescent="0.2">
      <c r="A238">
        <v>23</v>
      </c>
      <c r="B238" s="3">
        <v>10.5</v>
      </c>
    </row>
    <row r="239" spans="1:2" x14ac:dyDescent="0.2">
      <c r="A239">
        <v>23</v>
      </c>
      <c r="B239" s="3">
        <v>13.791700000000001</v>
      </c>
    </row>
    <row r="240" spans="1:2" x14ac:dyDescent="0.2">
      <c r="A240">
        <v>23</v>
      </c>
      <c r="B240" s="3">
        <v>11.5</v>
      </c>
    </row>
    <row r="241" spans="1:2" x14ac:dyDescent="0.2">
      <c r="A241">
        <v>23</v>
      </c>
      <c r="B241" s="3">
        <v>7.55</v>
      </c>
    </row>
    <row r="242" spans="1:2" x14ac:dyDescent="0.2">
      <c r="A242">
        <v>23</v>
      </c>
      <c r="B242" s="3">
        <v>13</v>
      </c>
    </row>
    <row r="243" spans="1:2" x14ac:dyDescent="0.2">
      <c r="A243">
        <v>23</v>
      </c>
      <c r="B243" s="3">
        <v>13</v>
      </c>
    </row>
    <row r="244" spans="1:2" x14ac:dyDescent="0.2">
      <c r="A244">
        <v>23</v>
      </c>
      <c r="B244" s="3">
        <v>13</v>
      </c>
    </row>
    <row r="245" spans="1:2" x14ac:dyDescent="0.2">
      <c r="A245">
        <v>23</v>
      </c>
      <c r="B245" s="3">
        <v>7.8958000000000004</v>
      </c>
    </row>
    <row r="246" spans="1:2" x14ac:dyDescent="0.2">
      <c r="A246">
        <v>23</v>
      </c>
      <c r="B246" s="3">
        <v>7.9249999999999998</v>
      </c>
    </row>
    <row r="247" spans="1:2" x14ac:dyDescent="0.2">
      <c r="A247">
        <v>23</v>
      </c>
      <c r="B247" s="3">
        <v>7.8541999999999996</v>
      </c>
    </row>
    <row r="248" spans="1:2" x14ac:dyDescent="0.2">
      <c r="A248">
        <v>23.5</v>
      </c>
      <c r="B248" s="3">
        <v>7.2291999999999996</v>
      </c>
    </row>
    <row r="249" spans="1:2" x14ac:dyDescent="0.2">
      <c r="A249">
        <v>24</v>
      </c>
      <c r="B249" s="3">
        <v>8.0500000000000007</v>
      </c>
    </row>
    <row r="250" spans="1:2" x14ac:dyDescent="0.2">
      <c r="A250">
        <v>24</v>
      </c>
      <c r="B250" s="3">
        <v>247.52080000000001</v>
      </c>
    </row>
    <row r="251" spans="1:2" x14ac:dyDescent="0.2">
      <c r="A251">
        <v>24</v>
      </c>
      <c r="B251" s="3">
        <v>7.1417000000000002</v>
      </c>
    </row>
    <row r="252" spans="1:2" x14ac:dyDescent="0.2">
      <c r="A252">
        <v>24</v>
      </c>
      <c r="B252" s="3">
        <v>79.2</v>
      </c>
    </row>
    <row r="253" spans="1:2" x14ac:dyDescent="0.2">
      <c r="A253">
        <v>24</v>
      </c>
      <c r="B253" s="3">
        <v>15.85</v>
      </c>
    </row>
    <row r="254" spans="1:2" x14ac:dyDescent="0.2">
      <c r="A254">
        <v>24</v>
      </c>
      <c r="B254" s="3">
        <v>13</v>
      </c>
    </row>
    <row r="255" spans="1:2" x14ac:dyDescent="0.2">
      <c r="A255">
        <v>24</v>
      </c>
      <c r="B255" s="3">
        <v>7.05</v>
      </c>
    </row>
    <row r="256" spans="1:2" x14ac:dyDescent="0.2">
      <c r="A256">
        <v>24</v>
      </c>
      <c r="B256" s="3">
        <v>10.5</v>
      </c>
    </row>
    <row r="257" spans="1:2" x14ac:dyDescent="0.2">
      <c r="A257">
        <v>24</v>
      </c>
      <c r="B257" s="3">
        <v>14.5</v>
      </c>
    </row>
    <row r="258" spans="1:2" x14ac:dyDescent="0.2">
      <c r="A258">
        <v>24</v>
      </c>
      <c r="B258" s="3">
        <v>8.85</v>
      </c>
    </row>
    <row r="259" spans="1:2" x14ac:dyDescent="0.2">
      <c r="A259">
        <v>24</v>
      </c>
      <c r="B259" s="3">
        <v>7.8958000000000004</v>
      </c>
    </row>
    <row r="260" spans="1:2" x14ac:dyDescent="0.2">
      <c r="A260">
        <v>24</v>
      </c>
      <c r="B260" s="3">
        <v>83.158299999999997</v>
      </c>
    </row>
    <row r="261" spans="1:2" x14ac:dyDescent="0.2">
      <c r="A261">
        <v>24</v>
      </c>
      <c r="B261" s="3">
        <v>26</v>
      </c>
    </row>
    <row r="262" spans="1:2" x14ac:dyDescent="0.2">
      <c r="A262">
        <v>24</v>
      </c>
      <c r="B262" s="3">
        <v>263</v>
      </c>
    </row>
    <row r="263" spans="1:2" x14ac:dyDescent="0.2">
      <c r="A263">
        <v>24</v>
      </c>
      <c r="B263" s="3">
        <v>13</v>
      </c>
    </row>
    <row r="264" spans="1:2" x14ac:dyDescent="0.2">
      <c r="A264">
        <v>24</v>
      </c>
      <c r="B264" s="3">
        <v>69.3</v>
      </c>
    </row>
    <row r="265" spans="1:2" x14ac:dyDescent="0.2">
      <c r="A265">
        <v>24</v>
      </c>
      <c r="B265" s="3">
        <v>16.7</v>
      </c>
    </row>
    <row r="266" spans="1:2" x14ac:dyDescent="0.2">
      <c r="A266">
        <v>24</v>
      </c>
      <c r="B266" s="3">
        <v>18.75</v>
      </c>
    </row>
    <row r="267" spans="1:2" x14ac:dyDescent="0.2">
      <c r="A267">
        <v>24</v>
      </c>
      <c r="B267" s="3">
        <v>7.7957999999999998</v>
      </c>
    </row>
    <row r="268" spans="1:2" x14ac:dyDescent="0.2">
      <c r="A268">
        <v>24</v>
      </c>
      <c r="B268" s="3">
        <v>7.4958</v>
      </c>
    </row>
    <row r="269" spans="1:2" x14ac:dyDescent="0.2">
      <c r="A269">
        <v>24</v>
      </c>
      <c r="B269" s="3">
        <v>24.15</v>
      </c>
    </row>
    <row r="270" spans="1:2" x14ac:dyDescent="0.2">
      <c r="A270">
        <v>24</v>
      </c>
      <c r="B270" s="3">
        <v>27</v>
      </c>
    </row>
    <row r="271" spans="1:2" x14ac:dyDescent="0.2">
      <c r="A271">
        <v>24</v>
      </c>
      <c r="B271" s="3">
        <v>65</v>
      </c>
    </row>
    <row r="272" spans="1:2" x14ac:dyDescent="0.2">
      <c r="A272">
        <v>24</v>
      </c>
      <c r="B272" s="3">
        <v>69.3</v>
      </c>
    </row>
    <row r="273" spans="1:2" x14ac:dyDescent="0.2">
      <c r="A273">
        <v>24</v>
      </c>
      <c r="B273" s="3">
        <v>73.5</v>
      </c>
    </row>
    <row r="274" spans="1:2" x14ac:dyDescent="0.2">
      <c r="A274">
        <v>24</v>
      </c>
      <c r="B274" s="3">
        <v>49.504199999999997</v>
      </c>
    </row>
    <row r="275" spans="1:2" x14ac:dyDescent="0.2">
      <c r="A275">
        <v>24</v>
      </c>
      <c r="B275" s="3">
        <v>16.100000000000001</v>
      </c>
    </row>
    <row r="276" spans="1:2" x14ac:dyDescent="0.2">
      <c r="A276">
        <v>24</v>
      </c>
      <c r="B276" s="3">
        <v>9.5</v>
      </c>
    </row>
    <row r="277" spans="1:2" x14ac:dyDescent="0.2">
      <c r="A277">
        <v>24</v>
      </c>
      <c r="B277" s="3">
        <v>19.258299999999998</v>
      </c>
    </row>
    <row r="278" spans="1:2" x14ac:dyDescent="0.2">
      <c r="A278">
        <v>24</v>
      </c>
      <c r="B278" s="3">
        <v>13</v>
      </c>
    </row>
    <row r="279" spans="1:2" x14ac:dyDescent="0.2">
      <c r="A279">
        <v>24.5</v>
      </c>
      <c r="B279" s="3">
        <v>8.0500000000000007</v>
      </c>
    </row>
    <row r="280" spans="1:2" x14ac:dyDescent="0.2">
      <c r="A280">
        <v>25</v>
      </c>
      <c r="B280" s="3">
        <v>7.65</v>
      </c>
    </row>
    <row r="281" spans="1:2" x14ac:dyDescent="0.2">
      <c r="A281">
        <v>25</v>
      </c>
      <c r="B281" s="3">
        <v>13</v>
      </c>
    </row>
    <row r="282" spans="1:2" x14ac:dyDescent="0.2">
      <c r="A282">
        <v>25</v>
      </c>
      <c r="B282" s="3">
        <v>7.7750000000000004</v>
      </c>
    </row>
    <row r="283" spans="1:2" x14ac:dyDescent="0.2">
      <c r="A283">
        <v>25</v>
      </c>
      <c r="B283" s="3">
        <v>7.7750000000000004</v>
      </c>
    </row>
    <row r="284" spans="1:2" x14ac:dyDescent="0.2">
      <c r="A284">
        <v>25</v>
      </c>
      <c r="B284" s="3">
        <v>0</v>
      </c>
    </row>
    <row r="285" spans="1:2" x14ac:dyDescent="0.2">
      <c r="A285">
        <v>25</v>
      </c>
      <c r="B285" s="3">
        <v>13</v>
      </c>
    </row>
    <row r="286" spans="1:2" x14ac:dyDescent="0.2">
      <c r="A286">
        <v>25</v>
      </c>
      <c r="B286" s="3">
        <v>17.8</v>
      </c>
    </row>
    <row r="287" spans="1:2" x14ac:dyDescent="0.2">
      <c r="A287">
        <v>25</v>
      </c>
      <c r="B287" s="3">
        <v>55.441699999999997</v>
      </c>
    </row>
    <row r="288" spans="1:2" x14ac:dyDescent="0.2">
      <c r="A288">
        <v>25</v>
      </c>
      <c r="B288" s="3">
        <v>7.7750000000000004</v>
      </c>
    </row>
    <row r="289" spans="1:2" x14ac:dyDescent="0.2">
      <c r="A289">
        <v>25</v>
      </c>
      <c r="B289" s="3">
        <v>91.0792</v>
      </c>
    </row>
    <row r="290" spans="1:2" x14ac:dyDescent="0.2">
      <c r="A290">
        <v>25</v>
      </c>
      <c r="B290" s="3">
        <v>151.55000000000001</v>
      </c>
    </row>
    <row r="291" spans="1:2" x14ac:dyDescent="0.2">
      <c r="A291">
        <v>25</v>
      </c>
      <c r="B291" s="3">
        <v>30</v>
      </c>
    </row>
    <row r="292" spans="1:2" x14ac:dyDescent="0.2">
      <c r="A292">
        <v>25</v>
      </c>
      <c r="B292" s="3">
        <v>13</v>
      </c>
    </row>
    <row r="293" spans="1:2" x14ac:dyDescent="0.2">
      <c r="A293">
        <v>25</v>
      </c>
      <c r="B293" s="3">
        <v>41.5792</v>
      </c>
    </row>
    <row r="294" spans="1:2" x14ac:dyDescent="0.2">
      <c r="A294">
        <v>25</v>
      </c>
      <c r="B294" s="3">
        <v>7.2249999999999996</v>
      </c>
    </row>
    <row r="295" spans="1:2" x14ac:dyDescent="0.2">
      <c r="A295">
        <v>25</v>
      </c>
      <c r="B295" s="3">
        <v>7.7416999999999998</v>
      </c>
    </row>
    <row r="296" spans="1:2" x14ac:dyDescent="0.2">
      <c r="A296">
        <v>25</v>
      </c>
      <c r="B296" s="3">
        <v>26</v>
      </c>
    </row>
    <row r="297" spans="1:2" x14ac:dyDescent="0.2">
      <c r="A297">
        <v>25</v>
      </c>
      <c r="B297" s="3">
        <v>7.9249999999999998</v>
      </c>
    </row>
    <row r="298" spans="1:2" x14ac:dyDescent="0.2">
      <c r="A298">
        <v>25</v>
      </c>
      <c r="B298" s="3">
        <v>7.05</v>
      </c>
    </row>
    <row r="299" spans="1:2" x14ac:dyDescent="0.2">
      <c r="A299">
        <v>25</v>
      </c>
      <c r="B299" s="3">
        <v>7.25</v>
      </c>
    </row>
    <row r="300" spans="1:2" x14ac:dyDescent="0.2">
      <c r="A300">
        <v>25</v>
      </c>
      <c r="B300" s="3">
        <v>7.8958000000000004</v>
      </c>
    </row>
    <row r="301" spans="1:2" x14ac:dyDescent="0.2">
      <c r="A301">
        <v>25</v>
      </c>
      <c r="B301" s="3">
        <v>26</v>
      </c>
    </row>
    <row r="302" spans="1:2" x14ac:dyDescent="0.2">
      <c r="A302">
        <v>25</v>
      </c>
      <c r="B302" s="3">
        <v>7.05</v>
      </c>
    </row>
    <row r="303" spans="1:2" x14ac:dyDescent="0.2">
      <c r="A303">
        <v>26</v>
      </c>
      <c r="B303" s="3">
        <v>7.9249999999999998</v>
      </c>
    </row>
    <row r="304" spans="1:2" x14ac:dyDescent="0.2">
      <c r="A304">
        <v>26</v>
      </c>
      <c r="B304" s="3">
        <v>8.6624999999999996</v>
      </c>
    </row>
    <row r="305" spans="1:2" x14ac:dyDescent="0.2">
      <c r="A305">
        <v>26</v>
      </c>
      <c r="B305" s="3">
        <v>14.4542</v>
      </c>
    </row>
    <row r="306" spans="1:2" x14ac:dyDescent="0.2">
      <c r="A306">
        <v>26</v>
      </c>
      <c r="B306" s="3">
        <v>20.574999999999999</v>
      </c>
    </row>
    <row r="307" spans="1:2" x14ac:dyDescent="0.2">
      <c r="A307">
        <v>26</v>
      </c>
      <c r="B307" s="3">
        <v>7.7750000000000004</v>
      </c>
    </row>
    <row r="308" spans="1:2" x14ac:dyDescent="0.2">
      <c r="A308">
        <v>26</v>
      </c>
      <c r="B308" s="3">
        <v>18.787500000000001</v>
      </c>
    </row>
    <row r="309" spans="1:2" x14ac:dyDescent="0.2">
      <c r="A309">
        <v>26</v>
      </c>
      <c r="B309" s="3">
        <v>78.849999999999994</v>
      </c>
    </row>
    <row r="310" spans="1:2" x14ac:dyDescent="0.2">
      <c r="A310">
        <v>26</v>
      </c>
      <c r="B310" s="3">
        <v>26</v>
      </c>
    </row>
    <row r="311" spans="1:2" x14ac:dyDescent="0.2">
      <c r="A311">
        <v>26</v>
      </c>
      <c r="B311" s="3">
        <v>7.8541999999999996</v>
      </c>
    </row>
    <row r="312" spans="1:2" x14ac:dyDescent="0.2">
      <c r="A312">
        <v>26</v>
      </c>
      <c r="B312" s="3">
        <v>8.0500000000000007</v>
      </c>
    </row>
    <row r="313" spans="1:2" x14ac:dyDescent="0.2">
      <c r="A313">
        <v>26</v>
      </c>
      <c r="B313" s="3">
        <v>56.495800000000003</v>
      </c>
    </row>
    <row r="314" spans="1:2" x14ac:dyDescent="0.2">
      <c r="A314">
        <v>26</v>
      </c>
      <c r="B314" s="3">
        <v>16.100000000000001</v>
      </c>
    </row>
    <row r="315" spans="1:2" x14ac:dyDescent="0.2">
      <c r="A315">
        <v>26</v>
      </c>
      <c r="B315" s="3">
        <v>10.5</v>
      </c>
    </row>
    <row r="316" spans="1:2" x14ac:dyDescent="0.2">
      <c r="A316">
        <v>26</v>
      </c>
      <c r="B316" s="3">
        <v>7.8958000000000004</v>
      </c>
    </row>
    <row r="317" spans="1:2" x14ac:dyDescent="0.2">
      <c r="A317">
        <v>26</v>
      </c>
      <c r="B317" s="3">
        <v>7.8541999999999996</v>
      </c>
    </row>
    <row r="318" spans="1:2" x14ac:dyDescent="0.2">
      <c r="A318">
        <v>26</v>
      </c>
      <c r="B318" s="3">
        <v>7.8875000000000002</v>
      </c>
    </row>
    <row r="319" spans="1:2" x14ac:dyDescent="0.2">
      <c r="A319">
        <v>26</v>
      </c>
      <c r="B319" s="3">
        <v>7.8958000000000004</v>
      </c>
    </row>
    <row r="320" spans="1:2" x14ac:dyDescent="0.2">
      <c r="A320">
        <v>26</v>
      </c>
      <c r="B320" s="3">
        <v>30</v>
      </c>
    </row>
    <row r="321" spans="1:2" x14ac:dyDescent="0.2">
      <c r="A321">
        <v>27</v>
      </c>
      <c r="B321" s="3">
        <v>11.1333</v>
      </c>
    </row>
    <row r="322" spans="1:2" x14ac:dyDescent="0.2">
      <c r="A322">
        <v>27</v>
      </c>
      <c r="B322" s="3">
        <v>21</v>
      </c>
    </row>
    <row r="323" spans="1:2" x14ac:dyDescent="0.2">
      <c r="A323">
        <v>27</v>
      </c>
      <c r="B323" s="3">
        <v>7.7957999999999998</v>
      </c>
    </row>
    <row r="324" spans="1:2" x14ac:dyDescent="0.2">
      <c r="A324">
        <v>27</v>
      </c>
      <c r="B324" s="3">
        <v>7.9249999999999998</v>
      </c>
    </row>
    <row r="325" spans="1:2" x14ac:dyDescent="0.2">
      <c r="A325">
        <v>27</v>
      </c>
      <c r="B325" s="3">
        <v>13</v>
      </c>
    </row>
    <row r="326" spans="1:2" x14ac:dyDescent="0.2">
      <c r="A326">
        <v>27</v>
      </c>
      <c r="B326" s="3">
        <v>7.8958000000000004</v>
      </c>
    </row>
    <row r="327" spans="1:2" x14ac:dyDescent="0.2">
      <c r="A327">
        <v>27</v>
      </c>
      <c r="B327" s="3">
        <v>211.5</v>
      </c>
    </row>
    <row r="328" spans="1:2" x14ac:dyDescent="0.2">
      <c r="A328">
        <v>27</v>
      </c>
      <c r="B328" s="3">
        <v>26</v>
      </c>
    </row>
    <row r="329" spans="1:2" x14ac:dyDescent="0.2">
      <c r="A329">
        <v>27</v>
      </c>
      <c r="B329" s="3">
        <v>30.5</v>
      </c>
    </row>
    <row r="330" spans="1:2" x14ac:dyDescent="0.2">
      <c r="A330">
        <v>27</v>
      </c>
      <c r="B330" s="3">
        <v>14.4542</v>
      </c>
    </row>
    <row r="331" spans="1:2" x14ac:dyDescent="0.2">
      <c r="A331">
        <v>27</v>
      </c>
      <c r="B331" s="3">
        <v>76.729200000000006</v>
      </c>
    </row>
    <row r="332" spans="1:2" x14ac:dyDescent="0.2">
      <c r="A332">
        <v>27</v>
      </c>
      <c r="B332" s="3">
        <v>10.5</v>
      </c>
    </row>
    <row r="333" spans="1:2" x14ac:dyDescent="0.2">
      <c r="A333">
        <v>27</v>
      </c>
      <c r="B333" s="3">
        <v>53.1</v>
      </c>
    </row>
    <row r="334" spans="1:2" x14ac:dyDescent="0.2">
      <c r="A334">
        <v>27</v>
      </c>
      <c r="B334" s="3">
        <v>6.9749999999999996</v>
      </c>
    </row>
    <row r="335" spans="1:2" x14ac:dyDescent="0.2">
      <c r="A335">
        <v>27</v>
      </c>
      <c r="B335" s="3">
        <v>8.6624999999999996</v>
      </c>
    </row>
    <row r="336" spans="1:2" x14ac:dyDescent="0.2">
      <c r="A336">
        <v>27</v>
      </c>
      <c r="B336" s="3">
        <v>12.475</v>
      </c>
    </row>
    <row r="337" spans="1:2" x14ac:dyDescent="0.2">
      <c r="A337">
        <v>27</v>
      </c>
      <c r="B337" s="3">
        <v>13.8583</v>
      </c>
    </row>
    <row r="338" spans="1:2" x14ac:dyDescent="0.2">
      <c r="A338">
        <v>27</v>
      </c>
      <c r="B338" s="3">
        <v>13</v>
      </c>
    </row>
    <row r="339" spans="1:2" x14ac:dyDescent="0.2">
      <c r="A339">
        <v>28</v>
      </c>
      <c r="B339" s="3">
        <v>35.5</v>
      </c>
    </row>
    <row r="340" spans="1:2" x14ac:dyDescent="0.2">
      <c r="A340">
        <v>28</v>
      </c>
      <c r="B340" s="3">
        <v>82.1708</v>
      </c>
    </row>
    <row r="341" spans="1:2" x14ac:dyDescent="0.2">
      <c r="A341">
        <v>28</v>
      </c>
      <c r="B341" s="3">
        <v>47.1</v>
      </c>
    </row>
    <row r="342" spans="1:2" x14ac:dyDescent="0.2">
      <c r="A342">
        <v>28</v>
      </c>
      <c r="B342" s="3">
        <v>7.8958000000000004</v>
      </c>
    </row>
    <row r="343" spans="1:2" x14ac:dyDescent="0.2">
      <c r="A343">
        <v>28</v>
      </c>
      <c r="B343" s="3">
        <v>7.8958000000000004</v>
      </c>
    </row>
    <row r="344" spans="1:2" x14ac:dyDescent="0.2">
      <c r="A344">
        <v>28</v>
      </c>
      <c r="B344" s="3">
        <v>56.495800000000003</v>
      </c>
    </row>
    <row r="345" spans="1:2" x14ac:dyDescent="0.2">
      <c r="A345">
        <v>28</v>
      </c>
      <c r="B345" s="3">
        <v>9.5</v>
      </c>
    </row>
    <row r="346" spans="1:2" x14ac:dyDescent="0.2">
      <c r="A346">
        <v>28</v>
      </c>
      <c r="B346" s="3">
        <v>7.8541999999999996</v>
      </c>
    </row>
    <row r="347" spans="1:2" x14ac:dyDescent="0.2">
      <c r="A347">
        <v>28</v>
      </c>
      <c r="B347" s="3">
        <v>7.8958000000000004</v>
      </c>
    </row>
    <row r="348" spans="1:2" x14ac:dyDescent="0.2">
      <c r="A348">
        <v>28</v>
      </c>
      <c r="B348" s="3">
        <v>13</v>
      </c>
    </row>
    <row r="349" spans="1:2" x14ac:dyDescent="0.2">
      <c r="A349">
        <v>28</v>
      </c>
      <c r="B349" s="3">
        <v>9.5</v>
      </c>
    </row>
    <row r="350" spans="1:2" x14ac:dyDescent="0.2">
      <c r="A350">
        <v>28</v>
      </c>
      <c r="B350" s="3">
        <v>7.9249999999999998</v>
      </c>
    </row>
    <row r="351" spans="1:2" x14ac:dyDescent="0.2">
      <c r="A351">
        <v>28</v>
      </c>
      <c r="B351" s="3">
        <v>12.65</v>
      </c>
    </row>
    <row r="352" spans="1:2" x14ac:dyDescent="0.2">
      <c r="A352">
        <v>28</v>
      </c>
      <c r="B352" s="3">
        <v>15.85</v>
      </c>
    </row>
    <row r="353" spans="1:2" x14ac:dyDescent="0.2">
      <c r="A353">
        <v>28</v>
      </c>
      <c r="B353" s="3">
        <v>14.4</v>
      </c>
    </row>
    <row r="354" spans="1:2" x14ac:dyDescent="0.2">
      <c r="A354">
        <v>28</v>
      </c>
      <c r="B354" s="3">
        <v>26</v>
      </c>
    </row>
    <row r="355" spans="1:2" x14ac:dyDescent="0.2">
      <c r="A355">
        <v>28</v>
      </c>
      <c r="B355" s="3">
        <v>26.55</v>
      </c>
    </row>
    <row r="356" spans="1:2" x14ac:dyDescent="0.2">
      <c r="A356">
        <v>28</v>
      </c>
      <c r="B356" s="3">
        <v>13</v>
      </c>
    </row>
    <row r="357" spans="1:2" x14ac:dyDescent="0.2">
      <c r="A357">
        <v>28</v>
      </c>
      <c r="B357" s="3">
        <v>22.524999999999999</v>
      </c>
    </row>
    <row r="358" spans="1:2" x14ac:dyDescent="0.2">
      <c r="A358">
        <v>28</v>
      </c>
      <c r="B358" s="3">
        <v>13.5</v>
      </c>
    </row>
    <row r="359" spans="1:2" x14ac:dyDescent="0.2">
      <c r="A359">
        <v>28</v>
      </c>
      <c r="B359" s="3">
        <v>13</v>
      </c>
    </row>
    <row r="360" spans="1:2" x14ac:dyDescent="0.2">
      <c r="A360">
        <v>28</v>
      </c>
      <c r="B360" s="3">
        <v>7.7957999999999998</v>
      </c>
    </row>
    <row r="361" spans="1:2" x14ac:dyDescent="0.2">
      <c r="A361">
        <v>28</v>
      </c>
      <c r="B361" s="3">
        <v>33</v>
      </c>
    </row>
    <row r="362" spans="1:2" x14ac:dyDescent="0.2">
      <c r="A362">
        <v>28</v>
      </c>
      <c r="B362" s="3">
        <v>24</v>
      </c>
    </row>
    <row r="363" spans="1:2" x14ac:dyDescent="0.2">
      <c r="A363">
        <v>28</v>
      </c>
      <c r="B363" s="3">
        <v>10.5</v>
      </c>
    </row>
    <row r="364" spans="1:2" x14ac:dyDescent="0.2">
      <c r="A364">
        <v>28.5</v>
      </c>
      <c r="B364" s="3">
        <v>7.2291999999999996</v>
      </c>
    </row>
    <row r="365" spans="1:2" x14ac:dyDescent="0.2">
      <c r="A365">
        <v>28.5</v>
      </c>
      <c r="B365" s="3">
        <v>16.100000000000001</v>
      </c>
    </row>
    <row r="366" spans="1:2" x14ac:dyDescent="0.2">
      <c r="A366">
        <v>29</v>
      </c>
      <c r="B366" s="3">
        <v>26</v>
      </c>
    </row>
    <row r="367" spans="1:2" x14ac:dyDescent="0.2">
      <c r="A367">
        <v>29</v>
      </c>
      <c r="B367" s="3">
        <v>10.5</v>
      </c>
    </row>
    <row r="368" spans="1:2" x14ac:dyDescent="0.2">
      <c r="A368">
        <v>29</v>
      </c>
      <c r="B368" s="3">
        <v>9.5</v>
      </c>
    </row>
    <row r="369" spans="1:2" x14ac:dyDescent="0.2">
      <c r="A369">
        <v>29</v>
      </c>
      <c r="B369" s="3">
        <v>8.0500000000000007</v>
      </c>
    </row>
    <row r="370" spans="1:2" x14ac:dyDescent="0.2">
      <c r="A370">
        <v>29</v>
      </c>
      <c r="B370" s="3">
        <v>21</v>
      </c>
    </row>
    <row r="371" spans="1:2" x14ac:dyDescent="0.2">
      <c r="A371">
        <v>29</v>
      </c>
      <c r="B371" s="3">
        <v>26</v>
      </c>
    </row>
    <row r="372" spans="1:2" x14ac:dyDescent="0.2">
      <c r="A372">
        <v>29</v>
      </c>
      <c r="B372" s="3">
        <v>7.7750000000000004</v>
      </c>
    </row>
    <row r="373" spans="1:2" x14ac:dyDescent="0.2">
      <c r="A373">
        <v>29</v>
      </c>
      <c r="B373" s="3">
        <v>10.5</v>
      </c>
    </row>
    <row r="374" spans="1:2" x14ac:dyDescent="0.2">
      <c r="A374">
        <v>29</v>
      </c>
      <c r="B374" s="3">
        <v>10.4625</v>
      </c>
    </row>
    <row r="375" spans="1:2" x14ac:dyDescent="0.2">
      <c r="A375">
        <v>29</v>
      </c>
      <c r="B375" s="3">
        <v>15.245799999999999</v>
      </c>
    </row>
    <row r="376" spans="1:2" x14ac:dyDescent="0.2">
      <c r="A376">
        <v>29</v>
      </c>
      <c r="B376" s="3">
        <v>66.599999999999994</v>
      </c>
    </row>
    <row r="377" spans="1:2" x14ac:dyDescent="0.2">
      <c r="A377">
        <v>29</v>
      </c>
      <c r="B377" s="3">
        <v>27.720800000000001</v>
      </c>
    </row>
    <row r="378" spans="1:2" x14ac:dyDescent="0.2">
      <c r="A378">
        <v>29</v>
      </c>
      <c r="B378" s="3">
        <v>7.875</v>
      </c>
    </row>
    <row r="379" spans="1:2" x14ac:dyDescent="0.2">
      <c r="A379">
        <v>29</v>
      </c>
      <c r="B379" s="3">
        <v>7.8958000000000004</v>
      </c>
    </row>
    <row r="380" spans="1:2" x14ac:dyDescent="0.2">
      <c r="A380">
        <v>29</v>
      </c>
      <c r="B380" s="3">
        <v>7.0457999999999998</v>
      </c>
    </row>
    <row r="381" spans="1:2" x14ac:dyDescent="0.2">
      <c r="A381">
        <v>29</v>
      </c>
      <c r="B381" s="3">
        <v>7.75</v>
      </c>
    </row>
    <row r="382" spans="1:2" x14ac:dyDescent="0.2">
      <c r="A382">
        <v>29</v>
      </c>
      <c r="B382" s="3">
        <v>21.074999999999999</v>
      </c>
    </row>
    <row r="383" spans="1:2" x14ac:dyDescent="0.2">
      <c r="A383">
        <v>29</v>
      </c>
      <c r="B383" s="3">
        <v>9.4832999999999998</v>
      </c>
    </row>
    <row r="384" spans="1:2" x14ac:dyDescent="0.2">
      <c r="A384">
        <v>29</v>
      </c>
      <c r="B384" s="3">
        <v>211.33750000000001</v>
      </c>
    </row>
    <row r="385" spans="1:2" x14ac:dyDescent="0.2">
      <c r="A385">
        <v>29</v>
      </c>
      <c r="B385" s="3">
        <v>30</v>
      </c>
    </row>
    <row r="386" spans="1:2" x14ac:dyDescent="0.2">
      <c r="A386">
        <v>30</v>
      </c>
      <c r="B386" s="3">
        <v>12.475</v>
      </c>
    </row>
    <row r="387" spans="1:2" x14ac:dyDescent="0.2">
      <c r="A387">
        <v>30</v>
      </c>
      <c r="B387" s="3">
        <v>8.0500000000000007</v>
      </c>
    </row>
    <row r="388" spans="1:2" x14ac:dyDescent="0.2">
      <c r="A388">
        <v>30</v>
      </c>
      <c r="B388" s="3">
        <v>13</v>
      </c>
    </row>
    <row r="389" spans="1:2" x14ac:dyDescent="0.2">
      <c r="A389">
        <v>30</v>
      </c>
      <c r="B389" s="3">
        <v>13</v>
      </c>
    </row>
    <row r="390" spans="1:2" x14ac:dyDescent="0.2">
      <c r="A390">
        <v>30</v>
      </c>
      <c r="B390" s="3">
        <v>10.5</v>
      </c>
    </row>
    <row r="391" spans="1:2" x14ac:dyDescent="0.2">
      <c r="A391">
        <v>30</v>
      </c>
      <c r="B391" s="3">
        <v>7.2249999999999996</v>
      </c>
    </row>
    <row r="392" spans="1:2" x14ac:dyDescent="0.2">
      <c r="A392">
        <v>30</v>
      </c>
      <c r="B392" s="3">
        <v>16.100000000000001</v>
      </c>
    </row>
    <row r="393" spans="1:2" x14ac:dyDescent="0.2">
      <c r="A393">
        <v>30</v>
      </c>
      <c r="B393" s="3">
        <v>86.5</v>
      </c>
    </row>
    <row r="394" spans="1:2" x14ac:dyDescent="0.2">
      <c r="A394">
        <v>30</v>
      </c>
      <c r="B394" s="3">
        <v>9.5</v>
      </c>
    </row>
    <row r="395" spans="1:2" x14ac:dyDescent="0.2">
      <c r="A395">
        <v>30</v>
      </c>
      <c r="B395" s="3">
        <v>24</v>
      </c>
    </row>
    <row r="396" spans="1:2" x14ac:dyDescent="0.2">
      <c r="A396">
        <v>30</v>
      </c>
      <c r="B396" s="3">
        <v>56.929200000000002</v>
      </c>
    </row>
    <row r="397" spans="1:2" x14ac:dyDescent="0.2">
      <c r="A397">
        <v>30</v>
      </c>
      <c r="B397" s="3">
        <v>12.35</v>
      </c>
    </row>
    <row r="398" spans="1:2" x14ac:dyDescent="0.2">
      <c r="A398">
        <v>30</v>
      </c>
      <c r="B398" s="3">
        <v>7.25</v>
      </c>
    </row>
    <row r="399" spans="1:2" x14ac:dyDescent="0.2">
      <c r="A399">
        <v>30</v>
      </c>
      <c r="B399" s="3">
        <v>13</v>
      </c>
    </row>
    <row r="400" spans="1:2" x14ac:dyDescent="0.2">
      <c r="A400">
        <v>30</v>
      </c>
      <c r="B400" s="3">
        <v>27.75</v>
      </c>
    </row>
    <row r="401" spans="1:2" x14ac:dyDescent="0.2">
      <c r="A401">
        <v>30</v>
      </c>
      <c r="B401" s="3">
        <v>8.0500000000000007</v>
      </c>
    </row>
    <row r="402" spans="1:2" x14ac:dyDescent="0.2">
      <c r="A402">
        <v>30</v>
      </c>
      <c r="B402" s="3">
        <v>93.5</v>
      </c>
    </row>
    <row r="403" spans="1:2" x14ac:dyDescent="0.2">
      <c r="A403">
        <v>30</v>
      </c>
      <c r="B403" s="3">
        <v>8.6624999999999996</v>
      </c>
    </row>
    <row r="404" spans="1:2" x14ac:dyDescent="0.2">
      <c r="A404">
        <v>30</v>
      </c>
      <c r="B404" s="3">
        <v>106.425</v>
      </c>
    </row>
    <row r="405" spans="1:2" x14ac:dyDescent="0.2">
      <c r="A405">
        <v>30</v>
      </c>
      <c r="B405" s="3">
        <v>7.8958000000000004</v>
      </c>
    </row>
    <row r="406" spans="1:2" x14ac:dyDescent="0.2">
      <c r="A406">
        <v>30</v>
      </c>
      <c r="B406" s="3">
        <v>21</v>
      </c>
    </row>
    <row r="407" spans="1:2" x14ac:dyDescent="0.2">
      <c r="A407">
        <v>30</v>
      </c>
      <c r="B407" s="3">
        <v>13</v>
      </c>
    </row>
    <row r="408" spans="1:2" x14ac:dyDescent="0.2">
      <c r="A408">
        <v>30</v>
      </c>
      <c r="B408" s="3">
        <v>7.2291999999999996</v>
      </c>
    </row>
    <row r="409" spans="1:2" x14ac:dyDescent="0.2">
      <c r="A409">
        <v>30</v>
      </c>
      <c r="B409" s="3">
        <v>24.15</v>
      </c>
    </row>
    <row r="410" spans="1:2" x14ac:dyDescent="0.2">
      <c r="A410">
        <v>30</v>
      </c>
      <c r="B410" s="3">
        <v>31</v>
      </c>
    </row>
    <row r="411" spans="1:2" x14ac:dyDescent="0.2">
      <c r="A411">
        <v>30.5</v>
      </c>
      <c r="B411" s="3">
        <v>7.75</v>
      </c>
    </row>
    <row r="412" spans="1:2" x14ac:dyDescent="0.2">
      <c r="A412">
        <v>30.5</v>
      </c>
      <c r="B412" s="3">
        <v>8.0500000000000007</v>
      </c>
    </row>
    <row r="413" spans="1:2" x14ac:dyDescent="0.2">
      <c r="A413">
        <v>31</v>
      </c>
      <c r="B413" s="3">
        <v>18</v>
      </c>
    </row>
    <row r="414" spans="1:2" x14ac:dyDescent="0.2">
      <c r="A414">
        <v>31</v>
      </c>
      <c r="B414" s="3">
        <v>113.27500000000001</v>
      </c>
    </row>
    <row r="415" spans="1:2" x14ac:dyDescent="0.2">
      <c r="A415">
        <v>31</v>
      </c>
      <c r="B415" s="3">
        <v>164.86670000000001</v>
      </c>
    </row>
    <row r="416" spans="1:2" x14ac:dyDescent="0.2">
      <c r="A416">
        <v>31</v>
      </c>
      <c r="B416" s="3">
        <v>20.524999999999999</v>
      </c>
    </row>
    <row r="417" spans="1:2" x14ac:dyDescent="0.2">
      <c r="A417">
        <v>31</v>
      </c>
      <c r="B417" s="3">
        <v>7.8541999999999996</v>
      </c>
    </row>
    <row r="418" spans="1:2" x14ac:dyDescent="0.2">
      <c r="A418">
        <v>31</v>
      </c>
      <c r="B418" s="3">
        <v>10.5</v>
      </c>
    </row>
    <row r="419" spans="1:2" x14ac:dyDescent="0.2">
      <c r="A419">
        <v>31</v>
      </c>
      <c r="B419" s="3">
        <v>26.25</v>
      </c>
    </row>
    <row r="420" spans="1:2" x14ac:dyDescent="0.2">
      <c r="A420">
        <v>31</v>
      </c>
      <c r="B420" s="3">
        <v>52</v>
      </c>
    </row>
    <row r="421" spans="1:2" x14ac:dyDescent="0.2">
      <c r="A421">
        <v>31</v>
      </c>
      <c r="B421" s="3">
        <v>13</v>
      </c>
    </row>
    <row r="422" spans="1:2" x14ac:dyDescent="0.2">
      <c r="A422">
        <v>31</v>
      </c>
      <c r="B422" s="3">
        <v>57</v>
      </c>
    </row>
    <row r="423" spans="1:2" x14ac:dyDescent="0.2">
      <c r="A423">
        <v>31</v>
      </c>
      <c r="B423" s="3">
        <v>7.9249999999999998</v>
      </c>
    </row>
    <row r="424" spans="1:2" x14ac:dyDescent="0.2">
      <c r="A424">
        <v>31</v>
      </c>
      <c r="B424" s="3">
        <v>7.75</v>
      </c>
    </row>
    <row r="425" spans="1:2" x14ac:dyDescent="0.2">
      <c r="A425">
        <v>31</v>
      </c>
      <c r="B425" s="3">
        <v>8.6832999999999991</v>
      </c>
    </row>
    <row r="426" spans="1:2" x14ac:dyDescent="0.2">
      <c r="A426">
        <v>31</v>
      </c>
      <c r="B426" s="3">
        <v>26.25</v>
      </c>
    </row>
    <row r="427" spans="1:2" x14ac:dyDescent="0.2">
      <c r="A427">
        <v>31</v>
      </c>
      <c r="B427" s="3">
        <v>7.7750000000000004</v>
      </c>
    </row>
    <row r="428" spans="1:2" x14ac:dyDescent="0.2">
      <c r="A428">
        <v>31</v>
      </c>
      <c r="B428" s="3">
        <v>37.004199999999997</v>
      </c>
    </row>
    <row r="429" spans="1:2" x14ac:dyDescent="0.2">
      <c r="A429">
        <v>31</v>
      </c>
      <c r="B429" s="3">
        <v>50.495800000000003</v>
      </c>
    </row>
    <row r="430" spans="1:2" x14ac:dyDescent="0.2">
      <c r="A430">
        <v>32</v>
      </c>
      <c r="B430" s="3">
        <v>10.5</v>
      </c>
    </row>
    <row r="431" spans="1:2" x14ac:dyDescent="0.2">
      <c r="A431">
        <v>32</v>
      </c>
      <c r="B431" s="3">
        <v>56.495800000000003</v>
      </c>
    </row>
    <row r="432" spans="1:2" x14ac:dyDescent="0.2">
      <c r="A432">
        <v>32</v>
      </c>
      <c r="B432" s="3">
        <v>13</v>
      </c>
    </row>
    <row r="433" spans="1:2" x14ac:dyDescent="0.2">
      <c r="A433">
        <v>32</v>
      </c>
      <c r="B433" s="3">
        <v>15.85</v>
      </c>
    </row>
    <row r="434" spans="1:2" x14ac:dyDescent="0.2">
      <c r="A434">
        <v>32</v>
      </c>
      <c r="B434" s="3">
        <v>76.291700000000006</v>
      </c>
    </row>
    <row r="435" spans="1:2" x14ac:dyDescent="0.2">
      <c r="A435">
        <v>32</v>
      </c>
      <c r="B435" s="3">
        <v>7.9249999999999998</v>
      </c>
    </row>
    <row r="436" spans="1:2" x14ac:dyDescent="0.2">
      <c r="A436">
        <v>32</v>
      </c>
      <c r="B436" s="3">
        <v>8.0500000000000007</v>
      </c>
    </row>
    <row r="437" spans="1:2" x14ac:dyDescent="0.2">
      <c r="A437">
        <v>32</v>
      </c>
      <c r="B437" s="3">
        <v>7.8958000000000004</v>
      </c>
    </row>
    <row r="438" spans="1:2" x14ac:dyDescent="0.2">
      <c r="A438">
        <v>32</v>
      </c>
      <c r="B438" s="3">
        <v>26</v>
      </c>
    </row>
    <row r="439" spans="1:2" x14ac:dyDescent="0.2">
      <c r="A439">
        <v>32</v>
      </c>
      <c r="B439" s="3">
        <v>7.8541999999999996</v>
      </c>
    </row>
    <row r="440" spans="1:2" x14ac:dyDescent="0.2">
      <c r="A440">
        <v>32</v>
      </c>
      <c r="B440" s="3">
        <v>7.9249999999999998</v>
      </c>
    </row>
    <row r="441" spans="1:2" x14ac:dyDescent="0.2">
      <c r="A441">
        <v>32</v>
      </c>
      <c r="B441" s="3">
        <v>30.5</v>
      </c>
    </row>
    <row r="442" spans="1:2" x14ac:dyDescent="0.2">
      <c r="A442">
        <v>32</v>
      </c>
      <c r="B442" s="3">
        <v>7.9249999999999998</v>
      </c>
    </row>
    <row r="443" spans="1:2" x14ac:dyDescent="0.2">
      <c r="A443">
        <v>32</v>
      </c>
      <c r="B443" s="3">
        <v>15.5</v>
      </c>
    </row>
    <row r="444" spans="1:2" x14ac:dyDescent="0.2">
      <c r="A444">
        <v>32</v>
      </c>
      <c r="B444" s="3">
        <v>73.5</v>
      </c>
    </row>
    <row r="445" spans="1:2" x14ac:dyDescent="0.2">
      <c r="A445">
        <v>32</v>
      </c>
      <c r="B445" s="3">
        <v>8.3625000000000007</v>
      </c>
    </row>
    <row r="446" spans="1:2" x14ac:dyDescent="0.2">
      <c r="A446">
        <v>32</v>
      </c>
      <c r="B446" s="3">
        <v>56.495800000000003</v>
      </c>
    </row>
    <row r="447" spans="1:2" x14ac:dyDescent="0.2">
      <c r="A447">
        <v>32</v>
      </c>
      <c r="B447" s="3">
        <v>7.75</v>
      </c>
    </row>
    <row r="448" spans="1:2" x14ac:dyDescent="0.2">
      <c r="A448">
        <v>32.5</v>
      </c>
      <c r="B448" s="3">
        <v>30.070799999999998</v>
      </c>
    </row>
    <row r="449" spans="1:2" x14ac:dyDescent="0.2">
      <c r="A449">
        <v>32.5</v>
      </c>
      <c r="B449" s="3">
        <v>13</v>
      </c>
    </row>
    <row r="450" spans="1:2" x14ac:dyDescent="0.2">
      <c r="A450">
        <v>33</v>
      </c>
      <c r="B450" s="3">
        <v>15.85</v>
      </c>
    </row>
    <row r="451" spans="1:2" x14ac:dyDescent="0.2">
      <c r="A451">
        <v>33</v>
      </c>
      <c r="B451" s="3">
        <v>8.6541999999999994</v>
      </c>
    </row>
    <row r="452" spans="1:2" x14ac:dyDescent="0.2">
      <c r="A452">
        <v>33</v>
      </c>
      <c r="B452" s="3">
        <v>7.8958000000000004</v>
      </c>
    </row>
    <row r="453" spans="1:2" x14ac:dyDescent="0.2">
      <c r="A453">
        <v>33</v>
      </c>
      <c r="B453" s="3">
        <v>12.275</v>
      </c>
    </row>
    <row r="454" spans="1:2" x14ac:dyDescent="0.2">
      <c r="A454">
        <v>33</v>
      </c>
      <c r="B454" s="3">
        <v>8.6624999999999996</v>
      </c>
    </row>
    <row r="455" spans="1:2" x14ac:dyDescent="0.2">
      <c r="A455">
        <v>33</v>
      </c>
      <c r="B455" s="3">
        <v>90</v>
      </c>
    </row>
    <row r="456" spans="1:2" x14ac:dyDescent="0.2">
      <c r="A456">
        <v>33</v>
      </c>
      <c r="B456" s="3">
        <v>27.75</v>
      </c>
    </row>
    <row r="457" spans="1:2" x14ac:dyDescent="0.2">
      <c r="A457">
        <v>33</v>
      </c>
      <c r="B457" s="3">
        <v>26</v>
      </c>
    </row>
    <row r="458" spans="1:2" x14ac:dyDescent="0.2">
      <c r="A458">
        <v>33</v>
      </c>
      <c r="B458" s="3">
        <v>20.524999999999999</v>
      </c>
    </row>
    <row r="459" spans="1:2" x14ac:dyDescent="0.2">
      <c r="A459">
        <v>33</v>
      </c>
      <c r="B459" s="3">
        <v>7.7750000000000004</v>
      </c>
    </row>
    <row r="460" spans="1:2" x14ac:dyDescent="0.2">
      <c r="A460">
        <v>33</v>
      </c>
      <c r="B460" s="3">
        <v>9.5</v>
      </c>
    </row>
    <row r="461" spans="1:2" x14ac:dyDescent="0.2">
      <c r="A461">
        <v>33</v>
      </c>
      <c r="B461" s="3">
        <v>86.5</v>
      </c>
    </row>
    <row r="462" spans="1:2" x14ac:dyDescent="0.2">
      <c r="A462">
        <v>33</v>
      </c>
      <c r="B462" s="3">
        <v>53.1</v>
      </c>
    </row>
    <row r="463" spans="1:2" x14ac:dyDescent="0.2">
      <c r="A463">
        <v>33</v>
      </c>
      <c r="B463" s="3">
        <v>5</v>
      </c>
    </row>
    <row r="464" spans="1:2" x14ac:dyDescent="0.2">
      <c r="A464">
        <v>33</v>
      </c>
      <c r="B464" s="3">
        <v>7.8958000000000004</v>
      </c>
    </row>
    <row r="465" spans="1:2" x14ac:dyDescent="0.2">
      <c r="A465">
        <v>34</v>
      </c>
      <c r="B465" s="3">
        <v>13</v>
      </c>
    </row>
    <row r="466" spans="1:2" x14ac:dyDescent="0.2">
      <c r="A466">
        <v>34</v>
      </c>
      <c r="B466" s="3">
        <v>23</v>
      </c>
    </row>
    <row r="467" spans="1:2" x14ac:dyDescent="0.2">
      <c r="A467">
        <v>34</v>
      </c>
      <c r="B467" s="3">
        <v>26</v>
      </c>
    </row>
    <row r="468" spans="1:2" x14ac:dyDescent="0.2">
      <c r="A468">
        <v>34</v>
      </c>
      <c r="B468" s="3">
        <v>6.4958</v>
      </c>
    </row>
    <row r="469" spans="1:2" x14ac:dyDescent="0.2">
      <c r="A469">
        <v>34</v>
      </c>
      <c r="B469" s="3">
        <v>21</v>
      </c>
    </row>
    <row r="470" spans="1:2" x14ac:dyDescent="0.2">
      <c r="A470">
        <v>34</v>
      </c>
      <c r="B470" s="3">
        <v>32.5</v>
      </c>
    </row>
    <row r="471" spans="1:2" x14ac:dyDescent="0.2">
      <c r="A471">
        <v>34</v>
      </c>
      <c r="B471" s="3">
        <v>26.55</v>
      </c>
    </row>
    <row r="472" spans="1:2" x14ac:dyDescent="0.2">
      <c r="A472">
        <v>34</v>
      </c>
      <c r="B472" s="3">
        <v>8.0500000000000007</v>
      </c>
    </row>
    <row r="473" spans="1:2" x14ac:dyDescent="0.2">
      <c r="A473">
        <v>34</v>
      </c>
      <c r="B473" s="3">
        <v>21</v>
      </c>
    </row>
    <row r="474" spans="1:2" x14ac:dyDescent="0.2">
      <c r="A474">
        <v>34</v>
      </c>
      <c r="B474" s="3">
        <v>10.5</v>
      </c>
    </row>
    <row r="475" spans="1:2" x14ac:dyDescent="0.2">
      <c r="A475">
        <v>34</v>
      </c>
      <c r="B475" s="3">
        <v>13</v>
      </c>
    </row>
    <row r="476" spans="1:2" x14ac:dyDescent="0.2">
      <c r="A476">
        <v>34</v>
      </c>
      <c r="B476" s="3">
        <v>14.4</v>
      </c>
    </row>
    <row r="477" spans="1:2" x14ac:dyDescent="0.2">
      <c r="A477">
        <v>34</v>
      </c>
      <c r="B477" s="3">
        <v>13</v>
      </c>
    </row>
    <row r="478" spans="1:2" x14ac:dyDescent="0.2">
      <c r="A478">
        <v>34</v>
      </c>
      <c r="B478" s="3">
        <v>8.0500000000000007</v>
      </c>
    </row>
    <row r="479" spans="1:2" x14ac:dyDescent="0.2">
      <c r="A479">
        <v>34</v>
      </c>
      <c r="B479" s="3">
        <v>13</v>
      </c>
    </row>
    <row r="480" spans="1:2" x14ac:dyDescent="0.2">
      <c r="A480">
        <v>34.5</v>
      </c>
      <c r="B480" s="3">
        <v>6.4375</v>
      </c>
    </row>
    <row r="481" spans="1:2" x14ac:dyDescent="0.2">
      <c r="A481">
        <v>35</v>
      </c>
      <c r="B481" s="3">
        <v>53.1</v>
      </c>
    </row>
    <row r="482" spans="1:2" x14ac:dyDescent="0.2">
      <c r="A482">
        <v>35</v>
      </c>
      <c r="B482" s="3">
        <v>8.0500000000000007</v>
      </c>
    </row>
    <row r="483" spans="1:2" x14ac:dyDescent="0.2">
      <c r="A483">
        <v>35</v>
      </c>
      <c r="B483" s="3">
        <v>26</v>
      </c>
    </row>
    <row r="484" spans="1:2" x14ac:dyDescent="0.2">
      <c r="A484">
        <v>35</v>
      </c>
      <c r="B484" s="3">
        <v>21</v>
      </c>
    </row>
    <row r="485" spans="1:2" x14ac:dyDescent="0.2">
      <c r="A485">
        <v>35</v>
      </c>
      <c r="B485" s="3">
        <v>83.474999999999994</v>
      </c>
    </row>
    <row r="486" spans="1:2" x14ac:dyDescent="0.2">
      <c r="A486">
        <v>35</v>
      </c>
      <c r="B486" s="3">
        <v>512.32920000000001</v>
      </c>
    </row>
    <row r="487" spans="1:2" x14ac:dyDescent="0.2">
      <c r="A487">
        <v>35</v>
      </c>
      <c r="B487" s="3">
        <v>135.63329999999999</v>
      </c>
    </row>
    <row r="488" spans="1:2" x14ac:dyDescent="0.2">
      <c r="A488">
        <v>35</v>
      </c>
      <c r="B488" s="3">
        <v>20.25</v>
      </c>
    </row>
    <row r="489" spans="1:2" x14ac:dyDescent="0.2">
      <c r="A489">
        <v>35</v>
      </c>
      <c r="B489" s="3">
        <v>7.05</v>
      </c>
    </row>
    <row r="490" spans="1:2" x14ac:dyDescent="0.2">
      <c r="A490">
        <v>35</v>
      </c>
      <c r="B490" s="3">
        <v>52</v>
      </c>
    </row>
    <row r="491" spans="1:2" x14ac:dyDescent="0.2">
      <c r="A491">
        <v>35</v>
      </c>
      <c r="B491" s="3">
        <v>90</v>
      </c>
    </row>
    <row r="492" spans="1:2" x14ac:dyDescent="0.2">
      <c r="A492">
        <v>35</v>
      </c>
      <c r="B492" s="3">
        <v>7.125</v>
      </c>
    </row>
    <row r="493" spans="1:2" x14ac:dyDescent="0.2">
      <c r="A493">
        <v>35</v>
      </c>
      <c r="B493" s="3">
        <v>26.55</v>
      </c>
    </row>
    <row r="494" spans="1:2" x14ac:dyDescent="0.2">
      <c r="A494">
        <v>35</v>
      </c>
      <c r="B494" s="3">
        <v>8.0500000000000007</v>
      </c>
    </row>
    <row r="495" spans="1:2" x14ac:dyDescent="0.2">
      <c r="A495">
        <v>35</v>
      </c>
      <c r="B495" s="3">
        <v>26.287500000000001</v>
      </c>
    </row>
    <row r="496" spans="1:2" x14ac:dyDescent="0.2">
      <c r="A496">
        <v>35</v>
      </c>
      <c r="B496" s="3">
        <v>512.32920000000001</v>
      </c>
    </row>
    <row r="497" spans="1:2" x14ac:dyDescent="0.2">
      <c r="A497">
        <v>35</v>
      </c>
      <c r="B497" s="3">
        <v>10.5</v>
      </c>
    </row>
    <row r="498" spans="1:2" x14ac:dyDescent="0.2">
      <c r="A498">
        <v>35</v>
      </c>
      <c r="B498" s="3">
        <v>7.8958000000000004</v>
      </c>
    </row>
    <row r="499" spans="1:2" x14ac:dyDescent="0.2">
      <c r="A499">
        <v>36</v>
      </c>
      <c r="B499" s="3">
        <v>0</v>
      </c>
    </row>
    <row r="500" spans="1:2" x14ac:dyDescent="0.2">
      <c r="A500">
        <v>36</v>
      </c>
      <c r="B500" s="3">
        <v>7.8958000000000004</v>
      </c>
    </row>
    <row r="501" spans="1:2" x14ac:dyDescent="0.2">
      <c r="A501">
        <v>36</v>
      </c>
      <c r="B501" s="3">
        <v>10.5</v>
      </c>
    </row>
    <row r="502" spans="1:2" x14ac:dyDescent="0.2">
      <c r="A502">
        <v>36</v>
      </c>
      <c r="B502" s="3">
        <v>12.875</v>
      </c>
    </row>
    <row r="503" spans="1:2" x14ac:dyDescent="0.2">
      <c r="A503">
        <v>36</v>
      </c>
      <c r="B503" s="3">
        <v>135.63329999999999</v>
      </c>
    </row>
    <row r="504" spans="1:2" x14ac:dyDescent="0.2">
      <c r="A504">
        <v>36</v>
      </c>
      <c r="B504" s="3">
        <v>13</v>
      </c>
    </row>
    <row r="505" spans="1:2" x14ac:dyDescent="0.2">
      <c r="A505">
        <v>36</v>
      </c>
      <c r="B505" s="3">
        <v>13</v>
      </c>
    </row>
    <row r="506" spans="1:2" x14ac:dyDescent="0.2">
      <c r="A506">
        <v>36</v>
      </c>
      <c r="B506" s="3">
        <v>13</v>
      </c>
    </row>
    <row r="507" spans="1:2" x14ac:dyDescent="0.2">
      <c r="A507">
        <v>36</v>
      </c>
      <c r="B507" s="3">
        <v>120</v>
      </c>
    </row>
    <row r="508" spans="1:2" x14ac:dyDescent="0.2">
      <c r="A508">
        <v>36</v>
      </c>
      <c r="B508" s="3">
        <v>27.75</v>
      </c>
    </row>
    <row r="509" spans="1:2" x14ac:dyDescent="0.2">
      <c r="A509">
        <v>36</v>
      </c>
      <c r="B509" s="3">
        <v>26.287500000000001</v>
      </c>
    </row>
    <row r="510" spans="1:2" x14ac:dyDescent="0.2">
      <c r="A510">
        <v>36</v>
      </c>
      <c r="B510" s="3">
        <v>26</v>
      </c>
    </row>
    <row r="511" spans="1:2" x14ac:dyDescent="0.2">
      <c r="A511">
        <v>36</v>
      </c>
      <c r="B511" s="3">
        <v>71</v>
      </c>
    </row>
    <row r="512" spans="1:2" x14ac:dyDescent="0.2">
      <c r="A512">
        <v>36</v>
      </c>
      <c r="B512" s="3">
        <v>17.399999999999999</v>
      </c>
    </row>
    <row r="513" spans="1:2" x14ac:dyDescent="0.2">
      <c r="A513">
        <v>36</v>
      </c>
      <c r="B513" s="3">
        <v>26.387499999999999</v>
      </c>
    </row>
    <row r="514" spans="1:2" x14ac:dyDescent="0.2">
      <c r="A514">
        <v>36</v>
      </c>
      <c r="B514" s="3">
        <v>40.125</v>
      </c>
    </row>
    <row r="515" spans="1:2" x14ac:dyDescent="0.2">
      <c r="A515">
        <v>36</v>
      </c>
      <c r="B515" s="3">
        <v>24.15</v>
      </c>
    </row>
    <row r="516" spans="1:2" x14ac:dyDescent="0.2">
      <c r="A516">
        <v>36</v>
      </c>
      <c r="B516" s="3">
        <v>15.55</v>
      </c>
    </row>
    <row r="517" spans="1:2" x14ac:dyDescent="0.2">
      <c r="A517">
        <v>36</v>
      </c>
      <c r="B517" s="3">
        <v>7.4958</v>
      </c>
    </row>
    <row r="518" spans="1:2" x14ac:dyDescent="0.2">
      <c r="A518">
        <v>36</v>
      </c>
      <c r="B518" s="3">
        <v>512.32920000000001</v>
      </c>
    </row>
    <row r="519" spans="1:2" x14ac:dyDescent="0.2">
      <c r="A519">
        <v>36</v>
      </c>
      <c r="B519" s="3">
        <v>78.849999999999994</v>
      </c>
    </row>
    <row r="520" spans="1:2" x14ac:dyDescent="0.2">
      <c r="A520">
        <v>36</v>
      </c>
      <c r="B520" s="3">
        <v>120</v>
      </c>
    </row>
    <row r="521" spans="1:2" x14ac:dyDescent="0.2">
      <c r="A521">
        <v>36.5</v>
      </c>
      <c r="B521" s="3">
        <v>26</v>
      </c>
    </row>
    <row r="522" spans="1:2" x14ac:dyDescent="0.2">
      <c r="A522">
        <v>37</v>
      </c>
      <c r="B522" s="3">
        <v>7.9249999999999998</v>
      </c>
    </row>
    <row r="523" spans="1:2" x14ac:dyDescent="0.2">
      <c r="A523">
        <v>37</v>
      </c>
      <c r="B523" s="3">
        <v>53.1</v>
      </c>
    </row>
    <row r="524" spans="1:2" x14ac:dyDescent="0.2">
      <c r="A524">
        <v>37</v>
      </c>
      <c r="B524" s="3">
        <v>52.554200000000002</v>
      </c>
    </row>
    <row r="525" spans="1:2" x14ac:dyDescent="0.2">
      <c r="A525">
        <v>37</v>
      </c>
      <c r="B525" s="3">
        <v>29.7</v>
      </c>
    </row>
    <row r="526" spans="1:2" x14ac:dyDescent="0.2">
      <c r="A526">
        <v>37</v>
      </c>
      <c r="B526" s="3">
        <v>9.5875000000000004</v>
      </c>
    </row>
    <row r="527" spans="1:2" x14ac:dyDescent="0.2">
      <c r="A527">
        <v>37</v>
      </c>
      <c r="B527" s="3">
        <v>26</v>
      </c>
    </row>
    <row r="528" spans="1:2" x14ac:dyDescent="0.2">
      <c r="A528">
        <v>38</v>
      </c>
      <c r="B528" s="3">
        <v>71.283299999999997</v>
      </c>
    </row>
    <row r="529" spans="1:2" x14ac:dyDescent="0.2">
      <c r="A529">
        <v>38</v>
      </c>
      <c r="B529" s="3">
        <v>31.387499999999999</v>
      </c>
    </row>
    <row r="530" spans="1:2" x14ac:dyDescent="0.2">
      <c r="A530">
        <v>38</v>
      </c>
      <c r="B530" s="3">
        <v>80</v>
      </c>
    </row>
    <row r="531" spans="1:2" x14ac:dyDescent="0.2">
      <c r="A531">
        <v>38</v>
      </c>
      <c r="B531" s="3">
        <v>7.8958000000000004</v>
      </c>
    </row>
    <row r="532" spans="1:2" x14ac:dyDescent="0.2">
      <c r="A532">
        <v>38</v>
      </c>
      <c r="B532" s="3">
        <v>90</v>
      </c>
    </row>
    <row r="533" spans="1:2" x14ac:dyDescent="0.2">
      <c r="A533">
        <v>38</v>
      </c>
      <c r="B533" s="3">
        <v>153.46250000000001</v>
      </c>
    </row>
    <row r="534" spans="1:2" x14ac:dyDescent="0.2">
      <c r="A534">
        <v>38</v>
      </c>
      <c r="B534" s="3">
        <v>13</v>
      </c>
    </row>
    <row r="535" spans="1:2" x14ac:dyDescent="0.2">
      <c r="A535">
        <v>38</v>
      </c>
      <c r="B535" s="3">
        <v>7.05</v>
      </c>
    </row>
    <row r="536" spans="1:2" x14ac:dyDescent="0.2">
      <c r="A536">
        <v>38</v>
      </c>
      <c r="B536" s="3">
        <v>8.6624999999999996</v>
      </c>
    </row>
    <row r="537" spans="1:2" x14ac:dyDescent="0.2">
      <c r="A537">
        <v>38</v>
      </c>
      <c r="B537" s="3">
        <v>227.52500000000001</v>
      </c>
    </row>
    <row r="538" spans="1:2" x14ac:dyDescent="0.2">
      <c r="A538">
        <v>38</v>
      </c>
      <c r="B538" s="3">
        <v>0</v>
      </c>
    </row>
    <row r="539" spans="1:2" x14ac:dyDescent="0.2">
      <c r="A539">
        <v>39</v>
      </c>
      <c r="B539" s="3">
        <v>31.274999999999999</v>
      </c>
    </row>
    <row r="540" spans="1:2" x14ac:dyDescent="0.2">
      <c r="A540">
        <v>39</v>
      </c>
      <c r="B540" s="3">
        <v>7.9249999999999998</v>
      </c>
    </row>
    <row r="541" spans="1:2" x14ac:dyDescent="0.2">
      <c r="A541">
        <v>39</v>
      </c>
      <c r="B541" s="3">
        <v>7.9249999999999998</v>
      </c>
    </row>
    <row r="542" spans="1:2" x14ac:dyDescent="0.2">
      <c r="A542">
        <v>39</v>
      </c>
      <c r="B542" s="3">
        <v>79.650000000000006</v>
      </c>
    </row>
    <row r="543" spans="1:2" x14ac:dyDescent="0.2">
      <c r="A543">
        <v>39</v>
      </c>
      <c r="B543" s="3">
        <v>55.9</v>
      </c>
    </row>
    <row r="544" spans="1:2" x14ac:dyDescent="0.2">
      <c r="A544">
        <v>39</v>
      </c>
      <c r="B544" s="3">
        <v>110.88330000000001</v>
      </c>
    </row>
    <row r="545" spans="1:2" x14ac:dyDescent="0.2">
      <c r="A545">
        <v>39</v>
      </c>
      <c r="B545" s="3">
        <v>31.274999999999999</v>
      </c>
    </row>
    <row r="546" spans="1:2" x14ac:dyDescent="0.2">
      <c r="A546">
        <v>39</v>
      </c>
      <c r="B546" s="3">
        <v>26</v>
      </c>
    </row>
    <row r="547" spans="1:2" x14ac:dyDescent="0.2">
      <c r="A547">
        <v>39</v>
      </c>
      <c r="B547" s="3">
        <v>13</v>
      </c>
    </row>
    <row r="548" spans="1:2" x14ac:dyDescent="0.2">
      <c r="A548">
        <v>39</v>
      </c>
      <c r="B548" s="3">
        <v>0</v>
      </c>
    </row>
    <row r="549" spans="1:2" x14ac:dyDescent="0.2">
      <c r="A549">
        <v>39</v>
      </c>
      <c r="B549" s="3">
        <v>13</v>
      </c>
    </row>
    <row r="550" spans="1:2" x14ac:dyDescent="0.2">
      <c r="A550">
        <v>39</v>
      </c>
      <c r="B550" s="3">
        <v>24.15</v>
      </c>
    </row>
    <row r="551" spans="1:2" x14ac:dyDescent="0.2">
      <c r="A551">
        <v>39</v>
      </c>
      <c r="B551" s="3">
        <v>83.158299999999997</v>
      </c>
    </row>
    <row r="552" spans="1:2" x14ac:dyDescent="0.2">
      <c r="A552">
        <v>39</v>
      </c>
      <c r="B552" s="3">
        <v>29.125</v>
      </c>
    </row>
    <row r="553" spans="1:2" x14ac:dyDescent="0.2">
      <c r="A553">
        <v>40</v>
      </c>
      <c r="B553" s="3">
        <v>27.720800000000001</v>
      </c>
    </row>
    <row r="554" spans="1:2" x14ac:dyDescent="0.2">
      <c r="A554">
        <v>40</v>
      </c>
      <c r="B554" s="3">
        <v>9.4749999999999996</v>
      </c>
    </row>
    <row r="555" spans="1:2" x14ac:dyDescent="0.2">
      <c r="A555">
        <v>40</v>
      </c>
      <c r="B555" s="3">
        <v>15.75</v>
      </c>
    </row>
    <row r="556" spans="1:2" x14ac:dyDescent="0.2">
      <c r="A556">
        <v>40</v>
      </c>
      <c r="B556" s="3">
        <v>15.5</v>
      </c>
    </row>
    <row r="557" spans="1:2" x14ac:dyDescent="0.2">
      <c r="A557">
        <v>40</v>
      </c>
      <c r="B557" s="3">
        <v>31</v>
      </c>
    </row>
    <row r="558" spans="1:2" x14ac:dyDescent="0.2">
      <c r="A558">
        <v>40</v>
      </c>
      <c r="B558" s="3">
        <v>0</v>
      </c>
    </row>
    <row r="559" spans="1:2" x14ac:dyDescent="0.2">
      <c r="A559">
        <v>40</v>
      </c>
      <c r="B559" s="3">
        <v>134.5</v>
      </c>
    </row>
    <row r="560" spans="1:2" x14ac:dyDescent="0.2">
      <c r="A560">
        <v>40</v>
      </c>
      <c r="B560" s="3">
        <v>13</v>
      </c>
    </row>
    <row r="561" spans="1:2" x14ac:dyDescent="0.2">
      <c r="A561">
        <v>40</v>
      </c>
      <c r="B561" s="3">
        <v>27.9</v>
      </c>
    </row>
    <row r="562" spans="1:2" x14ac:dyDescent="0.2">
      <c r="A562">
        <v>40</v>
      </c>
      <c r="B562" s="3">
        <v>7.8958000000000004</v>
      </c>
    </row>
    <row r="563" spans="1:2" x14ac:dyDescent="0.2">
      <c r="A563">
        <v>40</v>
      </c>
      <c r="B563" s="3">
        <v>153.46250000000001</v>
      </c>
    </row>
    <row r="564" spans="1:2" x14ac:dyDescent="0.2">
      <c r="A564">
        <v>40</v>
      </c>
      <c r="B564" s="3">
        <v>7.2249999999999996</v>
      </c>
    </row>
    <row r="565" spans="1:2" x14ac:dyDescent="0.2">
      <c r="A565">
        <v>40</v>
      </c>
      <c r="B565" s="3">
        <v>39</v>
      </c>
    </row>
    <row r="566" spans="1:2" x14ac:dyDescent="0.2">
      <c r="A566">
        <v>40.5</v>
      </c>
      <c r="B566" s="3">
        <v>14.5</v>
      </c>
    </row>
    <row r="567" spans="1:2" x14ac:dyDescent="0.2">
      <c r="A567">
        <v>40.5</v>
      </c>
      <c r="B567" s="3">
        <v>7.75</v>
      </c>
    </row>
    <row r="568" spans="1:2" x14ac:dyDescent="0.2">
      <c r="A568">
        <v>41</v>
      </c>
      <c r="B568" s="3">
        <v>20.212499999999999</v>
      </c>
    </row>
    <row r="569" spans="1:2" x14ac:dyDescent="0.2">
      <c r="A569">
        <v>41</v>
      </c>
      <c r="B569" s="3">
        <v>19.5</v>
      </c>
    </row>
    <row r="570" spans="1:2" x14ac:dyDescent="0.2">
      <c r="A570">
        <v>41</v>
      </c>
      <c r="B570" s="3">
        <v>134.5</v>
      </c>
    </row>
    <row r="571" spans="1:2" x14ac:dyDescent="0.2">
      <c r="A571">
        <v>41</v>
      </c>
      <c r="B571" s="3">
        <v>39.6875</v>
      </c>
    </row>
    <row r="572" spans="1:2" x14ac:dyDescent="0.2">
      <c r="A572">
        <v>41</v>
      </c>
      <c r="B572" s="3">
        <v>7.125</v>
      </c>
    </row>
    <row r="573" spans="1:2" x14ac:dyDescent="0.2">
      <c r="A573">
        <v>41</v>
      </c>
      <c r="B573" s="3">
        <v>14.1083</v>
      </c>
    </row>
    <row r="574" spans="1:2" x14ac:dyDescent="0.2">
      <c r="A574">
        <v>42</v>
      </c>
      <c r="B574" s="3">
        <v>52</v>
      </c>
    </row>
    <row r="575" spans="1:2" x14ac:dyDescent="0.2">
      <c r="A575">
        <v>42</v>
      </c>
      <c r="B575" s="3">
        <v>13</v>
      </c>
    </row>
    <row r="576" spans="1:2" x14ac:dyDescent="0.2">
      <c r="A576">
        <v>42</v>
      </c>
      <c r="B576" s="3">
        <v>8.4041999999999994</v>
      </c>
    </row>
    <row r="577" spans="1:2" x14ac:dyDescent="0.2">
      <c r="A577">
        <v>42</v>
      </c>
      <c r="B577" s="3">
        <v>27</v>
      </c>
    </row>
    <row r="578" spans="1:2" x14ac:dyDescent="0.2">
      <c r="A578">
        <v>42</v>
      </c>
      <c r="B578" s="3">
        <v>13</v>
      </c>
    </row>
    <row r="579" spans="1:2" x14ac:dyDescent="0.2">
      <c r="A579">
        <v>42</v>
      </c>
      <c r="B579" s="3">
        <v>8.6624999999999996</v>
      </c>
    </row>
    <row r="580" spans="1:2" x14ac:dyDescent="0.2">
      <c r="A580">
        <v>42</v>
      </c>
      <c r="B580" s="3">
        <v>227.52500000000001</v>
      </c>
    </row>
    <row r="581" spans="1:2" x14ac:dyDescent="0.2">
      <c r="A581">
        <v>42</v>
      </c>
      <c r="B581" s="3">
        <v>26</v>
      </c>
    </row>
    <row r="582" spans="1:2" x14ac:dyDescent="0.2">
      <c r="A582">
        <v>42</v>
      </c>
      <c r="B582" s="3">
        <v>52.554200000000002</v>
      </c>
    </row>
    <row r="583" spans="1:2" x14ac:dyDescent="0.2">
      <c r="A583">
        <v>42</v>
      </c>
      <c r="B583" s="3">
        <v>7.65</v>
      </c>
    </row>
    <row r="584" spans="1:2" x14ac:dyDescent="0.2">
      <c r="A584">
        <v>42</v>
      </c>
      <c r="B584" s="3">
        <v>26.287500000000001</v>
      </c>
    </row>
    <row r="585" spans="1:2" x14ac:dyDescent="0.2">
      <c r="A585">
        <v>42</v>
      </c>
      <c r="B585" s="3">
        <v>7.55</v>
      </c>
    </row>
    <row r="586" spans="1:2" x14ac:dyDescent="0.2">
      <c r="A586">
        <v>42</v>
      </c>
      <c r="B586" s="3">
        <v>13</v>
      </c>
    </row>
    <row r="587" spans="1:2" x14ac:dyDescent="0.2">
      <c r="A587">
        <v>43</v>
      </c>
      <c r="B587" s="3">
        <v>26.25</v>
      </c>
    </row>
    <row r="588" spans="1:2" x14ac:dyDescent="0.2">
      <c r="A588">
        <v>43</v>
      </c>
      <c r="B588" s="3">
        <v>8.0500000000000007</v>
      </c>
    </row>
    <row r="589" spans="1:2" x14ac:dyDescent="0.2">
      <c r="A589">
        <v>43</v>
      </c>
      <c r="B589" s="3">
        <v>46.9</v>
      </c>
    </row>
    <row r="590" spans="1:2" x14ac:dyDescent="0.2">
      <c r="A590">
        <v>43</v>
      </c>
      <c r="B590" s="3">
        <v>211.33750000000001</v>
      </c>
    </row>
    <row r="591" spans="1:2" x14ac:dyDescent="0.2">
      <c r="A591">
        <v>43</v>
      </c>
      <c r="B591" s="3">
        <v>6.45</v>
      </c>
    </row>
    <row r="592" spans="1:2" x14ac:dyDescent="0.2">
      <c r="A592">
        <v>44</v>
      </c>
      <c r="B592" s="3">
        <v>16.100000000000001</v>
      </c>
    </row>
    <row r="593" spans="1:2" x14ac:dyDescent="0.2">
      <c r="A593">
        <v>44</v>
      </c>
      <c r="B593" s="3">
        <v>27.720800000000001</v>
      </c>
    </row>
    <row r="594" spans="1:2" x14ac:dyDescent="0.2">
      <c r="A594">
        <v>44</v>
      </c>
      <c r="B594" s="3">
        <v>26</v>
      </c>
    </row>
    <row r="595" spans="1:2" x14ac:dyDescent="0.2">
      <c r="A595">
        <v>44</v>
      </c>
      <c r="B595" s="3">
        <v>90</v>
      </c>
    </row>
    <row r="596" spans="1:2" x14ac:dyDescent="0.2">
      <c r="A596">
        <v>44</v>
      </c>
      <c r="B596" s="3">
        <v>7.9249999999999998</v>
      </c>
    </row>
    <row r="597" spans="1:2" x14ac:dyDescent="0.2">
      <c r="A597">
        <v>44</v>
      </c>
      <c r="B597" s="3">
        <v>57.979199999999999</v>
      </c>
    </row>
    <row r="598" spans="1:2" x14ac:dyDescent="0.2">
      <c r="A598">
        <v>44</v>
      </c>
      <c r="B598" s="3">
        <v>8.0500000000000007</v>
      </c>
    </row>
    <row r="599" spans="1:2" x14ac:dyDescent="0.2">
      <c r="A599">
        <v>44</v>
      </c>
      <c r="B599" s="3">
        <v>8.0500000000000007</v>
      </c>
    </row>
    <row r="600" spans="1:2" x14ac:dyDescent="0.2">
      <c r="A600">
        <v>44</v>
      </c>
      <c r="B600" s="3">
        <v>26</v>
      </c>
    </row>
    <row r="601" spans="1:2" x14ac:dyDescent="0.2">
      <c r="A601">
        <v>45</v>
      </c>
      <c r="B601" s="3">
        <v>83.474999999999994</v>
      </c>
    </row>
    <row r="602" spans="1:2" x14ac:dyDescent="0.2">
      <c r="A602">
        <v>45</v>
      </c>
      <c r="B602" s="3">
        <v>6.9749999999999996</v>
      </c>
    </row>
    <row r="603" spans="1:2" x14ac:dyDescent="0.2">
      <c r="A603">
        <v>45</v>
      </c>
      <c r="B603" s="3">
        <v>27.9</v>
      </c>
    </row>
    <row r="604" spans="1:2" x14ac:dyDescent="0.2">
      <c r="A604">
        <v>45</v>
      </c>
      <c r="B604" s="3">
        <v>26.55</v>
      </c>
    </row>
    <row r="605" spans="1:2" x14ac:dyDescent="0.2">
      <c r="A605">
        <v>45</v>
      </c>
      <c r="B605" s="3">
        <v>7.75</v>
      </c>
    </row>
    <row r="606" spans="1:2" x14ac:dyDescent="0.2">
      <c r="A606">
        <v>45</v>
      </c>
      <c r="B606" s="3">
        <v>8.0500000000000007</v>
      </c>
    </row>
    <row r="607" spans="1:2" x14ac:dyDescent="0.2">
      <c r="A607">
        <v>45</v>
      </c>
      <c r="B607" s="3">
        <v>35.5</v>
      </c>
    </row>
    <row r="608" spans="1:2" x14ac:dyDescent="0.2">
      <c r="A608">
        <v>45</v>
      </c>
      <c r="B608" s="3">
        <v>14.4542</v>
      </c>
    </row>
    <row r="609" spans="1:2" x14ac:dyDescent="0.2">
      <c r="A609">
        <v>45</v>
      </c>
      <c r="B609" s="3">
        <v>26.25</v>
      </c>
    </row>
    <row r="610" spans="1:2" x14ac:dyDescent="0.2">
      <c r="A610">
        <v>45</v>
      </c>
      <c r="B610" s="3">
        <v>26.55</v>
      </c>
    </row>
    <row r="611" spans="1:2" x14ac:dyDescent="0.2">
      <c r="A611">
        <v>45</v>
      </c>
      <c r="B611" s="3">
        <v>13.5</v>
      </c>
    </row>
    <row r="612" spans="1:2" x14ac:dyDescent="0.2">
      <c r="A612">
        <v>45</v>
      </c>
      <c r="B612" s="3">
        <v>164.86670000000001</v>
      </c>
    </row>
    <row r="613" spans="1:2" x14ac:dyDescent="0.2">
      <c r="A613">
        <v>45.5</v>
      </c>
      <c r="B613" s="3">
        <v>7.2249999999999996</v>
      </c>
    </row>
    <row r="614" spans="1:2" x14ac:dyDescent="0.2">
      <c r="A614">
        <v>45.5</v>
      </c>
      <c r="B614" s="3">
        <v>28.5</v>
      </c>
    </row>
    <row r="615" spans="1:2" x14ac:dyDescent="0.2">
      <c r="A615">
        <v>46</v>
      </c>
      <c r="B615" s="3">
        <v>61.174999999999997</v>
      </c>
    </row>
    <row r="616" spans="1:2" x14ac:dyDescent="0.2">
      <c r="A616">
        <v>46</v>
      </c>
      <c r="B616" s="3">
        <v>26</v>
      </c>
    </row>
    <row r="617" spans="1:2" x14ac:dyDescent="0.2">
      <c r="A617">
        <v>46</v>
      </c>
      <c r="B617" s="3">
        <v>79.2</v>
      </c>
    </row>
    <row r="618" spans="1:2" x14ac:dyDescent="0.2">
      <c r="A618">
        <v>47</v>
      </c>
      <c r="B618" s="3">
        <v>52</v>
      </c>
    </row>
    <row r="619" spans="1:2" x14ac:dyDescent="0.2">
      <c r="A619">
        <v>47</v>
      </c>
      <c r="B619" s="3">
        <v>14.5</v>
      </c>
    </row>
    <row r="620" spans="1:2" x14ac:dyDescent="0.2">
      <c r="A620">
        <v>47</v>
      </c>
      <c r="B620" s="3">
        <v>38.5</v>
      </c>
    </row>
    <row r="621" spans="1:2" x14ac:dyDescent="0.2">
      <c r="A621">
        <v>47</v>
      </c>
      <c r="B621" s="3">
        <v>34.020800000000001</v>
      </c>
    </row>
    <row r="622" spans="1:2" x14ac:dyDescent="0.2">
      <c r="A622">
        <v>47</v>
      </c>
      <c r="B622" s="3">
        <v>15</v>
      </c>
    </row>
    <row r="623" spans="1:2" x14ac:dyDescent="0.2">
      <c r="A623">
        <v>47</v>
      </c>
      <c r="B623" s="3">
        <v>7.25</v>
      </c>
    </row>
    <row r="624" spans="1:2" x14ac:dyDescent="0.2">
      <c r="A624">
        <v>47</v>
      </c>
      <c r="B624" s="3">
        <v>25.587499999999999</v>
      </c>
    </row>
    <row r="625" spans="1:2" x14ac:dyDescent="0.2">
      <c r="A625">
        <v>47</v>
      </c>
      <c r="B625" s="3">
        <v>52.554200000000002</v>
      </c>
    </row>
    <row r="626" spans="1:2" x14ac:dyDescent="0.2">
      <c r="A626">
        <v>47</v>
      </c>
      <c r="B626" s="3">
        <v>9</v>
      </c>
    </row>
    <row r="627" spans="1:2" x14ac:dyDescent="0.2">
      <c r="A627">
        <v>48</v>
      </c>
      <c r="B627" s="3">
        <v>26.55</v>
      </c>
    </row>
    <row r="628" spans="1:2" x14ac:dyDescent="0.2">
      <c r="A628">
        <v>48</v>
      </c>
      <c r="B628" s="3">
        <v>13</v>
      </c>
    </row>
    <row r="629" spans="1:2" x14ac:dyDescent="0.2">
      <c r="A629">
        <v>48</v>
      </c>
      <c r="B629" s="3">
        <v>39.6</v>
      </c>
    </row>
    <row r="630" spans="1:2" x14ac:dyDescent="0.2">
      <c r="A630">
        <v>48</v>
      </c>
      <c r="B630" s="3">
        <v>76.729200000000006</v>
      </c>
    </row>
    <row r="631" spans="1:2" x14ac:dyDescent="0.2">
      <c r="A631">
        <v>48</v>
      </c>
      <c r="B631" s="3">
        <v>52</v>
      </c>
    </row>
    <row r="632" spans="1:2" x14ac:dyDescent="0.2">
      <c r="A632">
        <v>48</v>
      </c>
      <c r="B632" s="3">
        <v>34.375</v>
      </c>
    </row>
    <row r="633" spans="1:2" x14ac:dyDescent="0.2">
      <c r="A633">
        <v>48</v>
      </c>
      <c r="B633" s="3">
        <v>65</v>
      </c>
    </row>
    <row r="634" spans="1:2" x14ac:dyDescent="0.2">
      <c r="A634">
        <v>48</v>
      </c>
      <c r="B634" s="3">
        <v>7.8541999999999996</v>
      </c>
    </row>
    <row r="635" spans="1:2" x14ac:dyDescent="0.2">
      <c r="A635">
        <v>48</v>
      </c>
      <c r="B635" s="3">
        <v>25.929200000000002</v>
      </c>
    </row>
    <row r="636" spans="1:2" x14ac:dyDescent="0.2">
      <c r="A636">
        <v>49</v>
      </c>
      <c r="B636" s="3">
        <v>76.729200000000006</v>
      </c>
    </row>
    <row r="637" spans="1:2" x14ac:dyDescent="0.2">
      <c r="A637">
        <v>49</v>
      </c>
      <c r="B637" s="3">
        <v>89.104200000000006</v>
      </c>
    </row>
    <row r="638" spans="1:2" x14ac:dyDescent="0.2">
      <c r="A638">
        <v>49</v>
      </c>
      <c r="B638" s="3">
        <v>0</v>
      </c>
    </row>
    <row r="639" spans="1:2" x14ac:dyDescent="0.2">
      <c r="A639">
        <v>49</v>
      </c>
      <c r="B639" s="3">
        <v>56.929200000000002</v>
      </c>
    </row>
    <row r="640" spans="1:2" x14ac:dyDescent="0.2">
      <c r="A640">
        <v>49</v>
      </c>
      <c r="B640" s="3">
        <v>110.88330000000001</v>
      </c>
    </row>
    <row r="641" spans="1:2" x14ac:dyDescent="0.2">
      <c r="A641">
        <v>49</v>
      </c>
      <c r="B641" s="3">
        <v>25.929200000000002</v>
      </c>
    </row>
    <row r="642" spans="1:2" x14ac:dyDescent="0.2">
      <c r="A642">
        <v>50</v>
      </c>
      <c r="B642" s="3">
        <v>28.712499999999999</v>
      </c>
    </row>
    <row r="643" spans="1:2" x14ac:dyDescent="0.2">
      <c r="A643">
        <v>50</v>
      </c>
      <c r="B643" s="3">
        <v>26</v>
      </c>
    </row>
    <row r="644" spans="1:2" x14ac:dyDescent="0.2">
      <c r="A644">
        <v>50</v>
      </c>
      <c r="B644" s="3">
        <v>247.52080000000001</v>
      </c>
    </row>
    <row r="645" spans="1:2" x14ac:dyDescent="0.2">
      <c r="A645">
        <v>50</v>
      </c>
      <c r="B645" s="3">
        <v>55.9</v>
      </c>
    </row>
    <row r="646" spans="1:2" x14ac:dyDescent="0.2">
      <c r="A646">
        <v>50</v>
      </c>
      <c r="B646" s="3">
        <v>10.5</v>
      </c>
    </row>
    <row r="647" spans="1:2" x14ac:dyDescent="0.2">
      <c r="A647">
        <v>50</v>
      </c>
      <c r="B647" s="3">
        <v>8.0500000000000007</v>
      </c>
    </row>
    <row r="648" spans="1:2" x14ac:dyDescent="0.2">
      <c r="A648">
        <v>50</v>
      </c>
      <c r="B648" s="3">
        <v>10.5</v>
      </c>
    </row>
    <row r="649" spans="1:2" x14ac:dyDescent="0.2">
      <c r="A649">
        <v>50</v>
      </c>
      <c r="B649" s="3">
        <v>106.425</v>
      </c>
    </row>
    <row r="650" spans="1:2" x14ac:dyDescent="0.2">
      <c r="A650">
        <v>50</v>
      </c>
      <c r="B650" s="3">
        <v>133.65</v>
      </c>
    </row>
    <row r="651" spans="1:2" x14ac:dyDescent="0.2">
      <c r="A651">
        <v>50</v>
      </c>
      <c r="B651" s="3">
        <v>13</v>
      </c>
    </row>
    <row r="652" spans="1:2" x14ac:dyDescent="0.2">
      <c r="A652">
        <v>51</v>
      </c>
      <c r="B652" s="3">
        <v>12.525</v>
      </c>
    </row>
    <row r="653" spans="1:2" x14ac:dyDescent="0.2">
      <c r="A653">
        <v>51</v>
      </c>
      <c r="B653" s="3">
        <v>61.379199999999997</v>
      </c>
    </row>
    <row r="654" spans="1:2" x14ac:dyDescent="0.2">
      <c r="A654">
        <v>51</v>
      </c>
      <c r="B654" s="3">
        <v>8.0500000000000007</v>
      </c>
    </row>
    <row r="655" spans="1:2" x14ac:dyDescent="0.2">
      <c r="A655">
        <v>51</v>
      </c>
      <c r="B655" s="3">
        <v>7.75</v>
      </c>
    </row>
    <row r="656" spans="1:2" x14ac:dyDescent="0.2">
      <c r="A656">
        <v>51</v>
      </c>
      <c r="B656" s="3">
        <v>7.0541999999999998</v>
      </c>
    </row>
    <row r="657" spans="1:2" x14ac:dyDescent="0.2">
      <c r="A657">
        <v>51</v>
      </c>
      <c r="B657" s="3">
        <v>77.958299999999994</v>
      </c>
    </row>
    <row r="658" spans="1:2" x14ac:dyDescent="0.2">
      <c r="A658">
        <v>51</v>
      </c>
      <c r="B658" s="3">
        <v>26.55</v>
      </c>
    </row>
    <row r="659" spans="1:2" x14ac:dyDescent="0.2">
      <c r="A659">
        <v>52</v>
      </c>
      <c r="B659" s="3">
        <v>79.650000000000006</v>
      </c>
    </row>
    <row r="660" spans="1:2" x14ac:dyDescent="0.2">
      <c r="A660">
        <v>52</v>
      </c>
      <c r="B660" s="3">
        <v>30.5</v>
      </c>
    </row>
    <row r="661" spans="1:2" x14ac:dyDescent="0.2">
      <c r="A661">
        <v>52</v>
      </c>
      <c r="B661" s="3">
        <v>78.2667</v>
      </c>
    </row>
    <row r="662" spans="1:2" x14ac:dyDescent="0.2">
      <c r="A662">
        <v>52</v>
      </c>
      <c r="B662" s="3">
        <v>13.5</v>
      </c>
    </row>
    <row r="663" spans="1:2" x14ac:dyDescent="0.2">
      <c r="A663">
        <v>52</v>
      </c>
      <c r="B663" s="3">
        <v>13</v>
      </c>
    </row>
    <row r="664" spans="1:2" x14ac:dyDescent="0.2">
      <c r="A664">
        <v>52</v>
      </c>
      <c r="B664" s="3">
        <v>93.5</v>
      </c>
    </row>
    <row r="665" spans="1:2" x14ac:dyDescent="0.2">
      <c r="A665">
        <v>53</v>
      </c>
      <c r="B665" s="3">
        <v>51.479199999999999</v>
      </c>
    </row>
    <row r="666" spans="1:2" x14ac:dyDescent="0.2">
      <c r="A666">
        <v>54</v>
      </c>
      <c r="B666" s="3">
        <v>51.862499999999997</v>
      </c>
    </row>
    <row r="667" spans="1:2" x14ac:dyDescent="0.2">
      <c r="A667">
        <v>54</v>
      </c>
      <c r="B667" s="3">
        <v>77.287499999999994</v>
      </c>
    </row>
    <row r="668" spans="1:2" x14ac:dyDescent="0.2">
      <c r="A668">
        <v>54</v>
      </c>
      <c r="B668" s="3">
        <v>26</v>
      </c>
    </row>
    <row r="669" spans="1:2" x14ac:dyDescent="0.2">
      <c r="A669">
        <v>54</v>
      </c>
      <c r="B669" s="3">
        <v>14</v>
      </c>
    </row>
    <row r="670" spans="1:2" x14ac:dyDescent="0.2">
      <c r="A670">
        <v>54</v>
      </c>
      <c r="B670" s="3">
        <v>78.2667</v>
      </c>
    </row>
    <row r="671" spans="1:2" x14ac:dyDescent="0.2">
      <c r="A671">
        <v>54</v>
      </c>
      <c r="B671" s="3">
        <v>59.4</v>
      </c>
    </row>
    <row r="672" spans="1:2" x14ac:dyDescent="0.2">
      <c r="A672">
        <v>54</v>
      </c>
      <c r="B672" s="3">
        <v>26</v>
      </c>
    </row>
    <row r="673" spans="1:2" x14ac:dyDescent="0.2">
      <c r="A673">
        <v>54</v>
      </c>
      <c r="B673" s="3">
        <v>23</v>
      </c>
    </row>
    <row r="674" spans="1:2" x14ac:dyDescent="0.2">
      <c r="A674">
        <v>55</v>
      </c>
      <c r="B674" s="3">
        <v>16</v>
      </c>
    </row>
    <row r="675" spans="1:2" x14ac:dyDescent="0.2">
      <c r="A675">
        <v>55</v>
      </c>
      <c r="B675" s="3">
        <v>30.5</v>
      </c>
    </row>
    <row r="676" spans="1:2" x14ac:dyDescent="0.2">
      <c r="A676">
        <v>55.5</v>
      </c>
      <c r="B676" s="3">
        <v>8.0500000000000007</v>
      </c>
    </row>
    <row r="677" spans="1:2" x14ac:dyDescent="0.2">
      <c r="A677">
        <v>56</v>
      </c>
      <c r="B677" s="3">
        <v>30.695799999999998</v>
      </c>
    </row>
    <row r="678" spans="1:2" x14ac:dyDescent="0.2">
      <c r="A678">
        <v>56</v>
      </c>
      <c r="B678" s="3">
        <v>26.55</v>
      </c>
    </row>
    <row r="679" spans="1:2" x14ac:dyDescent="0.2">
      <c r="A679">
        <v>56</v>
      </c>
      <c r="B679" s="3">
        <v>35.5</v>
      </c>
    </row>
    <row r="680" spans="1:2" x14ac:dyDescent="0.2">
      <c r="A680">
        <v>56</v>
      </c>
      <c r="B680" s="3">
        <v>83.158299999999997</v>
      </c>
    </row>
    <row r="681" spans="1:2" x14ac:dyDescent="0.2">
      <c r="A681">
        <v>57</v>
      </c>
      <c r="B681" s="3">
        <v>12.35</v>
      </c>
    </row>
    <row r="682" spans="1:2" x14ac:dyDescent="0.2">
      <c r="A682">
        <v>57</v>
      </c>
      <c r="B682" s="3">
        <v>10.5</v>
      </c>
    </row>
    <row r="683" spans="1:2" x14ac:dyDescent="0.2">
      <c r="A683">
        <v>58</v>
      </c>
      <c r="B683" s="3">
        <v>26.55</v>
      </c>
    </row>
    <row r="684" spans="1:2" x14ac:dyDescent="0.2">
      <c r="A684">
        <v>58</v>
      </c>
      <c r="B684" s="3">
        <v>146.52080000000001</v>
      </c>
    </row>
    <row r="685" spans="1:2" x14ac:dyDescent="0.2">
      <c r="A685">
        <v>58</v>
      </c>
      <c r="B685" s="3">
        <v>153.46250000000001</v>
      </c>
    </row>
    <row r="686" spans="1:2" x14ac:dyDescent="0.2">
      <c r="A686">
        <v>58</v>
      </c>
      <c r="B686" s="3">
        <v>29.7</v>
      </c>
    </row>
    <row r="687" spans="1:2" x14ac:dyDescent="0.2">
      <c r="A687">
        <v>58</v>
      </c>
      <c r="B687" s="3">
        <v>113.27500000000001</v>
      </c>
    </row>
    <row r="688" spans="1:2" x14ac:dyDescent="0.2">
      <c r="A688">
        <v>59</v>
      </c>
      <c r="B688" s="3">
        <v>7.25</v>
      </c>
    </row>
    <row r="689" spans="1:2" x14ac:dyDescent="0.2">
      <c r="A689">
        <v>59</v>
      </c>
      <c r="B689" s="3">
        <v>13.5</v>
      </c>
    </row>
    <row r="690" spans="1:2" x14ac:dyDescent="0.2">
      <c r="A690">
        <v>60</v>
      </c>
      <c r="B690" s="3">
        <v>75.25</v>
      </c>
    </row>
    <row r="691" spans="1:2" x14ac:dyDescent="0.2">
      <c r="A691">
        <v>60</v>
      </c>
      <c r="B691" s="3">
        <v>79.2</v>
      </c>
    </row>
    <row r="692" spans="1:2" x14ac:dyDescent="0.2">
      <c r="A692">
        <v>60</v>
      </c>
      <c r="B692" s="3">
        <v>39</v>
      </c>
    </row>
    <row r="693" spans="1:2" x14ac:dyDescent="0.2">
      <c r="A693">
        <v>60</v>
      </c>
      <c r="B693" s="3">
        <v>26.55</v>
      </c>
    </row>
    <row r="694" spans="1:2" x14ac:dyDescent="0.2">
      <c r="A694">
        <v>61</v>
      </c>
      <c r="B694" s="3">
        <v>33.5</v>
      </c>
    </row>
    <row r="695" spans="1:2" x14ac:dyDescent="0.2">
      <c r="A695">
        <v>61</v>
      </c>
      <c r="B695" s="3">
        <v>6.2374999999999998</v>
      </c>
    </row>
    <row r="696" spans="1:2" x14ac:dyDescent="0.2">
      <c r="A696">
        <v>61</v>
      </c>
      <c r="B696" s="3">
        <v>32.320799999999998</v>
      </c>
    </row>
    <row r="697" spans="1:2" x14ac:dyDescent="0.2">
      <c r="A697">
        <v>62</v>
      </c>
      <c r="B697" s="3">
        <v>26.55</v>
      </c>
    </row>
    <row r="698" spans="1:2" x14ac:dyDescent="0.2">
      <c r="A698">
        <v>62</v>
      </c>
      <c r="B698" s="3">
        <v>26.55</v>
      </c>
    </row>
    <row r="699" spans="1:2" x14ac:dyDescent="0.2">
      <c r="A699">
        <v>62</v>
      </c>
      <c r="B699" s="3">
        <v>10.5</v>
      </c>
    </row>
    <row r="700" spans="1:2" x14ac:dyDescent="0.2">
      <c r="A700">
        <v>62</v>
      </c>
      <c r="B700" s="3">
        <v>80</v>
      </c>
    </row>
    <row r="701" spans="1:2" x14ac:dyDescent="0.2">
      <c r="A701">
        <v>63</v>
      </c>
      <c r="B701" s="3">
        <v>77.958299999999994</v>
      </c>
    </row>
    <row r="702" spans="1:2" x14ac:dyDescent="0.2">
      <c r="A702">
        <v>63</v>
      </c>
      <c r="B702" s="3">
        <v>9.5875000000000004</v>
      </c>
    </row>
    <row r="703" spans="1:2" x14ac:dyDescent="0.2">
      <c r="A703">
        <v>64</v>
      </c>
      <c r="B703" s="3">
        <v>263</v>
      </c>
    </row>
    <row r="704" spans="1:2" x14ac:dyDescent="0.2">
      <c r="A704">
        <v>64</v>
      </c>
      <c r="B704" s="3">
        <v>26</v>
      </c>
    </row>
    <row r="705" spans="1:2" x14ac:dyDescent="0.2">
      <c r="A705">
        <v>65</v>
      </c>
      <c r="B705" s="3">
        <v>61.979199999999999</v>
      </c>
    </row>
    <row r="706" spans="1:2" x14ac:dyDescent="0.2">
      <c r="A706">
        <v>65</v>
      </c>
      <c r="B706" s="3">
        <v>7.75</v>
      </c>
    </row>
    <row r="707" spans="1:2" x14ac:dyDescent="0.2">
      <c r="A707">
        <v>65</v>
      </c>
      <c r="B707" s="3">
        <v>26.55</v>
      </c>
    </row>
    <row r="708" spans="1:2" x14ac:dyDescent="0.2">
      <c r="A708">
        <v>66</v>
      </c>
      <c r="B708" s="3">
        <v>10.5</v>
      </c>
    </row>
    <row r="709" spans="1:2" x14ac:dyDescent="0.2">
      <c r="A709">
        <v>70</v>
      </c>
      <c r="B709" s="3">
        <v>10.5</v>
      </c>
    </row>
    <row r="710" spans="1:2" x14ac:dyDescent="0.2">
      <c r="A710">
        <v>70</v>
      </c>
      <c r="B710" s="3">
        <v>71</v>
      </c>
    </row>
    <row r="711" spans="1:2" x14ac:dyDescent="0.2">
      <c r="A711">
        <v>70.5</v>
      </c>
      <c r="B711" s="3">
        <v>7.75</v>
      </c>
    </row>
    <row r="712" spans="1:2" x14ac:dyDescent="0.2">
      <c r="A712">
        <v>71</v>
      </c>
      <c r="B712" s="3">
        <v>34.654200000000003</v>
      </c>
    </row>
    <row r="713" spans="1:2" x14ac:dyDescent="0.2">
      <c r="A713">
        <v>71</v>
      </c>
      <c r="B713" s="3">
        <v>49.504199999999997</v>
      </c>
    </row>
    <row r="714" spans="1:2" x14ac:dyDescent="0.2">
      <c r="A714">
        <v>74</v>
      </c>
      <c r="B714" s="3">
        <v>7.7750000000000004</v>
      </c>
    </row>
    <row r="715" spans="1:2" x14ac:dyDescent="0.2">
      <c r="A715">
        <v>80</v>
      </c>
      <c r="B715" s="3">
        <v>30</v>
      </c>
    </row>
    <row r="716" spans="1:2" x14ac:dyDescent="0.2">
      <c r="B716" s="3">
        <v>8.4582999999999995</v>
      </c>
    </row>
    <row r="717" spans="1:2" x14ac:dyDescent="0.2">
      <c r="B717" s="3">
        <v>13</v>
      </c>
    </row>
    <row r="718" spans="1:2" x14ac:dyDescent="0.2">
      <c r="B718" s="3">
        <v>7.2249999999999996</v>
      </c>
    </row>
    <row r="719" spans="1:2" x14ac:dyDescent="0.2">
      <c r="B719" s="3">
        <v>7.2249999999999996</v>
      </c>
    </row>
    <row r="720" spans="1:2" x14ac:dyDescent="0.2">
      <c r="B720" s="3">
        <v>7.8792</v>
      </c>
    </row>
    <row r="721" spans="2:2" x14ac:dyDescent="0.2">
      <c r="B721" s="3">
        <v>7.8958000000000004</v>
      </c>
    </row>
    <row r="722" spans="2:2" x14ac:dyDescent="0.2">
      <c r="B722" s="3">
        <v>146.52080000000001</v>
      </c>
    </row>
    <row r="723" spans="2:2" x14ac:dyDescent="0.2">
      <c r="B723" s="3">
        <v>7.75</v>
      </c>
    </row>
    <row r="724" spans="2:2" x14ac:dyDescent="0.2">
      <c r="B724" s="3">
        <v>7.2291999999999996</v>
      </c>
    </row>
    <row r="725" spans="2:2" x14ac:dyDescent="0.2">
      <c r="B725" s="3">
        <v>7.8958000000000004</v>
      </c>
    </row>
    <row r="726" spans="2:2" x14ac:dyDescent="0.2">
      <c r="B726" s="3">
        <v>8.0500000000000007</v>
      </c>
    </row>
    <row r="727" spans="2:2" x14ac:dyDescent="0.2">
      <c r="B727" s="3">
        <v>15.5</v>
      </c>
    </row>
    <row r="728" spans="2:2" x14ac:dyDescent="0.2">
      <c r="B728" s="3">
        <v>7.75</v>
      </c>
    </row>
    <row r="729" spans="2:2" x14ac:dyDescent="0.2">
      <c r="B729" s="3">
        <v>21.679200000000002</v>
      </c>
    </row>
    <row r="730" spans="2:2" x14ac:dyDescent="0.2">
      <c r="B730" s="3">
        <v>35.5</v>
      </c>
    </row>
    <row r="731" spans="2:2" x14ac:dyDescent="0.2">
      <c r="B731" s="3">
        <v>27.720800000000001</v>
      </c>
    </row>
    <row r="732" spans="2:2" x14ac:dyDescent="0.2">
      <c r="B732" s="3">
        <v>15.245799999999999</v>
      </c>
    </row>
    <row r="733" spans="2:2" x14ac:dyDescent="0.2">
      <c r="B733" s="3">
        <v>7.8958000000000004</v>
      </c>
    </row>
    <row r="734" spans="2:2" x14ac:dyDescent="0.2">
      <c r="B734" s="3">
        <v>8.0500000000000007</v>
      </c>
    </row>
    <row r="735" spans="2:2" x14ac:dyDescent="0.2">
      <c r="B735" s="3">
        <v>7.7874999999999996</v>
      </c>
    </row>
    <row r="736" spans="2:2" x14ac:dyDescent="0.2">
      <c r="B736" s="3">
        <v>8.0500000000000007</v>
      </c>
    </row>
    <row r="737" spans="2:2" x14ac:dyDescent="0.2">
      <c r="B737" s="3">
        <v>8.0500000000000007</v>
      </c>
    </row>
    <row r="738" spans="2:2" x14ac:dyDescent="0.2">
      <c r="B738" s="3">
        <v>7.8958000000000004</v>
      </c>
    </row>
    <row r="739" spans="2:2" x14ac:dyDescent="0.2">
      <c r="B739" s="3">
        <v>7.7750000000000004</v>
      </c>
    </row>
    <row r="740" spans="2:2" x14ac:dyDescent="0.2">
      <c r="B740" s="3">
        <v>24.15</v>
      </c>
    </row>
    <row r="741" spans="2:2" x14ac:dyDescent="0.2">
      <c r="B741" s="3">
        <v>8.0500000000000007</v>
      </c>
    </row>
    <row r="742" spans="2:2" x14ac:dyDescent="0.2">
      <c r="B742" s="3">
        <v>7.75</v>
      </c>
    </row>
    <row r="743" spans="2:2" x14ac:dyDescent="0.2">
      <c r="B743" s="3">
        <v>22.3583</v>
      </c>
    </row>
    <row r="744" spans="2:2" x14ac:dyDescent="0.2">
      <c r="B744" s="3">
        <v>15.245799999999999</v>
      </c>
    </row>
    <row r="745" spans="2:2" x14ac:dyDescent="0.2">
      <c r="B745" s="3">
        <v>7.3125</v>
      </c>
    </row>
    <row r="746" spans="2:2" x14ac:dyDescent="0.2">
      <c r="B746" s="3">
        <v>8.6624999999999996</v>
      </c>
    </row>
    <row r="747" spans="2:2" x14ac:dyDescent="0.2">
      <c r="B747" s="3">
        <v>69.55</v>
      </c>
    </row>
    <row r="748" spans="2:2" x14ac:dyDescent="0.2">
      <c r="B748" s="3">
        <v>55</v>
      </c>
    </row>
    <row r="749" spans="2:2" x14ac:dyDescent="0.2">
      <c r="B749" s="3">
        <v>25.925000000000001</v>
      </c>
    </row>
    <row r="750" spans="2:2" x14ac:dyDescent="0.2">
      <c r="B750" s="3">
        <v>25.466699999999999</v>
      </c>
    </row>
    <row r="751" spans="2:2" x14ac:dyDescent="0.2">
      <c r="B751" s="3">
        <v>69.55</v>
      </c>
    </row>
    <row r="752" spans="2:2" x14ac:dyDescent="0.2">
      <c r="B752" s="3">
        <v>15.05</v>
      </c>
    </row>
    <row r="753" spans="2:2" x14ac:dyDescent="0.2">
      <c r="B753" s="3">
        <v>50</v>
      </c>
    </row>
    <row r="754" spans="2:2" x14ac:dyDescent="0.2">
      <c r="B754" s="3">
        <v>15.5</v>
      </c>
    </row>
    <row r="755" spans="2:2" x14ac:dyDescent="0.2">
      <c r="B755" s="3">
        <v>7.75</v>
      </c>
    </row>
    <row r="756" spans="2:2" x14ac:dyDescent="0.2">
      <c r="B756" s="3">
        <v>7.75</v>
      </c>
    </row>
    <row r="757" spans="2:2" x14ac:dyDescent="0.2">
      <c r="B757" s="3">
        <v>69.55</v>
      </c>
    </row>
    <row r="758" spans="2:2" x14ac:dyDescent="0.2">
      <c r="B758" s="3">
        <v>7.75</v>
      </c>
    </row>
    <row r="759" spans="2:2" x14ac:dyDescent="0.2">
      <c r="B759" s="3">
        <v>7.8958000000000004</v>
      </c>
    </row>
    <row r="760" spans="2:2" x14ac:dyDescent="0.2">
      <c r="B760" s="3">
        <v>25.466699999999999</v>
      </c>
    </row>
    <row r="761" spans="2:2" x14ac:dyDescent="0.2">
      <c r="B761" s="3">
        <v>7.55</v>
      </c>
    </row>
    <row r="762" spans="2:2" x14ac:dyDescent="0.2">
      <c r="B762" s="3">
        <v>14.4542</v>
      </c>
    </row>
    <row r="763" spans="2:2" x14ac:dyDescent="0.2">
      <c r="B763" s="3">
        <v>15.5</v>
      </c>
    </row>
    <row r="764" spans="2:2" x14ac:dyDescent="0.2">
      <c r="B764" s="3">
        <v>7.25</v>
      </c>
    </row>
    <row r="765" spans="2:2" x14ac:dyDescent="0.2">
      <c r="B765" s="3">
        <v>79.2</v>
      </c>
    </row>
    <row r="766" spans="2:2" x14ac:dyDescent="0.2">
      <c r="B766" s="3">
        <v>7.75</v>
      </c>
    </row>
    <row r="767" spans="2:2" x14ac:dyDescent="0.2">
      <c r="B767" s="3">
        <v>7.75</v>
      </c>
    </row>
    <row r="768" spans="2:2" x14ac:dyDescent="0.2">
      <c r="B768" s="3">
        <v>31</v>
      </c>
    </row>
    <row r="769" spans="2:2" x14ac:dyDescent="0.2">
      <c r="B769" s="3">
        <v>7.75</v>
      </c>
    </row>
    <row r="770" spans="2:2" x14ac:dyDescent="0.2">
      <c r="B770" s="3">
        <v>0</v>
      </c>
    </row>
    <row r="771" spans="2:2" x14ac:dyDescent="0.2">
      <c r="B771" s="3">
        <v>26</v>
      </c>
    </row>
    <row r="772" spans="2:2" x14ac:dyDescent="0.2">
      <c r="B772" s="3">
        <v>27.720800000000001</v>
      </c>
    </row>
    <row r="773" spans="2:2" x14ac:dyDescent="0.2">
      <c r="B773" s="3">
        <v>30.5</v>
      </c>
    </row>
    <row r="774" spans="2:2" x14ac:dyDescent="0.2">
      <c r="B774" s="3">
        <v>7.75</v>
      </c>
    </row>
    <row r="775" spans="2:2" x14ac:dyDescent="0.2">
      <c r="B775" s="3">
        <v>23.25</v>
      </c>
    </row>
    <row r="776" spans="2:2" x14ac:dyDescent="0.2">
      <c r="B776" s="3">
        <v>12.35</v>
      </c>
    </row>
    <row r="777" spans="2:2" x14ac:dyDescent="0.2">
      <c r="B777" s="3">
        <v>8.0500000000000007</v>
      </c>
    </row>
    <row r="778" spans="2:2" x14ac:dyDescent="0.2">
      <c r="B778" s="3">
        <v>110.88330000000001</v>
      </c>
    </row>
    <row r="779" spans="2:2" x14ac:dyDescent="0.2">
      <c r="B779" s="3">
        <v>69.55</v>
      </c>
    </row>
    <row r="780" spans="2:2" x14ac:dyDescent="0.2">
      <c r="B780" s="3">
        <v>23.25</v>
      </c>
    </row>
    <row r="781" spans="2:2" x14ac:dyDescent="0.2">
      <c r="B781" s="3">
        <v>133.65</v>
      </c>
    </row>
    <row r="782" spans="2:2" x14ac:dyDescent="0.2">
      <c r="B782" s="3">
        <v>7.8958000000000004</v>
      </c>
    </row>
    <row r="783" spans="2:2" x14ac:dyDescent="0.2">
      <c r="B783" s="3">
        <v>16.100000000000001</v>
      </c>
    </row>
    <row r="784" spans="2:2" x14ac:dyDescent="0.2">
      <c r="B784" s="3">
        <v>35</v>
      </c>
    </row>
    <row r="785" spans="2:2" x14ac:dyDescent="0.2">
      <c r="B785" s="3">
        <v>7.2249999999999996</v>
      </c>
    </row>
    <row r="786" spans="2:2" x14ac:dyDescent="0.2">
      <c r="B786" s="3">
        <v>7.8792</v>
      </c>
    </row>
    <row r="787" spans="2:2" x14ac:dyDescent="0.2">
      <c r="B787" s="3">
        <v>7.8792</v>
      </c>
    </row>
    <row r="788" spans="2:2" x14ac:dyDescent="0.2">
      <c r="B788" s="3">
        <v>15.5</v>
      </c>
    </row>
    <row r="789" spans="2:2" x14ac:dyDescent="0.2">
      <c r="B789" s="3">
        <v>7.2291999999999996</v>
      </c>
    </row>
    <row r="790" spans="2:2" x14ac:dyDescent="0.2">
      <c r="B790" s="3">
        <v>7.75</v>
      </c>
    </row>
    <row r="791" spans="2:2" x14ac:dyDescent="0.2">
      <c r="B791" s="3">
        <v>82.1708</v>
      </c>
    </row>
    <row r="792" spans="2:2" x14ac:dyDescent="0.2">
      <c r="B792" s="3">
        <v>7.8958000000000004</v>
      </c>
    </row>
    <row r="793" spans="2:2" x14ac:dyDescent="0.2">
      <c r="B793" s="3">
        <v>7.7291999999999996</v>
      </c>
    </row>
    <row r="794" spans="2:2" x14ac:dyDescent="0.2">
      <c r="B794" s="3">
        <v>25.466699999999999</v>
      </c>
    </row>
    <row r="795" spans="2:2" x14ac:dyDescent="0.2">
      <c r="B795" s="3">
        <v>7.8958000000000004</v>
      </c>
    </row>
    <row r="796" spans="2:2" x14ac:dyDescent="0.2">
      <c r="B796" s="3">
        <v>6.8582999999999998</v>
      </c>
    </row>
    <row r="797" spans="2:2" x14ac:dyDescent="0.2">
      <c r="B797" s="3">
        <v>0</v>
      </c>
    </row>
    <row r="798" spans="2:2" x14ac:dyDescent="0.2">
      <c r="B798" s="3">
        <v>8.0500000000000007</v>
      </c>
    </row>
    <row r="799" spans="2:2" x14ac:dyDescent="0.2">
      <c r="B799" s="3">
        <v>7.8958000000000004</v>
      </c>
    </row>
    <row r="800" spans="2:2" x14ac:dyDescent="0.2">
      <c r="B800" s="3">
        <v>7.25</v>
      </c>
    </row>
    <row r="801" spans="2:2" x14ac:dyDescent="0.2">
      <c r="B801" s="3">
        <v>7.75</v>
      </c>
    </row>
    <row r="802" spans="2:2" x14ac:dyDescent="0.2">
      <c r="B802" s="3">
        <v>16.100000000000001</v>
      </c>
    </row>
    <row r="803" spans="2:2" x14ac:dyDescent="0.2">
      <c r="B803" s="3">
        <v>8.1125000000000007</v>
      </c>
    </row>
    <row r="804" spans="2:2" x14ac:dyDescent="0.2">
      <c r="B804" s="3">
        <v>19.966699999999999</v>
      </c>
    </row>
    <row r="805" spans="2:2" x14ac:dyDescent="0.2">
      <c r="B805" s="3">
        <v>8.0500000000000007</v>
      </c>
    </row>
    <row r="806" spans="2:2" x14ac:dyDescent="0.2">
      <c r="B806" s="3">
        <v>51.862499999999997</v>
      </c>
    </row>
    <row r="807" spans="2:2" x14ac:dyDescent="0.2">
      <c r="B807" s="3">
        <v>7.75</v>
      </c>
    </row>
    <row r="808" spans="2:2" x14ac:dyDescent="0.2">
      <c r="B808" s="3">
        <v>8.0500000000000007</v>
      </c>
    </row>
    <row r="809" spans="2:2" x14ac:dyDescent="0.2">
      <c r="B809" s="3">
        <v>0</v>
      </c>
    </row>
    <row r="810" spans="2:2" x14ac:dyDescent="0.2">
      <c r="B810" s="3">
        <v>7.7249999999999996</v>
      </c>
    </row>
    <row r="811" spans="2:2" x14ac:dyDescent="0.2">
      <c r="B811" s="3">
        <v>7.25</v>
      </c>
    </row>
    <row r="812" spans="2:2" x14ac:dyDescent="0.2">
      <c r="B812" s="3">
        <v>52</v>
      </c>
    </row>
    <row r="813" spans="2:2" x14ac:dyDescent="0.2">
      <c r="B813" s="3">
        <v>0</v>
      </c>
    </row>
    <row r="814" spans="2:2" x14ac:dyDescent="0.2">
      <c r="B814" s="3">
        <v>25.466699999999999</v>
      </c>
    </row>
    <row r="815" spans="2:2" x14ac:dyDescent="0.2">
      <c r="B815" s="3">
        <v>19.966699999999999</v>
      </c>
    </row>
    <row r="816" spans="2:2" x14ac:dyDescent="0.2">
      <c r="B816" s="3">
        <v>14.458299999999999</v>
      </c>
    </row>
    <row r="817" spans="2:2" x14ac:dyDescent="0.2">
      <c r="B817" s="3">
        <v>15.1</v>
      </c>
    </row>
    <row r="818" spans="2:2" x14ac:dyDescent="0.2">
      <c r="B818" s="3">
        <v>7.6292</v>
      </c>
    </row>
    <row r="819" spans="2:2" x14ac:dyDescent="0.2">
      <c r="B819" s="3">
        <v>26.55</v>
      </c>
    </row>
    <row r="820" spans="2:2" x14ac:dyDescent="0.2">
      <c r="B820" s="3">
        <v>8.0500000000000007</v>
      </c>
    </row>
    <row r="821" spans="2:2" x14ac:dyDescent="0.2">
      <c r="B821" s="3">
        <v>24.15</v>
      </c>
    </row>
    <row r="822" spans="2:2" x14ac:dyDescent="0.2">
      <c r="B822" s="3">
        <v>7.2249999999999996</v>
      </c>
    </row>
    <row r="823" spans="2:2" x14ac:dyDescent="0.2">
      <c r="B823" s="3">
        <v>7.2291999999999996</v>
      </c>
    </row>
    <row r="824" spans="2:2" x14ac:dyDescent="0.2">
      <c r="B824" s="3">
        <v>221.7792</v>
      </c>
    </row>
    <row r="825" spans="2:2" x14ac:dyDescent="0.2">
      <c r="B825" s="3">
        <v>7.2291999999999996</v>
      </c>
    </row>
    <row r="826" spans="2:2" x14ac:dyDescent="0.2">
      <c r="B826" s="3">
        <v>22.3583</v>
      </c>
    </row>
    <row r="827" spans="2:2" x14ac:dyDescent="0.2">
      <c r="B827" s="3">
        <v>14.5</v>
      </c>
    </row>
    <row r="828" spans="2:2" x14ac:dyDescent="0.2">
      <c r="B828" s="3">
        <v>13.862500000000001</v>
      </c>
    </row>
    <row r="829" spans="2:2" x14ac:dyDescent="0.2">
      <c r="B829" s="3">
        <v>7.8292000000000002</v>
      </c>
    </row>
    <row r="830" spans="2:2" x14ac:dyDescent="0.2">
      <c r="B830" s="3">
        <v>227.52500000000001</v>
      </c>
    </row>
    <row r="831" spans="2:2" x14ac:dyDescent="0.2">
      <c r="B831" s="3">
        <v>7.75</v>
      </c>
    </row>
    <row r="832" spans="2:2" x14ac:dyDescent="0.2">
      <c r="B832" s="3">
        <v>8.0500000000000007</v>
      </c>
    </row>
    <row r="833" spans="2:2" x14ac:dyDescent="0.2">
      <c r="B833" s="3">
        <v>8.0500000000000007</v>
      </c>
    </row>
    <row r="834" spans="2:2" x14ac:dyDescent="0.2">
      <c r="B834" s="3">
        <v>7.2291999999999996</v>
      </c>
    </row>
    <row r="835" spans="2:2" x14ac:dyDescent="0.2">
      <c r="B835" s="3">
        <v>7.75</v>
      </c>
    </row>
    <row r="836" spans="2:2" x14ac:dyDescent="0.2">
      <c r="B836" s="3">
        <v>14.458299999999999</v>
      </c>
    </row>
    <row r="837" spans="2:2" x14ac:dyDescent="0.2">
      <c r="B837" s="3">
        <v>8.7125000000000004</v>
      </c>
    </row>
    <row r="838" spans="2:2" x14ac:dyDescent="0.2">
      <c r="B838" s="3">
        <v>8.0500000000000007</v>
      </c>
    </row>
    <row r="839" spans="2:2" x14ac:dyDescent="0.2">
      <c r="B839" s="3">
        <v>7.75</v>
      </c>
    </row>
    <row r="840" spans="2:2" x14ac:dyDescent="0.2">
      <c r="B840" s="3">
        <v>33</v>
      </c>
    </row>
    <row r="841" spans="2:2" x14ac:dyDescent="0.2">
      <c r="B841" s="3">
        <v>7.2249999999999996</v>
      </c>
    </row>
    <row r="842" spans="2:2" x14ac:dyDescent="0.2">
      <c r="B842" s="3">
        <v>7.8958000000000004</v>
      </c>
    </row>
    <row r="843" spans="2:2" x14ac:dyDescent="0.2">
      <c r="B843" s="3">
        <v>42.4</v>
      </c>
    </row>
    <row r="844" spans="2:2" x14ac:dyDescent="0.2">
      <c r="B844" s="3">
        <v>7.05</v>
      </c>
    </row>
    <row r="845" spans="2:2" x14ac:dyDescent="0.2">
      <c r="B845" s="3">
        <v>15.5</v>
      </c>
    </row>
    <row r="846" spans="2:2" x14ac:dyDescent="0.2">
      <c r="B846" s="3">
        <v>7.75</v>
      </c>
    </row>
    <row r="847" spans="2:2" x14ac:dyDescent="0.2">
      <c r="B847" s="3">
        <v>7.7332999999999998</v>
      </c>
    </row>
    <row r="848" spans="2:2" x14ac:dyDescent="0.2">
      <c r="B848" s="3">
        <v>0</v>
      </c>
    </row>
    <row r="849" spans="2:2" x14ac:dyDescent="0.2">
      <c r="B849" s="3">
        <v>16.100000000000001</v>
      </c>
    </row>
    <row r="850" spans="2:2" x14ac:dyDescent="0.2">
      <c r="B850" s="3">
        <v>56.495800000000003</v>
      </c>
    </row>
    <row r="851" spans="2:2" x14ac:dyDescent="0.2">
      <c r="B851" s="3">
        <v>7.55</v>
      </c>
    </row>
    <row r="852" spans="2:2" x14ac:dyDescent="0.2">
      <c r="B852" s="3">
        <v>7.8958000000000004</v>
      </c>
    </row>
    <row r="853" spans="2:2" x14ac:dyDescent="0.2">
      <c r="B853" s="3">
        <v>7.8292000000000002</v>
      </c>
    </row>
    <row r="854" spans="2:2" x14ac:dyDescent="0.2">
      <c r="B854" s="3">
        <v>7.8958000000000004</v>
      </c>
    </row>
    <row r="855" spans="2:2" x14ac:dyDescent="0.2">
      <c r="B855" s="3">
        <v>7.7750000000000004</v>
      </c>
    </row>
    <row r="856" spans="2:2" x14ac:dyDescent="0.2">
      <c r="B856" s="3">
        <v>52</v>
      </c>
    </row>
    <row r="857" spans="2:2" x14ac:dyDescent="0.2">
      <c r="B857" s="3">
        <v>0</v>
      </c>
    </row>
    <row r="858" spans="2:2" x14ac:dyDescent="0.2">
      <c r="B858" s="3">
        <v>8.1374999999999993</v>
      </c>
    </row>
    <row r="859" spans="2:2" x14ac:dyDescent="0.2">
      <c r="B859" s="3">
        <v>56.495800000000003</v>
      </c>
    </row>
    <row r="860" spans="2:2" x14ac:dyDescent="0.2">
      <c r="B860" s="3">
        <v>7.7332999999999998</v>
      </c>
    </row>
    <row r="861" spans="2:2" x14ac:dyDescent="0.2">
      <c r="B861" s="3">
        <v>15.245799999999999</v>
      </c>
    </row>
    <row r="862" spans="2:2" x14ac:dyDescent="0.2">
      <c r="B862" s="3">
        <v>26.55</v>
      </c>
    </row>
    <row r="863" spans="2:2" x14ac:dyDescent="0.2">
      <c r="B863" s="3">
        <v>15.5</v>
      </c>
    </row>
    <row r="864" spans="2:2" x14ac:dyDescent="0.2">
      <c r="B864" s="3">
        <v>7.7374999999999998</v>
      </c>
    </row>
    <row r="865" spans="2:2" x14ac:dyDescent="0.2">
      <c r="B865" s="3">
        <v>0</v>
      </c>
    </row>
    <row r="866" spans="2:2" x14ac:dyDescent="0.2">
      <c r="B866" s="3">
        <v>7.8958000000000004</v>
      </c>
    </row>
    <row r="867" spans="2:2" x14ac:dyDescent="0.2">
      <c r="B867" s="3">
        <v>7.8958000000000004</v>
      </c>
    </row>
    <row r="868" spans="2:2" x14ac:dyDescent="0.2">
      <c r="B868" s="3">
        <v>30</v>
      </c>
    </row>
    <row r="869" spans="2:2" x14ac:dyDescent="0.2">
      <c r="B869" s="3">
        <v>14.5</v>
      </c>
    </row>
    <row r="870" spans="2:2" x14ac:dyDescent="0.2">
      <c r="B870" s="3">
        <v>39.6</v>
      </c>
    </row>
    <row r="871" spans="2:2" x14ac:dyDescent="0.2">
      <c r="B871" s="3">
        <v>24.15</v>
      </c>
    </row>
    <row r="872" spans="2:2" x14ac:dyDescent="0.2">
      <c r="B872" s="3">
        <v>7.2249999999999996</v>
      </c>
    </row>
    <row r="873" spans="2:2" x14ac:dyDescent="0.2">
      <c r="B873" s="3">
        <v>7.75</v>
      </c>
    </row>
    <row r="874" spans="2:2" x14ac:dyDescent="0.2">
      <c r="B874" s="3">
        <v>7.7374999999999998</v>
      </c>
    </row>
    <row r="875" spans="2:2" x14ac:dyDescent="0.2">
      <c r="B875" s="3">
        <v>23.45</v>
      </c>
    </row>
    <row r="876" spans="2:2" x14ac:dyDescent="0.2">
      <c r="B876" s="3">
        <v>7.75</v>
      </c>
    </row>
    <row r="877" spans="2:2" x14ac:dyDescent="0.2">
      <c r="B877" s="3">
        <v>69.55</v>
      </c>
    </row>
    <row r="878" spans="2:2" x14ac:dyDescent="0.2">
      <c r="B878" s="3">
        <v>30.695799999999998</v>
      </c>
    </row>
    <row r="879" spans="2:2" x14ac:dyDescent="0.2">
      <c r="B879" s="3">
        <v>0</v>
      </c>
    </row>
    <row r="880" spans="2:2" x14ac:dyDescent="0.2">
      <c r="B880" s="3">
        <v>6.95</v>
      </c>
    </row>
    <row r="881" spans="2:2" x14ac:dyDescent="0.2">
      <c r="B881" s="3">
        <v>56.495800000000003</v>
      </c>
    </row>
    <row r="882" spans="2:2" x14ac:dyDescent="0.2">
      <c r="B882" s="3">
        <v>7.75</v>
      </c>
    </row>
    <row r="883" spans="2:2" x14ac:dyDescent="0.2">
      <c r="B883" s="3">
        <v>7.2291999999999996</v>
      </c>
    </row>
    <row r="884" spans="2:2" x14ac:dyDescent="0.2">
      <c r="B884" s="3">
        <v>8.0500000000000007</v>
      </c>
    </row>
    <row r="885" spans="2:2" x14ac:dyDescent="0.2">
      <c r="B885" s="3">
        <v>29.7</v>
      </c>
    </row>
    <row r="886" spans="2:2" x14ac:dyDescent="0.2">
      <c r="B886" s="3">
        <v>69.55</v>
      </c>
    </row>
    <row r="887" spans="2:2" x14ac:dyDescent="0.2">
      <c r="B887" s="3">
        <v>89.104200000000006</v>
      </c>
    </row>
    <row r="888" spans="2:2" x14ac:dyDescent="0.2">
      <c r="B888" s="3">
        <v>7.2291999999999996</v>
      </c>
    </row>
    <row r="889" spans="2:2" x14ac:dyDescent="0.2">
      <c r="B889" s="3">
        <v>69.55</v>
      </c>
    </row>
    <row r="890" spans="2:2" x14ac:dyDescent="0.2">
      <c r="B890" s="3">
        <v>9.5</v>
      </c>
    </row>
    <row r="891" spans="2:2" x14ac:dyDescent="0.2">
      <c r="B891" s="3">
        <v>7.8958000000000004</v>
      </c>
    </row>
    <row r="892" spans="2:2" x14ac:dyDescent="0.2">
      <c r="B892" s="3">
        <v>23.45</v>
      </c>
    </row>
  </sheetData>
  <sortState xmlns:xlrd2="http://schemas.microsoft.com/office/spreadsheetml/2017/richdata2" ref="A2:B892">
    <sortCondition ref="A1:A892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C4B13-CE55-C44A-BF3C-7EE35E151D51}">
  <dimension ref="A1:B876"/>
  <sheetViews>
    <sheetView topLeftCell="A11" zoomScale="150" workbookViewId="0">
      <selection activeCell="E19" sqref="E19"/>
    </sheetView>
  </sheetViews>
  <sheetFormatPr baseColWidth="10" defaultRowHeight="16" x14ac:dyDescent="0.2"/>
  <cols>
    <col min="1" max="1" width="9.33203125" style="3" customWidth="1"/>
  </cols>
  <sheetData>
    <row r="1" spans="1:2" x14ac:dyDescent="0.2">
      <c r="A1" s="3">
        <v>4.0125000000000002</v>
      </c>
      <c r="B1">
        <f t="shared" ref="B1:B64" si="0">LOG10(A1)</f>
        <v>0.60341504541292856</v>
      </c>
    </row>
    <row r="2" spans="1:2" x14ac:dyDescent="0.2">
      <c r="A2" s="3">
        <v>5</v>
      </c>
      <c r="B2">
        <f t="shared" si="0"/>
        <v>0.69897000433601886</v>
      </c>
    </row>
    <row r="3" spans="1:2" x14ac:dyDescent="0.2">
      <c r="A3" s="3">
        <v>6.2374999999999998</v>
      </c>
      <c r="B3">
        <f t="shared" si="0"/>
        <v>0.79501055863144632</v>
      </c>
    </row>
    <row r="4" spans="1:2" x14ac:dyDescent="0.2">
      <c r="A4" s="3">
        <v>6.4375</v>
      </c>
      <c r="B4">
        <f t="shared" si="0"/>
        <v>0.80871724204924744</v>
      </c>
    </row>
    <row r="5" spans="1:2" x14ac:dyDescent="0.2">
      <c r="A5" s="3">
        <v>6.45</v>
      </c>
      <c r="B5">
        <f t="shared" si="0"/>
        <v>0.80955971463526777</v>
      </c>
    </row>
    <row r="6" spans="1:2" x14ac:dyDescent="0.2">
      <c r="A6" s="3">
        <v>6.4958</v>
      </c>
      <c r="B6">
        <f t="shared" si="0"/>
        <v>0.81263264489175169</v>
      </c>
    </row>
    <row r="7" spans="1:2" x14ac:dyDescent="0.2">
      <c r="A7" s="3">
        <v>6.4958</v>
      </c>
      <c r="B7">
        <f t="shared" si="0"/>
        <v>0.81263264489175169</v>
      </c>
    </row>
    <row r="8" spans="1:2" x14ac:dyDescent="0.2">
      <c r="A8" s="3">
        <v>6.75</v>
      </c>
      <c r="B8">
        <f t="shared" si="0"/>
        <v>0.82930377283102497</v>
      </c>
    </row>
    <row r="9" spans="1:2" x14ac:dyDescent="0.2">
      <c r="A9" s="3">
        <v>6.75</v>
      </c>
      <c r="B9">
        <f t="shared" si="0"/>
        <v>0.82930377283102497</v>
      </c>
    </row>
    <row r="10" spans="1:2" x14ac:dyDescent="0.2">
      <c r="A10" s="3">
        <v>6.8582999999999998</v>
      </c>
      <c r="B10">
        <f t="shared" si="0"/>
        <v>0.83621647837224011</v>
      </c>
    </row>
    <row r="11" spans="1:2" x14ac:dyDescent="0.2">
      <c r="A11" s="3">
        <v>6.95</v>
      </c>
      <c r="B11">
        <f t="shared" si="0"/>
        <v>0.84198480459011393</v>
      </c>
    </row>
    <row r="12" spans="1:2" x14ac:dyDescent="0.2">
      <c r="A12" s="3">
        <v>6.9749999999999996</v>
      </c>
      <c r="B12">
        <f t="shared" si="0"/>
        <v>0.84354421194563511</v>
      </c>
    </row>
    <row r="13" spans="1:2" x14ac:dyDescent="0.2">
      <c r="A13" s="3">
        <v>6.9749999999999996</v>
      </c>
      <c r="B13">
        <f t="shared" si="0"/>
        <v>0.84354421194563511</v>
      </c>
    </row>
    <row r="14" spans="1:2" x14ac:dyDescent="0.2">
      <c r="A14" s="3">
        <v>7.0457999999999998</v>
      </c>
      <c r="B14">
        <f t="shared" si="0"/>
        <v>0.84793031126515772</v>
      </c>
    </row>
    <row r="15" spans="1:2" x14ac:dyDescent="0.2">
      <c r="A15" s="3">
        <v>7.05</v>
      </c>
      <c r="B15">
        <f t="shared" si="0"/>
        <v>0.84818911699139865</v>
      </c>
    </row>
    <row r="16" spans="1:2" x14ac:dyDescent="0.2">
      <c r="A16" s="3">
        <v>7.05</v>
      </c>
      <c r="B16">
        <f t="shared" si="0"/>
        <v>0.84818911699139865</v>
      </c>
    </row>
    <row r="17" spans="1:2" x14ac:dyDescent="0.2">
      <c r="A17" s="3">
        <v>7.05</v>
      </c>
      <c r="B17">
        <f t="shared" si="0"/>
        <v>0.84818911699139865</v>
      </c>
    </row>
    <row r="18" spans="1:2" x14ac:dyDescent="0.2">
      <c r="A18" s="3">
        <v>7.05</v>
      </c>
      <c r="B18">
        <f t="shared" si="0"/>
        <v>0.84818911699139865</v>
      </c>
    </row>
    <row r="19" spans="1:2" x14ac:dyDescent="0.2">
      <c r="A19" s="3">
        <v>7.05</v>
      </c>
      <c r="B19">
        <f t="shared" si="0"/>
        <v>0.84818911699139865</v>
      </c>
    </row>
    <row r="20" spans="1:2" x14ac:dyDescent="0.2">
      <c r="A20" s="3">
        <v>7.05</v>
      </c>
      <c r="B20">
        <f t="shared" si="0"/>
        <v>0.84818911699139865</v>
      </c>
    </row>
    <row r="21" spans="1:2" x14ac:dyDescent="0.2">
      <c r="A21" s="3">
        <v>7.05</v>
      </c>
      <c r="B21">
        <f t="shared" si="0"/>
        <v>0.84818911699139865</v>
      </c>
    </row>
    <row r="22" spans="1:2" x14ac:dyDescent="0.2">
      <c r="A22" s="3">
        <v>7.0541999999999998</v>
      </c>
      <c r="B22">
        <f t="shared" si="0"/>
        <v>0.84844776858140869</v>
      </c>
    </row>
    <row r="23" spans="1:2" x14ac:dyDescent="0.2">
      <c r="A23" s="3">
        <v>7.0541999999999998</v>
      </c>
      <c r="B23">
        <f t="shared" si="0"/>
        <v>0.84844776858140869</v>
      </c>
    </row>
    <row r="24" spans="1:2" x14ac:dyDescent="0.2">
      <c r="A24" s="3">
        <v>7.125</v>
      </c>
      <c r="B24">
        <f t="shared" si="0"/>
        <v>0.85278486868054781</v>
      </c>
    </row>
    <row r="25" spans="1:2" x14ac:dyDescent="0.2">
      <c r="A25" s="3">
        <v>7.125</v>
      </c>
      <c r="B25">
        <f t="shared" si="0"/>
        <v>0.85278486868054781</v>
      </c>
    </row>
    <row r="26" spans="1:2" x14ac:dyDescent="0.2">
      <c r="A26" s="3">
        <v>7.125</v>
      </c>
      <c r="B26">
        <f t="shared" si="0"/>
        <v>0.85278486868054781</v>
      </c>
    </row>
    <row r="27" spans="1:2" x14ac:dyDescent="0.2">
      <c r="A27" s="3">
        <v>7.125</v>
      </c>
      <c r="B27">
        <f t="shared" si="0"/>
        <v>0.85278486868054781</v>
      </c>
    </row>
    <row r="28" spans="1:2" x14ac:dyDescent="0.2">
      <c r="A28" s="3">
        <v>7.1417000000000002</v>
      </c>
      <c r="B28">
        <f t="shared" si="0"/>
        <v>0.85380160291626594</v>
      </c>
    </row>
    <row r="29" spans="1:2" x14ac:dyDescent="0.2">
      <c r="A29" s="3">
        <v>7.2249999999999996</v>
      </c>
      <c r="B29">
        <f t="shared" si="0"/>
        <v>0.85883785142858549</v>
      </c>
    </row>
    <row r="30" spans="1:2" x14ac:dyDescent="0.2">
      <c r="A30" s="3">
        <v>7.2249999999999996</v>
      </c>
      <c r="B30">
        <f t="shared" si="0"/>
        <v>0.85883785142858549</v>
      </c>
    </row>
    <row r="31" spans="1:2" x14ac:dyDescent="0.2">
      <c r="A31" s="3">
        <v>7.2249999999999996</v>
      </c>
      <c r="B31">
        <f t="shared" si="0"/>
        <v>0.85883785142858549</v>
      </c>
    </row>
    <row r="32" spans="1:2" x14ac:dyDescent="0.2">
      <c r="A32" s="3">
        <v>7.2249999999999996</v>
      </c>
      <c r="B32">
        <f t="shared" si="0"/>
        <v>0.85883785142858549</v>
      </c>
    </row>
    <row r="33" spans="1:2" x14ac:dyDescent="0.2">
      <c r="A33" s="3">
        <v>7.2249999999999996</v>
      </c>
      <c r="B33">
        <f t="shared" si="0"/>
        <v>0.85883785142858549</v>
      </c>
    </row>
    <row r="34" spans="1:2" x14ac:dyDescent="0.2">
      <c r="A34" s="3">
        <v>7.2249999999999996</v>
      </c>
      <c r="B34">
        <f t="shared" si="0"/>
        <v>0.85883785142858549</v>
      </c>
    </row>
    <row r="35" spans="1:2" x14ac:dyDescent="0.2">
      <c r="A35" s="3">
        <v>7.2249999999999996</v>
      </c>
      <c r="B35">
        <f t="shared" si="0"/>
        <v>0.85883785142858549</v>
      </c>
    </row>
    <row r="36" spans="1:2" x14ac:dyDescent="0.2">
      <c r="A36" s="3">
        <v>7.2249999999999996</v>
      </c>
      <c r="B36">
        <f t="shared" si="0"/>
        <v>0.85883785142858549</v>
      </c>
    </row>
    <row r="37" spans="1:2" x14ac:dyDescent="0.2">
      <c r="A37" s="3">
        <v>7.2249999999999996</v>
      </c>
      <c r="B37">
        <f t="shared" si="0"/>
        <v>0.85883785142858549</v>
      </c>
    </row>
    <row r="38" spans="1:2" x14ac:dyDescent="0.2">
      <c r="A38" s="3">
        <v>7.2249999999999996</v>
      </c>
      <c r="B38">
        <f t="shared" si="0"/>
        <v>0.85883785142858549</v>
      </c>
    </row>
    <row r="39" spans="1:2" x14ac:dyDescent="0.2">
      <c r="A39" s="3">
        <v>7.2249999999999996</v>
      </c>
      <c r="B39">
        <f t="shared" si="0"/>
        <v>0.85883785142858549</v>
      </c>
    </row>
    <row r="40" spans="1:2" x14ac:dyDescent="0.2">
      <c r="A40" s="3">
        <v>7.2249999999999996</v>
      </c>
      <c r="B40">
        <f t="shared" si="0"/>
        <v>0.85883785142858549</v>
      </c>
    </row>
    <row r="41" spans="1:2" x14ac:dyDescent="0.2">
      <c r="A41" s="3">
        <v>7.2291999999999996</v>
      </c>
      <c r="B41">
        <f t="shared" si="0"/>
        <v>0.85909023992124911</v>
      </c>
    </row>
    <row r="42" spans="1:2" x14ac:dyDescent="0.2">
      <c r="A42" s="3">
        <v>7.2291999999999996</v>
      </c>
      <c r="B42">
        <f t="shared" si="0"/>
        <v>0.85909023992124911</v>
      </c>
    </row>
    <row r="43" spans="1:2" x14ac:dyDescent="0.2">
      <c r="A43" s="3">
        <v>7.2291999999999996</v>
      </c>
      <c r="B43">
        <f t="shared" si="0"/>
        <v>0.85909023992124911</v>
      </c>
    </row>
    <row r="44" spans="1:2" x14ac:dyDescent="0.2">
      <c r="A44" s="3">
        <v>7.2291999999999996</v>
      </c>
      <c r="B44">
        <f t="shared" si="0"/>
        <v>0.85909023992124911</v>
      </c>
    </row>
    <row r="45" spans="1:2" x14ac:dyDescent="0.2">
      <c r="A45" s="3">
        <v>7.2291999999999996</v>
      </c>
      <c r="B45">
        <f t="shared" si="0"/>
        <v>0.85909023992124911</v>
      </c>
    </row>
    <row r="46" spans="1:2" x14ac:dyDescent="0.2">
      <c r="A46" s="3">
        <v>7.2291999999999996</v>
      </c>
      <c r="B46">
        <f t="shared" si="0"/>
        <v>0.85909023992124911</v>
      </c>
    </row>
    <row r="47" spans="1:2" x14ac:dyDescent="0.2">
      <c r="A47" s="3">
        <v>7.2291999999999996</v>
      </c>
      <c r="B47">
        <f t="shared" si="0"/>
        <v>0.85909023992124911</v>
      </c>
    </row>
    <row r="48" spans="1:2" x14ac:dyDescent="0.2">
      <c r="A48" s="3">
        <v>7.2291999999999996</v>
      </c>
      <c r="B48">
        <f t="shared" si="0"/>
        <v>0.85909023992124911</v>
      </c>
    </row>
    <row r="49" spans="1:2" x14ac:dyDescent="0.2">
      <c r="A49" s="3">
        <v>7.2291999999999996</v>
      </c>
      <c r="B49">
        <f t="shared" si="0"/>
        <v>0.85909023992124911</v>
      </c>
    </row>
    <row r="50" spans="1:2" x14ac:dyDescent="0.2">
      <c r="A50" s="3">
        <v>7.2291999999999996</v>
      </c>
      <c r="B50">
        <f t="shared" si="0"/>
        <v>0.85909023992124911</v>
      </c>
    </row>
    <row r="51" spans="1:2" x14ac:dyDescent="0.2">
      <c r="A51" s="3">
        <v>7.2291999999999996</v>
      </c>
      <c r="B51">
        <f t="shared" si="0"/>
        <v>0.85909023992124911</v>
      </c>
    </row>
    <row r="52" spans="1:2" x14ac:dyDescent="0.2">
      <c r="A52" s="3">
        <v>7.2291999999999996</v>
      </c>
      <c r="B52">
        <f t="shared" si="0"/>
        <v>0.85909023992124911</v>
      </c>
    </row>
    <row r="53" spans="1:2" x14ac:dyDescent="0.2">
      <c r="A53" s="3">
        <v>7.2291999999999996</v>
      </c>
      <c r="B53">
        <f t="shared" si="0"/>
        <v>0.85909023992124911</v>
      </c>
    </row>
    <row r="54" spans="1:2" x14ac:dyDescent="0.2">
      <c r="A54" s="3">
        <v>7.2291999999999996</v>
      </c>
      <c r="B54">
        <f t="shared" si="0"/>
        <v>0.85909023992124911</v>
      </c>
    </row>
    <row r="55" spans="1:2" x14ac:dyDescent="0.2">
      <c r="A55" s="3">
        <v>7.2291999999999996</v>
      </c>
      <c r="B55">
        <f t="shared" si="0"/>
        <v>0.85909023992124911</v>
      </c>
    </row>
    <row r="56" spans="1:2" x14ac:dyDescent="0.2">
      <c r="A56" s="3">
        <v>7.25</v>
      </c>
      <c r="B56">
        <f t="shared" si="0"/>
        <v>0.86033800657099369</v>
      </c>
    </row>
    <row r="57" spans="1:2" x14ac:dyDescent="0.2">
      <c r="A57" s="3">
        <v>7.25</v>
      </c>
      <c r="B57">
        <f t="shared" si="0"/>
        <v>0.86033800657099369</v>
      </c>
    </row>
    <row r="58" spans="1:2" x14ac:dyDescent="0.2">
      <c r="A58" s="3">
        <v>7.25</v>
      </c>
      <c r="B58">
        <f t="shared" si="0"/>
        <v>0.86033800657099369</v>
      </c>
    </row>
    <row r="59" spans="1:2" x14ac:dyDescent="0.2">
      <c r="A59" s="3">
        <v>7.25</v>
      </c>
      <c r="B59">
        <f t="shared" si="0"/>
        <v>0.86033800657099369</v>
      </c>
    </row>
    <row r="60" spans="1:2" x14ac:dyDescent="0.2">
      <c r="A60" s="3">
        <v>7.25</v>
      </c>
      <c r="B60">
        <f t="shared" si="0"/>
        <v>0.86033800657099369</v>
      </c>
    </row>
    <row r="61" spans="1:2" x14ac:dyDescent="0.2">
      <c r="A61" s="3">
        <v>7.25</v>
      </c>
      <c r="B61">
        <f t="shared" si="0"/>
        <v>0.86033800657099369</v>
      </c>
    </row>
    <row r="62" spans="1:2" x14ac:dyDescent="0.2">
      <c r="A62" s="3">
        <v>7.25</v>
      </c>
      <c r="B62">
        <f t="shared" si="0"/>
        <v>0.86033800657099369</v>
      </c>
    </row>
    <row r="63" spans="1:2" x14ac:dyDescent="0.2">
      <c r="A63" s="3">
        <v>7.25</v>
      </c>
      <c r="B63">
        <f t="shared" si="0"/>
        <v>0.86033800657099369</v>
      </c>
    </row>
    <row r="64" spans="1:2" x14ac:dyDescent="0.2">
      <c r="A64" s="3">
        <v>7.25</v>
      </c>
      <c r="B64">
        <f t="shared" si="0"/>
        <v>0.86033800657099369</v>
      </c>
    </row>
    <row r="65" spans="1:2" x14ac:dyDescent="0.2">
      <c r="A65" s="3">
        <v>7.25</v>
      </c>
      <c r="B65">
        <f t="shared" ref="B65:B128" si="1">LOG10(A65)</f>
        <v>0.86033800657099369</v>
      </c>
    </row>
    <row r="66" spans="1:2" x14ac:dyDescent="0.2">
      <c r="A66" s="3">
        <v>7.25</v>
      </c>
      <c r="B66">
        <f t="shared" si="1"/>
        <v>0.86033800657099369</v>
      </c>
    </row>
    <row r="67" spans="1:2" x14ac:dyDescent="0.2">
      <c r="A67" s="3">
        <v>7.25</v>
      </c>
      <c r="B67">
        <f t="shared" si="1"/>
        <v>0.86033800657099369</v>
      </c>
    </row>
    <row r="68" spans="1:2" x14ac:dyDescent="0.2">
      <c r="A68" s="3">
        <v>7.25</v>
      </c>
      <c r="B68">
        <f t="shared" si="1"/>
        <v>0.86033800657099369</v>
      </c>
    </row>
    <row r="69" spans="1:2" x14ac:dyDescent="0.2">
      <c r="A69" s="3">
        <v>7.3125</v>
      </c>
      <c r="B69">
        <f t="shared" si="1"/>
        <v>0.86406587909023691</v>
      </c>
    </row>
    <row r="70" spans="1:2" x14ac:dyDescent="0.2">
      <c r="A70" s="3">
        <v>7.4958</v>
      </c>
      <c r="B70">
        <f t="shared" si="1"/>
        <v>0.87481799035902574</v>
      </c>
    </row>
    <row r="71" spans="1:2" x14ac:dyDescent="0.2">
      <c r="A71" s="3">
        <v>7.4958</v>
      </c>
      <c r="B71">
        <f t="shared" si="1"/>
        <v>0.87481799035902574</v>
      </c>
    </row>
    <row r="72" spans="1:2" x14ac:dyDescent="0.2">
      <c r="A72" s="3">
        <v>7.4958</v>
      </c>
      <c r="B72">
        <f t="shared" si="1"/>
        <v>0.87481799035902574</v>
      </c>
    </row>
    <row r="73" spans="1:2" x14ac:dyDescent="0.2">
      <c r="A73" s="3">
        <v>7.5208000000000004</v>
      </c>
      <c r="B73">
        <f t="shared" si="1"/>
        <v>0.87626403967491584</v>
      </c>
    </row>
    <row r="74" spans="1:2" x14ac:dyDescent="0.2">
      <c r="A74" s="3">
        <v>7.55</v>
      </c>
      <c r="B74">
        <f t="shared" si="1"/>
        <v>0.87794695162918823</v>
      </c>
    </row>
    <row r="75" spans="1:2" x14ac:dyDescent="0.2">
      <c r="A75" s="3">
        <v>7.55</v>
      </c>
      <c r="B75">
        <f t="shared" si="1"/>
        <v>0.87794695162918823</v>
      </c>
    </row>
    <row r="76" spans="1:2" x14ac:dyDescent="0.2">
      <c r="A76" s="3">
        <v>7.55</v>
      </c>
      <c r="B76">
        <f t="shared" si="1"/>
        <v>0.87794695162918823</v>
      </c>
    </row>
    <row r="77" spans="1:2" x14ac:dyDescent="0.2">
      <c r="A77" s="3">
        <v>7.55</v>
      </c>
      <c r="B77">
        <f t="shared" si="1"/>
        <v>0.87794695162918823</v>
      </c>
    </row>
    <row r="78" spans="1:2" x14ac:dyDescent="0.2">
      <c r="A78" s="3">
        <v>7.6292</v>
      </c>
      <c r="B78">
        <f t="shared" si="1"/>
        <v>0.88247900010416214</v>
      </c>
    </row>
    <row r="79" spans="1:2" x14ac:dyDescent="0.2">
      <c r="A79" s="3">
        <v>7.65</v>
      </c>
      <c r="B79">
        <f t="shared" si="1"/>
        <v>0.88366143515361761</v>
      </c>
    </row>
    <row r="80" spans="1:2" x14ac:dyDescent="0.2">
      <c r="A80" s="3">
        <v>7.65</v>
      </c>
      <c r="B80">
        <f t="shared" si="1"/>
        <v>0.88366143515361761</v>
      </c>
    </row>
    <row r="81" spans="1:2" x14ac:dyDescent="0.2">
      <c r="A81" s="3">
        <v>7.65</v>
      </c>
      <c r="B81">
        <f t="shared" si="1"/>
        <v>0.88366143515361761</v>
      </c>
    </row>
    <row r="82" spans="1:2" x14ac:dyDescent="0.2">
      <c r="A82" s="3">
        <v>7.65</v>
      </c>
      <c r="B82">
        <f t="shared" si="1"/>
        <v>0.88366143515361761</v>
      </c>
    </row>
    <row r="83" spans="1:2" x14ac:dyDescent="0.2">
      <c r="A83" s="3">
        <v>7.7249999999999996</v>
      </c>
      <c r="B83">
        <f t="shared" si="1"/>
        <v>0.88789848809687222</v>
      </c>
    </row>
    <row r="84" spans="1:2" x14ac:dyDescent="0.2">
      <c r="A84" s="3">
        <v>7.7291999999999996</v>
      </c>
      <c r="B84">
        <f t="shared" si="1"/>
        <v>0.88813454520353596</v>
      </c>
    </row>
    <row r="85" spans="1:2" x14ac:dyDescent="0.2">
      <c r="A85" s="3">
        <v>7.7332999999999998</v>
      </c>
      <c r="B85">
        <f t="shared" si="1"/>
        <v>0.88836485820822908</v>
      </c>
    </row>
    <row r="86" spans="1:2" x14ac:dyDescent="0.2">
      <c r="A86" s="3">
        <v>7.7332999999999998</v>
      </c>
      <c r="B86">
        <f t="shared" si="1"/>
        <v>0.88836485820822908</v>
      </c>
    </row>
    <row r="87" spans="1:2" x14ac:dyDescent="0.2">
      <c r="A87" s="3">
        <v>7.7332999999999998</v>
      </c>
      <c r="B87">
        <f t="shared" si="1"/>
        <v>0.88836485820822908</v>
      </c>
    </row>
    <row r="88" spans="1:2" x14ac:dyDescent="0.2">
      <c r="A88" s="3">
        <v>7.7332999999999998</v>
      </c>
      <c r="B88">
        <f t="shared" si="1"/>
        <v>0.88836485820822908</v>
      </c>
    </row>
    <row r="89" spans="1:2" x14ac:dyDescent="0.2">
      <c r="A89" s="3">
        <v>7.7374999999999998</v>
      </c>
      <c r="B89">
        <f t="shared" si="1"/>
        <v>0.88860066202817434</v>
      </c>
    </row>
    <row r="90" spans="1:2" x14ac:dyDescent="0.2">
      <c r="A90" s="3">
        <v>7.7374999999999998</v>
      </c>
      <c r="B90">
        <f t="shared" si="1"/>
        <v>0.88860066202817434</v>
      </c>
    </row>
    <row r="91" spans="1:2" x14ac:dyDescent="0.2">
      <c r="A91" s="3">
        <v>7.7416999999999998</v>
      </c>
      <c r="B91">
        <f t="shared" si="1"/>
        <v>0.88883633788593919</v>
      </c>
    </row>
    <row r="92" spans="1:2" x14ac:dyDescent="0.2">
      <c r="A92" s="3">
        <v>7.75</v>
      </c>
      <c r="B92">
        <f t="shared" si="1"/>
        <v>0.88930170250631024</v>
      </c>
    </row>
    <row r="93" spans="1:2" x14ac:dyDescent="0.2">
      <c r="A93" s="3">
        <v>7.75</v>
      </c>
      <c r="B93">
        <f t="shared" si="1"/>
        <v>0.88930170250631024</v>
      </c>
    </row>
    <row r="94" spans="1:2" x14ac:dyDescent="0.2">
      <c r="A94" s="3">
        <v>7.75</v>
      </c>
      <c r="B94">
        <f t="shared" si="1"/>
        <v>0.88930170250631024</v>
      </c>
    </row>
    <row r="95" spans="1:2" x14ac:dyDescent="0.2">
      <c r="A95" s="3">
        <v>7.75</v>
      </c>
      <c r="B95">
        <f t="shared" si="1"/>
        <v>0.88930170250631024</v>
      </c>
    </row>
    <row r="96" spans="1:2" x14ac:dyDescent="0.2">
      <c r="A96" s="3">
        <v>7.75</v>
      </c>
      <c r="B96">
        <f t="shared" si="1"/>
        <v>0.88930170250631024</v>
      </c>
    </row>
    <row r="97" spans="1:2" x14ac:dyDescent="0.2">
      <c r="A97" s="3">
        <v>7.75</v>
      </c>
      <c r="B97">
        <f t="shared" si="1"/>
        <v>0.88930170250631024</v>
      </c>
    </row>
    <row r="98" spans="1:2" x14ac:dyDescent="0.2">
      <c r="A98" s="3">
        <v>7.75</v>
      </c>
      <c r="B98">
        <f t="shared" si="1"/>
        <v>0.88930170250631024</v>
      </c>
    </row>
    <row r="99" spans="1:2" x14ac:dyDescent="0.2">
      <c r="A99" s="3">
        <v>7.75</v>
      </c>
      <c r="B99">
        <f t="shared" si="1"/>
        <v>0.88930170250631024</v>
      </c>
    </row>
    <row r="100" spans="1:2" x14ac:dyDescent="0.2">
      <c r="A100" s="3">
        <v>7.75</v>
      </c>
      <c r="B100">
        <f t="shared" si="1"/>
        <v>0.88930170250631024</v>
      </c>
    </row>
    <row r="101" spans="1:2" x14ac:dyDescent="0.2">
      <c r="A101" s="3">
        <v>7.75</v>
      </c>
      <c r="B101">
        <f t="shared" si="1"/>
        <v>0.88930170250631024</v>
      </c>
    </row>
    <row r="102" spans="1:2" x14ac:dyDescent="0.2">
      <c r="A102" s="3">
        <v>7.75</v>
      </c>
      <c r="B102">
        <f t="shared" si="1"/>
        <v>0.88930170250631024</v>
      </c>
    </row>
    <row r="103" spans="1:2" x14ac:dyDescent="0.2">
      <c r="A103" s="3">
        <v>7.75</v>
      </c>
      <c r="B103">
        <f t="shared" si="1"/>
        <v>0.88930170250631024</v>
      </c>
    </row>
    <row r="104" spans="1:2" x14ac:dyDescent="0.2">
      <c r="A104" s="3">
        <v>7.75</v>
      </c>
      <c r="B104">
        <f t="shared" si="1"/>
        <v>0.88930170250631024</v>
      </c>
    </row>
    <row r="105" spans="1:2" x14ac:dyDescent="0.2">
      <c r="A105" s="3">
        <v>7.75</v>
      </c>
      <c r="B105">
        <f t="shared" si="1"/>
        <v>0.88930170250631024</v>
      </c>
    </row>
    <row r="106" spans="1:2" x14ac:dyDescent="0.2">
      <c r="A106" s="3">
        <v>7.75</v>
      </c>
      <c r="B106">
        <f t="shared" si="1"/>
        <v>0.88930170250631024</v>
      </c>
    </row>
    <row r="107" spans="1:2" x14ac:dyDescent="0.2">
      <c r="A107" s="3">
        <v>7.75</v>
      </c>
      <c r="B107">
        <f t="shared" si="1"/>
        <v>0.88930170250631024</v>
      </c>
    </row>
    <row r="108" spans="1:2" x14ac:dyDescent="0.2">
      <c r="A108" s="3">
        <v>7.75</v>
      </c>
      <c r="B108">
        <f t="shared" si="1"/>
        <v>0.88930170250631024</v>
      </c>
    </row>
    <row r="109" spans="1:2" x14ac:dyDescent="0.2">
      <c r="A109" s="3">
        <v>7.75</v>
      </c>
      <c r="B109">
        <f t="shared" si="1"/>
        <v>0.88930170250631024</v>
      </c>
    </row>
    <row r="110" spans="1:2" x14ac:dyDescent="0.2">
      <c r="A110" s="3">
        <v>7.75</v>
      </c>
      <c r="B110">
        <f t="shared" si="1"/>
        <v>0.88930170250631024</v>
      </c>
    </row>
    <row r="111" spans="1:2" x14ac:dyDescent="0.2">
      <c r="A111" s="3">
        <v>7.75</v>
      </c>
      <c r="B111">
        <f t="shared" si="1"/>
        <v>0.88930170250631024</v>
      </c>
    </row>
    <row r="112" spans="1:2" x14ac:dyDescent="0.2">
      <c r="A112" s="3">
        <v>7.75</v>
      </c>
      <c r="B112">
        <f t="shared" si="1"/>
        <v>0.88930170250631024</v>
      </c>
    </row>
    <row r="113" spans="1:2" x14ac:dyDescent="0.2">
      <c r="A113" s="3">
        <v>7.75</v>
      </c>
      <c r="B113">
        <f t="shared" si="1"/>
        <v>0.88930170250631024</v>
      </c>
    </row>
    <row r="114" spans="1:2" x14ac:dyDescent="0.2">
      <c r="A114" s="3">
        <v>7.75</v>
      </c>
      <c r="B114">
        <f t="shared" si="1"/>
        <v>0.88930170250631024</v>
      </c>
    </row>
    <row r="115" spans="1:2" x14ac:dyDescent="0.2">
      <c r="A115" s="3">
        <v>7.75</v>
      </c>
      <c r="B115">
        <f t="shared" si="1"/>
        <v>0.88930170250631024</v>
      </c>
    </row>
    <row r="116" spans="1:2" x14ac:dyDescent="0.2">
      <c r="A116" s="3">
        <v>7.75</v>
      </c>
      <c r="B116">
        <f t="shared" si="1"/>
        <v>0.88930170250631024</v>
      </c>
    </row>
    <row r="117" spans="1:2" x14ac:dyDescent="0.2">
      <c r="A117" s="3">
        <v>7.75</v>
      </c>
      <c r="B117">
        <f t="shared" si="1"/>
        <v>0.88930170250631024</v>
      </c>
    </row>
    <row r="118" spans="1:2" x14ac:dyDescent="0.2">
      <c r="A118" s="3">
        <v>7.75</v>
      </c>
      <c r="B118">
        <f t="shared" si="1"/>
        <v>0.88930170250631024</v>
      </c>
    </row>
    <row r="119" spans="1:2" x14ac:dyDescent="0.2">
      <c r="A119" s="3">
        <v>7.75</v>
      </c>
      <c r="B119">
        <f t="shared" si="1"/>
        <v>0.88930170250631024</v>
      </c>
    </row>
    <row r="120" spans="1:2" x14ac:dyDescent="0.2">
      <c r="A120" s="3">
        <v>7.75</v>
      </c>
      <c r="B120">
        <f t="shared" si="1"/>
        <v>0.88930170250631024</v>
      </c>
    </row>
    <row r="121" spans="1:2" x14ac:dyDescent="0.2">
      <c r="A121" s="3">
        <v>7.75</v>
      </c>
      <c r="B121">
        <f t="shared" si="1"/>
        <v>0.88930170250631024</v>
      </c>
    </row>
    <row r="122" spans="1:2" x14ac:dyDescent="0.2">
      <c r="A122" s="3">
        <v>7.75</v>
      </c>
      <c r="B122">
        <f t="shared" si="1"/>
        <v>0.88930170250631024</v>
      </c>
    </row>
    <row r="123" spans="1:2" x14ac:dyDescent="0.2">
      <c r="A123" s="3">
        <v>7.75</v>
      </c>
      <c r="B123">
        <f t="shared" si="1"/>
        <v>0.88930170250631024</v>
      </c>
    </row>
    <row r="124" spans="1:2" x14ac:dyDescent="0.2">
      <c r="A124" s="3">
        <v>7.75</v>
      </c>
      <c r="B124">
        <f t="shared" si="1"/>
        <v>0.88930170250631024</v>
      </c>
    </row>
    <row r="125" spans="1:2" x14ac:dyDescent="0.2">
      <c r="A125" s="3">
        <v>7.75</v>
      </c>
      <c r="B125">
        <f t="shared" si="1"/>
        <v>0.88930170250631024</v>
      </c>
    </row>
    <row r="126" spans="1:2" x14ac:dyDescent="0.2">
      <c r="A126" s="3">
        <v>7.7750000000000004</v>
      </c>
      <c r="B126">
        <f t="shared" si="1"/>
        <v>0.8907003976988751</v>
      </c>
    </row>
    <row r="127" spans="1:2" x14ac:dyDescent="0.2">
      <c r="A127" s="3">
        <v>7.7750000000000004</v>
      </c>
      <c r="B127">
        <f t="shared" si="1"/>
        <v>0.8907003976988751</v>
      </c>
    </row>
    <row r="128" spans="1:2" x14ac:dyDescent="0.2">
      <c r="A128" s="3">
        <v>7.7750000000000004</v>
      </c>
      <c r="B128">
        <f t="shared" si="1"/>
        <v>0.8907003976988751</v>
      </c>
    </row>
    <row r="129" spans="1:2" x14ac:dyDescent="0.2">
      <c r="A129" s="3">
        <v>7.7750000000000004</v>
      </c>
      <c r="B129">
        <f t="shared" ref="B129:B192" si="2">LOG10(A129)</f>
        <v>0.8907003976988751</v>
      </c>
    </row>
    <row r="130" spans="1:2" x14ac:dyDescent="0.2">
      <c r="A130" s="3">
        <v>7.7750000000000004</v>
      </c>
      <c r="B130">
        <f t="shared" si="2"/>
        <v>0.8907003976988751</v>
      </c>
    </row>
    <row r="131" spans="1:2" x14ac:dyDescent="0.2">
      <c r="A131" s="3">
        <v>7.7750000000000004</v>
      </c>
      <c r="B131">
        <f t="shared" si="2"/>
        <v>0.8907003976988751</v>
      </c>
    </row>
    <row r="132" spans="1:2" x14ac:dyDescent="0.2">
      <c r="A132" s="3">
        <v>7.7750000000000004</v>
      </c>
      <c r="B132">
        <f t="shared" si="2"/>
        <v>0.8907003976988751</v>
      </c>
    </row>
    <row r="133" spans="1:2" x14ac:dyDescent="0.2">
      <c r="A133" s="3">
        <v>7.7750000000000004</v>
      </c>
      <c r="B133">
        <f t="shared" si="2"/>
        <v>0.8907003976988751</v>
      </c>
    </row>
    <row r="134" spans="1:2" x14ac:dyDescent="0.2">
      <c r="A134" s="3">
        <v>7.7750000000000004</v>
      </c>
      <c r="B134">
        <f t="shared" si="2"/>
        <v>0.8907003976988751</v>
      </c>
    </row>
    <row r="135" spans="1:2" x14ac:dyDescent="0.2">
      <c r="A135" s="3">
        <v>7.7750000000000004</v>
      </c>
      <c r="B135">
        <f t="shared" si="2"/>
        <v>0.8907003976988751</v>
      </c>
    </row>
    <row r="136" spans="1:2" x14ac:dyDescent="0.2">
      <c r="A136" s="3">
        <v>7.7750000000000004</v>
      </c>
      <c r="B136">
        <f t="shared" si="2"/>
        <v>0.8907003976988751</v>
      </c>
    </row>
    <row r="137" spans="1:2" x14ac:dyDescent="0.2">
      <c r="A137" s="3">
        <v>7.7750000000000004</v>
      </c>
      <c r="B137">
        <f t="shared" si="2"/>
        <v>0.8907003976988751</v>
      </c>
    </row>
    <row r="138" spans="1:2" x14ac:dyDescent="0.2">
      <c r="A138" s="3">
        <v>7.7750000000000004</v>
      </c>
      <c r="B138">
        <f t="shared" si="2"/>
        <v>0.8907003976988751</v>
      </c>
    </row>
    <row r="139" spans="1:2" x14ac:dyDescent="0.2">
      <c r="A139" s="3">
        <v>7.7750000000000004</v>
      </c>
      <c r="B139">
        <f t="shared" si="2"/>
        <v>0.8907003976988751</v>
      </c>
    </row>
    <row r="140" spans="1:2" x14ac:dyDescent="0.2">
      <c r="A140" s="3">
        <v>7.7750000000000004</v>
      </c>
      <c r="B140">
        <f t="shared" si="2"/>
        <v>0.8907003976988751</v>
      </c>
    </row>
    <row r="141" spans="1:2" x14ac:dyDescent="0.2">
      <c r="A141" s="3">
        <v>7.7750000000000004</v>
      </c>
      <c r="B141">
        <f t="shared" si="2"/>
        <v>0.8907003976988751</v>
      </c>
    </row>
    <row r="142" spans="1:2" x14ac:dyDescent="0.2">
      <c r="A142" s="3">
        <v>7.7874999999999996</v>
      </c>
      <c r="B142">
        <f t="shared" si="2"/>
        <v>0.89139805966722596</v>
      </c>
    </row>
    <row r="143" spans="1:2" x14ac:dyDescent="0.2">
      <c r="A143" s="3">
        <v>7.7957999999999998</v>
      </c>
      <c r="B143">
        <f t="shared" si="2"/>
        <v>0.8918606888331484</v>
      </c>
    </row>
    <row r="144" spans="1:2" x14ac:dyDescent="0.2">
      <c r="A144" s="3">
        <v>7.7957999999999998</v>
      </c>
      <c r="B144">
        <f t="shared" si="2"/>
        <v>0.8918606888331484</v>
      </c>
    </row>
    <row r="145" spans="1:2" x14ac:dyDescent="0.2">
      <c r="A145" s="3">
        <v>7.7957999999999998</v>
      </c>
      <c r="B145">
        <f t="shared" si="2"/>
        <v>0.8918606888331484</v>
      </c>
    </row>
    <row r="146" spans="1:2" x14ac:dyDescent="0.2">
      <c r="A146" s="3">
        <v>7.7957999999999998</v>
      </c>
      <c r="B146">
        <f t="shared" si="2"/>
        <v>0.8918606888331484</v>
      </c>
    </row>
    <row r="147" spans="1:2" x14ac:dyDescent="0.2">
      <c r="A147" s="3">
        <v>7.7957999999999998</v>
      </c>
      <c r="B147">
        <f t="shared" si="2"/>
        <v>0.8918606888331484</v>
      </c>
    </row>
    <row r="148" spans="1:2" x14ac:dyDescent="0.2">
      <c r="A148" s="3">
        <v>7.7957999999999998</v>
      </c>
      <c r="B148">
        <f t="shared" si="2"/>
        <v>0.8918606888331484</v>
      </c>
    </row>
    <row r="149" spans="1:2" x14ac:dyDescent="0.2">
      <c r="A149" s="3">
        <v>7.8</v>
      </c>
      <c r="B149">
        <f t="shared" si="2"/>
        <v>0.89209460269048035</v>
      </c>
    </row>
    <row r="150" spans="1:2" x14ac:dyDescent="0.2">
      <c r="A150" s="3">
        <v>7.8292000000000002</v>
      </c>
      <c r="B150">
        <f t="shared" si="2"/>
        <v>0.89371738743014317</v>
      </c>
    </row>
    <row r="151" spans="1:2" x14ac:dyDescent="0.2">
      <c r="A151" s="3">
        <v>7.8292000000000002</v>
      </c>
      <c r="B151">
        <f t="shared" si="2"/>
        <v>0.89371738743014317</v>
      </c>
    </row>
    <row r="152" spans="1:2" x14ac:dyDescent="0.2">
      <c r="A152" s="3">
        <v>7.8541999999999996</v>
      </c>
      <c r="B152">
        <f t="shared" si="2"/>
        <v>0.89510195598589926</v>
      </c>
    </row>
    <row r="153" spans="1:2" x14ac:dyDescent="0.2">
      <c r="A153" s="3">
        <v>7.8541999999999996</v>
      </c>
      <c r="B153">
        <f t="shared" si="2"/>
        <v>0.89510195598589926</v>
      </c>
    </row>
    <row r="154" spans="1:2" x14ac:dyDescent="0.2">
      <c r="A154" s="3">
        <v>7.8541999999999996</v>
      </c>
      <c r="B154">
        <f t="shared" si="2"/>
        <v>0.89510195598589926</v>
      </c>
    </row>
    <row r="155" spans="1:2" x14ac:dyDescent="0.2">
      <c r="A155" s="3">
        <v>7.8541999999999996</v>
      </c>
      <c r="B155">
        <f t="shared" si="2"/>
        <v>0.89510195598589926</v>
      </c>
    </row>
    <row r="156" spans="1:2" x14ac:dyDescent="0.2">
      <c r="A156" s="3">
        <v>7.8541999999999996</v>
      </c>
      <c r="B156">
        <f t="shared" si="2"/>
        <v>0.89510195598589926</v>
      </c>
    </row>
    <row r="157" spans="1:2" x14ac:dyDescent="0.2">
      <c r="A157" s="3">
        <v>7.8541999999999996</v>
      </c>
      <c r="B157">
        <f t="shared" si="2"/>
        <v>0.89510195598589926</v>
      </c>
    </row>
    <row r="158" spans="1:2" x14ac:dyDescent="0.2">
      <c r="A158" s="3">
        <v>7.8541999999999996</v>
      </c>
      <c r="B158">
        <f t="shared" si="2"/>
        <v>0.89510195598589926</v>
      </c>
    </row>
    <row r="159" spans="1:2" x14ac:dyDescent="0.2">
      <c r="A159" s="3">
        <v>7.8541999999999996</v>
      </c>
      <c r="B159">
        <f t="shared" si="2"/>
        <v>0.89510195598589926</v>
      </c>
    </row>
    <row r="160" spans="1:2" x14ac:dyDescent="0.2">
      <c r="A160" s="3">
        <v>7.8541999999999996</v>
      </c>
      <c r="B160">
        <f t="shared" si="2"/>
        <v>0.89510195598589926</v>
      </c>
    </row>
    <row r="161" spans="1:2" x14ac:dyDescent="0.2">
      <c r="A161" s="3">
        <v>7.8541999999999996</v>
      </c>
      <c r="B161">
        <f t="shared" si="2"/>
        <v>0.89510195598589926</v>
      </c>
    </row>
    <row r="162" spans="1:2" x14ac:dyDescent="0.2">
      <c r="A162" s="3">
        <v>7.8541999999999996</v>
      </c>
      <c r="B162">
        <f t="shared" si="2"/>
        <v>0.89510195598589926</v>
      </c>
    </row>
    <row r="163" spans="1:2" x14ac:dyDescent="0.2">
      <c r="A163" s="3">
        <v>7.8541999999999996</v>
      </c>
      <c r="B163">
        <f t="shared" si="2"/>
        <v>0.89510195598589926</v>
      </c>
    </row>
    <row r="164" spans="1:2" x14ac:dyDescent="0.2">
      <c r="A164" s="3">
        <v>7.8541999999999996</v>
      </c>
      <c r="B164">
        <f t="shared" si="2"/>
        <v>0.89510195598589926</v>
      </c>
    </row>
    <row r="165" spans="1:2" x14ac:dyDescent="0.2">
      <c r="A165" s="3">
        <v>7.875</v>
      </c>
      <c r="B165">
        <f t="shared" si="2"/>
        <v>0.89625056246163814</v>
      </c>
    </row>
    <row r="166" spans="1:2" x14ac:dyDescent="0.2">
      <c r="A166" s="3">
        <v>7.8792</v>
      </c>
      <c r="B166">
        <f t="shared" si="2"/>
        <v>0.8964821244409461</v>
      </c>
    </row>
    <row r="167" spans="1:2" x14ac:dyDescent="0.2">
      <c r="A167" s="3">
        <v>7.8792</v>
      </c>
      <c r="B167">
        <f t="shared" si="2"/>
        <v>0.8964821244409461</v>
      </c>
    </row>
    <row r="168" spans="1:2" x14ac:dyDescent="0.2">
      <c r="A168" s="3">
        <v>7.8792</v>
      </c>
      <c r="B168">
        <f t="shared" si="2"/>
        <v>0.8964821244409461</v>
      </c>
    </row>
    <row r="169" spans="1:2" x14ac:dyDescent="0.2">
      <c r="A169" s="3">
        <v>7.8792</v>
      </c>
      <c r="B169">
        <f t="shared" si="2"/>
        <v>0.8964821244409461</v>
      </c>
    </row>
    <row r="170" spans="1:2" x14ac:dyDescent="0.2">
      <c r="A170" s="3">
        <v>7.8875000000000002</v>
      </c>
      <c r="B170">
        <f t="shared" si="2"/>
        <v>0.89693937225219078</v>
      </c>
    </row>
    <row r="171" spans="1:2" x14ac:dyDescent="0.2">
      <c r="A171" s="3">
        <v>7.8958000000000004</v>
      </c>
      <c r="B171">
        <f t="shared" si="2"/>
        <v>0.89739613915544614</v>
      </c>
    </row>
    <row r="172" spans="1:2" x14ac:dyDescent="0.2">
      <c r="A172" s="3">
        <v>7.8958000000000004</v>
      </c>
      <c r="B172">
        <f t="shared" si="2"/>
        <v>0.89739613915544614</v>
      </c>
    </row>
    <row r="173" spans="1:2" x14ac:dyDescent="0.2">
      <c r="A173" s="3">
        <v>7.8958000000000004</v>
      </c>
      <c r="B173">
        <f t="shared" si="2"/>
        <v>0.89739613915544614</v>
      </c>
    </row>
    <row r="174" spans="1:2" x14ac:dyDescent="0.2">
      <c r="A174" s="3">
        <v>7.8958000000000004</v>
      </c>
      <c r="B174">
        <f t="shared" si="2"/>
        <v>0.89739613915544614</v>
      </c>
    </row>
    <row r="175" spans="1:2" x14ac:dyDescent="0.2">
      <c r="A175" s="3">
        <v>7.8958000000000004</v>
      </c>
      <c r="B175">
        <f t="shared" si="2"/>
        <v>0.89739613915544614</v>
      </c>
    </row>
    <row r="176" spans="1:2" x14ac:dyDescent="0.2">
      <c r="A176" s="3">
        <v>7.8958000000000004</v>
      </c>
      <c r="B176">
        <f t="shared" si="2"/>
        <v>0.89739613915544614</v>
      </c>
    </row>
    <row r="177" spans="1:2" x14ac:dyDescent="0.2">
      <c r="A177" s="3">
        <v>7.8958000000000004</v>
      </c>
      <c r="B177">
        <f t="shared" si="2"/>
        <v>0.89739613915544614</v>
      </c>
    </row>
    <row r="178" spans="1:2" x14ac:dyDescent="0.2">
      <c r="A178" s="3">
        <v>7.8958000000000004</v>
      </c>
      <c r="B178">
        <f t="shared" si="2"/>
        <v>0.89739613915544614</v>
      </c>
    </row>
    <row r="179" spans="1:2" x14ac:dyDescent="0.2">
      <c r="A179" s="3">
        <v>7.8958000000000004</v>
      </c>
      <c r="B179">
        <f t="shared" si="2"/>
        <v>0.89739613915544614</v>
      </c>
    </row>
    <row r="180" spans="1:2" x14ac:dyDescent="0.2">
      <c r="A180" s="3">
        <v>7.8958000000000004</v>
      </c>
      <c r="B180">
        <f t="shared" si="2"/>
        <v>0.89739613915544614</v>
      </c>
    </row>
    <row r="181" spans="1:2" x14ac:dyDescent="0.2">
      <c r="A181" s="3">
        <v>7.8958000000000004</v>
      </c>
      <c r="B181">
        <f t="shared" si="2"/>
        <v>0.89739613915544614</v>
      </c>
    </row>
    <row r="182" spans="1:2" x14ac:dyDescent="0.2">
      <c r="A182" s="3">
        <v>7.8958000000000004</v>
      </c>
      <c r="B182">
        <f t="shared" si="2"/>
        <v>0.89739613915544614</v>
      </c>
    </row>
    <row r="183" spans="1:2" x14ac:dyDescent="0.2">
      <c r="A183" s="3">
        <v>7.8958000000000004</v>
      </c>
      <c r="B183">
        <f t="shared" si="2"/>
        <v>0.89739613915544614</v>
      </c>
    </row>
    <row r="184" spans="1:2" x14ac:dyDescent="0.2">
      <c r="A184" s="3">
        <v>7.8958000000000004</v>
      </c>
      <c r="B184">
        <f t="shared" si="2"/>
        <v>0.89739613915544614</v>
      </c>
    </row>
    <row r="185" spans="1:2" x14ac:dyDescent="0.2">
      <c r="A185" s="3">
        <v>7.8958000000000004</v>
      </c>
      <c r="B185">
        <f t="shared" si="2"/>
        <v>0.89739613915544614</v>
      </c>
    </row>
    <row r="186" spans="1:2" x14ac:dyDescent="0.2">
      <c r="A186" s="3">
        <v>7.8958000000000004</v>
      </c>
      <c r="B186">
        <f t="shared" si="2"/>
        <v>0.89739613915544614</v>
      </c>
    </row>
    <row r="187" spans="1:2" x14ac:dyDescent="0.2">
      <c r="A187" s="3">
        <v>7.8958000000000004</v>
      </c>
      <c r="B187">
        <f t="shared" si="2"/>
        <v>0.89739613915544614</v>
      </c>
    </row>
    <row r="188" spans="1:2" x14ac:dyDescent="0.2">
      <c r="A188" s="3">
        <v>7.8958000000000004</v>
      </c>
      <c r="B188">
        <f t="shared" si="2"/>
        <v>0.89739613915544614</v>
      </c>
    </row>
    <row r="189" spans="1:2" x14ac:dyDescent="0.2">
      <c r="A189" s="3">
        <v>7.8958000000000004</v>
      </c>
      <c r="B189">
        <f t="shared" si="2"/>
        <v>0.89739613915544614</v>
      </c>
    </row>
    <row r="190" spans="1:2" x14ac:dyDescent="0.2">
      <c r="A190" s="3">
        <v>7.8958000000000004</v>
      </c>
      <c r="B190">
        <f t="shared" si="2"/>
        <v>0.89739613915544614</v>
      </c>
    </row>
    <row r="191" spans="1:2" x14ac:dyDescent="0.2">
      <c r="A191" s="3">
        <v>7.8958000000000004</v>
      </c>
      <c r="B191">
        <f t="shared" si="2"/>
        <v>0.89739613915544614</v>
      </c>
    </row>
    <row r="192" spans="1:2" x14ac:dyDescent="0.2">
      <c r="A192" s="3">
        <v>7.8958000000000004</v>
      </c>
      <c r="B192">
        <f t="shared" si="2"/>
        <v>0.89739613915544614</v>
      </c>
    </row>
    <row r="193" spans="1:2" x14ac:dyDescent="0.2">
      <c r="A193" s="3">
        <v>7.8958000000000004</v>
      </c>
      <c r="B193">
        <f t="shared" ref="B193:B256" si="3">LOG10(A193)</f>
        <v>0.89739613915544614</v>
      </c>
    </row>
    <row r="194" spans="1:2" x14ac:dyDescent="0.2">
      <c r="A194" s="3">
        <v>7.8958000000000004</v>
      </c>
      <c r="B194">
        <f t="shared" si="3"/>
        <v>0.89739613915544614</v>
      </c>
    </row>
    <row r="195" spans="1:2" x14ac:dyDescent="0.2">
      <c r="A195" s="3">
        <v>7.8958000000000004</v>
      </c>
      <c r="B195">
        <f t="shared" si="3"/>
        <v>0.89739613915544614</v>
      </c>
    </row>
    <row r="196" spans="1:2" x14ac:dyDescent="0.2">
      <c r="A196" s="3">
        <v>7.8958000000000004</v>
      </c>
      <c r="B196">
        <f t="shared" si="3"/>
        <v>0.89739613915544614</v>
      </c>
    </row>
    <row r="197" spans="1:2" x14ac:dyDescent="0.2">
      <c r="A197" s="3">
        <v>7.8958000000000004</v>
      </c>
      <c r="B197">
        <f t="shared" si="3"/>
        <v>0.89739613915544614</v>
      </c>
    </row>
    <row r="198" spans="1:2" x14ac:dyDescent="0.2">
      <c r="A198" s="3">
        <v>7.8958000000000004</v>
      </c>
      <c r="B198">
        <f t="shared" si="3"/>
        <v>0.89739613915544614</v>
      </c>
    </row>
    <row r="199" spans="1:2" x14ac:dyDescent="0.2">
      <c r="A199" s="3">
        <v>7.8958000000000004</v>
      </c>
      <c r="B199">
        <f t="shared" si="3"/>
        <v>0.89739613915544614</v>
      </c>
    </row>
    <row r="200" spans="1:2" x14ac:dyDescent="0.2">
      <c r="A200" s="3">
        <v>7.8958000000000004</v>
      </c>
      <c r="B200">
        <f t="shared" si="3"/>
        <v>0.89739613915544614</v>
      </c>
    </row>
    <row r="201" spans="1:2" x14ac:dyDescent="0.2">
      <c r="A201" s="3">
        <v>7.8958000000000004</v>
      </c>
      <c r="B201">
        <f t="shared" si="3"/>
        <v>0.89739613915544614</v>
      </c>
    </row>
    <row r="202" spans="1:2" x14ac:dyDescent="0.2">
      <c r="A202" s="3">
        <v>7.8958000000000004</v>
      </c>
      <c r="B202">
        <f t="shared" si="3"/>
        <v>0.89739613915544614</v>
      </c>
    </row>
    <row r="203" spans="1:2" x14ac:dyDescent="0.2">
      <c r="A203" s="3">
        <v>7.8958000000000004</v>
      </c>
      <c r="B203">
        <f t="shared" si="3"/>
        <v>0.89739613915544614</v>
      </c>
    </row>
    <row r="204" spans="1:2" x14ac:dyDescent="0.2">
      <c r="A204" s="3">
        <v>7.8958000000000004</v>
      </c>
      <c r="B204">
        <f t="shared" si="3"/>
        <v>0.89739613915544614</v>
      </c>
    </row>
    <row r="205" spans="1:2" x14ac:dyDescent="0.2">
      <c r="A205" s="3">
        <v>7.8958000000000004</v>
      </c>
      <c r="B205">
        <f t="shared" si="3"/>
        <v>0.89739613915544614</v>
      </c>
    </row>
    <row r="206" spans="1:2" x14ac:dyDescent="0.2">
      <c r="A206" s="3">
        <v>7.8958000000000004</v>
      </c>
      <c r="B206">
        <f t="shared" si="3"/>
        <v>0.89739613915544614</v>
      </c>
    </row>
    <row r="207" spans="1:2" x14ac:dyDescent="0.2">
      <c r="A207" s="3">
        <v>7.8958000000000004</v>
      </c>
      <c r="B207">
        <f t="shared" si="3"/>
        <v>0.89739613915544614</v>
      </c>
    </row>
    <row r="208" spans="1:2" x14ac:dyDescent="0.2">
      <c r="A208" s="3">
        <v>7.8958000000000004</v>
      </c>
      <c r="B208">
        <f t="shared" si="3"/>
        <v>0.89739613915544614</v>
      </c>
    </row>
    <row r="209" spans="1:2" x14ac:dyDescent="0.2">
      <c r="A209" s="3">
        <v>7.9249999999999998</v>
      </c>
      <c r="B209">
        <f t="shared" si="3"/>
        <v>0.89899927088978915</v>
      </c>
    </row>
    <row r="210" spans="1:2" x14ac:dyDescent="0.2">
      <c r="A210" s="3">
        <v>7.9249999999999998</v>
      </c>
      <c r="B210">
        <f t="shared" si="3"/>
        <v>0.89899927088978915</v>
      </c>
    </row>
    <row r="211" spans="1:2" x14ac:dyDescent="0.2">
      <c r="A211" s="3">
        <v>7.9249999999999998</v>
      </c>
      <c r="B211">
        <f t="shared" si="3"/>
        <v>0.89899927088978915</v>
      </c>
    </row>
    <row r="212" spans="1:2" x14ac:dyDescent="0.2">
      <c r="A212" s="3">
        <v>7.9249999999999998</v>
      </c>
      <c r="B212">
        <f t="shared" si="3"/>
        <v>0.89899927088978915</v>
      </c>
    </row>
    <row r="213" spans="1:2" x14ac:dyDescent="0.2">
      <c r="A213" s="3">
        <v>7.9249999999999998</v>
      </c>
      <c r="B213">
        <f t="shared" si="3"/>
        <v>0.89899927088978915</v>
      </c>
    </row>
    <row r="214" spans="1:2" x14ac:dyDescent="0.2">
      <c r="A214" s="3">
        <v>7.9249999999999998</v>
      </c>
      <c r="B214">
        <f t="shared" si="3"/>
        <v>0.89899927088978915</v>
      </c>
    </row>
    <row r="215" spans="1:2" x14ac:dyDescent="0.2">
      <c r="A215" s="3">
        <v>7.9249999999999998</v>
      </c>
      <c r="B215">
        <f t="shared" si="3"/>
        <v>0.89899927088978915</v>
      </c>
    </row>
    <row r="216" spans="1:2" x14ac:dyDescent="0.2">
      <c r="A216" s="3">
        <v>7.9249999999999998</v>
      </c>
      <c r="B216">
        <f t="shared" si="3"/>
        <v>0.89899927088978915</v>
      </c>
    </row>
    <row r="217" spans="1:2" x14ac:dyDescent="0.2">
      <c r="A217" s="3">
        <v>7.9249999999999998</v>
      </c>
      <c r="B217">
        <f t="shared" si="3"/>
        <v>0.89899927088978915</v>
      </c>
    </row>
    <row r="218" spans="1:2" x14ac:dyDescent="0.2">
      <c r="A218" s="3">
        <v>7.9249999999999998</v>
      </c>
      <c r="B218">
        <f t="shared" si="3"/>
        <v>0.89899927088978915</v>
      </c>
    </row>
    <row r="219" spans="1:2" x14ac:dyDescent="0.2">
      <c r="A219" s="3">
        <v>7.9249999999999998</v>
      </c>
      <c r="B219">
        <f t="shared" si="3"/>
        <v>0.89899927088978915</v>
      </c>
    </row>
    <row r="220" spans="1:2" x14ac:dyDescent="0.2">
      <c r="A220" s="3">
        <v>7.9249999999999998</v>
      </c>
      <c r="B220">
        <f t="shared" si="3"/>
        <v>0.89899927088978915</v>
      </c>
    </row>
    <row r="221" spans="1:2" x14ac:dyDescent="0.2">
      <c r="A221" s="3">
        <v>7.9249999999999998</v>
      </c>
      <c r="B221">
        <f t="shared" si="3"/>
        <v>0.89899927088978915</v>
      </c>
    </row>
    <row r="222" spans="1:2" x14ac:dyDescent="0.2">
      <c r="A222" s="3">
        <v>7.9249999999999998</v>
      </c>
      <c r="B222">
        <f t="shared" si="3"/>
        <v>0.89899927088978915</v>
      </c>
    </row>
    <row r="223" spans="1:2" x14ac:dyDescent="0.2">
      <c r="A223" s="3">
        <v>7.9249999999999998</v>
      </c>
      <c r="B223">
        <f t="shared" si="3"/>
        <v>0.89899927088978915</v>
      </c>
    </row>
    <row r="224" spans="1:2" x14ac:dyDescent="0.2">
      <c r="A224" s="3">
        <v>7.9249999999999998</v>
      </c>
      <c r="B224">
        <f t="shared" si="3"/>
        <v>0.89899927088978915</v>
      </c>
    </row>
    <row r="225" spans="1:2" x14ac:dyDescent="0.2">
      <c r="A225" s="3">
        <v>7.9249999999999998</v>
      </c>
      <c r="B225">
        <f t="shared" si="3"/>
        <v>0.89899927088978915</v>
      </c>
    </row>
    <row r="226" spans="1:2" x14ac:dyDescent="0.2">
      <c r="A226" s="3">
        <v>7.9249999999999998</v>
      </c>
      <c r="B226">
        <f t="shared" si="3"/>
        <v>0.89899927088978915</v>
      </c>
    </row>
    <row r="227" spans="1:2" x14ac:dyDescent="0.2">
      <c r="A227" s="3">
        <v>8.0291999999999994</v>
      </c>
      <c r="B227">
        <f t="shared" si="3"/>
        <v>0.90467227592705568</v>
      </c>
    </row>
    <row r="228" spans="1:2" x14ac:dyDescent="0.2">
      <c r="A228" s="3">
        <v>8.0500000000000007</v>
      </c>
      <c r="B228">
        <f t="shared" si="3"/>
        <v>0.90579588036786851</v>
      </c>
    </row>
    <row r="229" spans="1:2" x14ac:dyDescent="0.2">
      <c r="A229" s="3">
        <v>8.0500000000000007</v>
      </c>
      <c r="B229">
        <f t="shared" si="3"/>
        <v>0.90579588036786851</v>
      </c>
    </row>
    <row r="230" spans="1:2" x14ac:dyDescent="0.2">
      <c r="A230" s="3">
        <v>8.0500000000000007</v>
      </c>
      <c r="B230">
        <f t="shared" si="3"/>
        <v>0.90579588036786851</v>
      </c>
    </row>
    <row r="231" spans="1:2" x14ac:dyDescent="0.2">
      <c r="A231" s="3">
        <v>8.0500000000000007</v>
      </c>
      <c r="B231">
        <f t="shared" si="3"/>
        <v>0.90579588036786851</v>
      </c>
    </row>
    <row r="232" spans="1:2" x14ac:dyDescent="0.2">
      <c r="A232" s="3">
        <v>8.0500000000000007</v>
      </c>
      <c r="B232">
        <f t="shared" si="3"/>
        <v>0.90579588036786851</v>
      </c>
    </row>
    <row r="233" spans="1:2" x14ac:dyDescent="0.2">
      <c r="A233" s="3">
        <v>8.0500000000000007</v>
      </c>
      <c r="B233">
        <f t="shared" si="3"/>
        <v>0.90579588036786851</v>
      </c>
    </row>
    <row r="234" spans="1:2" x14ac:dyDescent="0.2">
      <c r="A234" s="3">
        <v>8.0500000000000007</v>
      </c>
      <c r="B234">
        <f t="shared" si="3"/>
        <v>0.90579588036786851</v>
      </c>
    </row>
    <row r="235" spans="1:2" x14ac:dyDescent="0.2">
      <c r="A235" s="3">
        <v>8.0500000000000007</v>
      </c>
      <c r="B235">
        <f t="shared" si="3"/>
        <v>0.90579588036786851</v>
      </c>
    </row>
    <row r="236" spans="1:2" x14ac:dyDescent="0.2">
      <c r="A236" s="3">
        <v>8.0500000000000007</v>
      </c>
      <c r="B236">
        <f t="shared" si="3"/>
        <v>0.90579588036786851</v>
      </c>
    </row>
    <row r="237" spans="1:2" x14ac:dyDescent="0.2">
      <c r="A237" s="3">
        <v>8.0500000000000007</v>
      </c>
      <c r="B237">
        <f t="shared" si="3"/>
        <v>0.90579588036786851</v>
      </c>
    </row>
    <row r="238" spans="1:2" x14ac:dyDescent="0.2">
      <c r="A238" s="3">
        <v>8.0500000000000007</v>
      </c>
      <c r="B238">
        <f t="shared" si="3"/>
        <v>0.90579588036786851</v>
      </c>
    </row>
    <row r="239" spans="1:2" x14ac:dyDescent="0.2">
      <c r="A239" s="3">
        <v>8.0500000000000007</v>
      </c>
      <c r="B239">
        <f t="shared" si="3"/>
        <v>0.90579588036786851</v>
      </c>
    </row>
    <row r="240" spans="1:2" x14ac:dyDescent="0.2">
      <c r="A240" s="3">
        <v>8.0500000000000007</v>
      </c>
      <c r="B240">
        <f t="shared" si="3"/>
        <v>0.90579588036786851</v>
      </c>
    </row>
    <row r="241" spans="1:2" x14ac:dyDescent="0.2">
      <c r="A241" s="3">
        <v>8.0500000000000007</v>
      </c>
      <c r="B241">
        <f t="shared" si="3"/>
        <v>0.90579588036786851</v>
      </c>
    </row>
    <row r="242" spans="1:2" x14ac:dyDescent="0.2">
      <c r="A242" s="3">
        <v>8.0500000000000007</v>
      </c>
      <c r="B242">
        <f t="shared" si="3"/>
        <v>0.90579588036786851</v>
      </c>
    </row>
    <row r="243" spans="1:2" x14ac:dyDescent="0.2">
      <c r="A243" s="3">
        <v>8.0500000000000007</v>
      </c>
      <c r="B243">
        <f t="shared" si="3"/>
        <v>0.90579588036786851</v>
      </c>
    </row>
    <row r="244" spans="1:2" x14ac:dyDescent="0.2">
      <c r="A244" s="3">
        <v>8.0500000000000007</v>
      </c>
      <c r="B244">
        <f t="shared" si="3"/>
        <v>0.90579588036786851</v>
      </c>
    </row>
    <row r="245" spans="1:2" x14ac:dyDescent="0.2">
      <c r="A245" s="3">
        <v>8.0500000000000007</v>
      </c>
      <c r="B245">
        <f t="shared" si="3"/>
        <v>0.90579588036786851</v>
      </c>
    </row>
    <row r="246" spans="1:2" x14ac:dyDescent="0.2">
      <c r="A246" s="3">
        <v>8.0500000000000007</v>
      </c>
      <c r="B246">
        <f t="shared" si="3"/>
        <v>0.90579588036786851</v>
      </c>
    </row>
    <row r="247" spans="1:2" x14ac:dyDescent="0.2">
      <c r="A247" s="3">
        <v>8.0500000000000007</v>
      </c>
      <c r="B247">
        <f t="shared" si="3"/>
        <v>0.90579588036786851</v>
      </c>
    </row>
    <row r="248" spans="1:2" x14ac:dyDescent="0.2">
      <c r="A248" s="3">
        <v>8.0500000000000007</v>
      </c>
      <c r="B248">
        <f t="shared" si="3"/>
        <v>0.90579588036786851</v>
      </c>
    </row>
    <row r="249" spans="1:2" x14ac:dyDescent="0.2">
      <c r="A249" s="3">
        <v>8.0500000000000007</v>
      </c>
      <c r="B249">
        <f t="shared" si="3"/>
        <v>0.90579588036786851</v>
      </c>
    </row>
    <row r="250" spans="1:2" x14ac:dyDescent="0.2">
      <c r="A250" s="3">
        <v>8.0500000000000007</v>
      </c>
      <c r="B250">
        <f t="shared" si="3"/>
        <v>0.90579588036786851</v>
      </c>
    </row>
    <row r="251" spans="1:2" x14ac:dyDescent="0.2">
      <c r="A251" s="3">
        <v>8.0500000000000007</v>
      </c>
      <c r="B251">
        <f t="shared" si="3"/>
        <v>0.90579588036786851</v>
      </c>
    </row>
    <row r="252" spans="1:2" x14ac:dyDescent="0.2">
      <c r="A252" s="3">
        <v>8.0500000000000007</v>
      </c>
      <c r="B252">
        <f t="shared" si="3"/>
        <v>0.90579588036786851</v>
      </c>
    </row>
    <row r="253" spans="1:2" x14ac:dyDescent="0.2">
      <c r="A253" s="3">
        <v>8.0500000000000007</v>
      </c>
      <c r="B253">
        <f t="shared" si="3"/>
        <v>0.90579588036786851</v>
      </c>
    </row>
    <row r="254" spans="1:2" x14ac:dyDescent="0.2">
      <c r="A254" s="3">
        <v>8.0500000000000007</v>
      </c>
      <c r="B254">
        <f t="shared" si="3"/>
        <v>0.90579588036786851</v>
      </c>
    </row>
    <row r="255" spans="1:2" x14ac:dyDescent="0.2">
      <c r="A255" s="3">
        <v>8.0500000000000007</v>
      </c>
      <c r="B255">
        <f t="shared" si="3"/>
        <v>0.90579588036786851</v>
      </c>
    </row>
    <row r="256" spans="1:2" x14ac:dyDescent="0.2">
      <c r="A256" s="3">
        <v>8.0500000000000007</v>
      </c>
      <c r="B256">
        <f t="shared" si="3"/>
        <v>0.90579588036786851</v>
      </c>
    </row>
    <row r="257" spans="1:2" x14ac:dyDescent="0.2">
      <c r="A257" s="3">
        <v>8.0500000000000007</v>
      </c>
      <c r="B257">
        <f t="shared" ref="B257:B320" si="4">LOG10(A257)</f>
        <v>0.90579588036786851</v>
      </c>
    </row>
    <row r="258" spans="1:2" x14ac:dyDescent="0.2">
      <c r="A258" s="3">
        <v>8.0500000000000007</v>
      </c>
      <c r="B258">
        <f t="shared" si="4"/>
        <v>0.90579588036786851</v>
      </c>
    </row>
    <row r="259" spans="1:2" x14ac:dyDescent="0.2">
      <c r="A259" s="3">
        <v>8.0500000000000007</v>
      </c>
      <c r="B259">
        <f t="shared" si="4"/>
        <v>0.90579588036786851</v>
      </c>
    </row>
    <row r="260" spans="1:2" x14ac:dyDescent="0.2">
      <c r="A260" s="3">
        <v>8.0500000000000007</v>
      </c>
      <c r="B260">
        <f t="shared" si="4"/>
        <v>0.90579588036786851</v>
      </c>
    </row>
    <row r="261" spans="1:2" x14ac:dyDescent="0.2">
      <c r="A261" s="3">
        <v>8.0500000000000007</v>
      </c>
      <c r="B261">
        <f t="shared" si="4"/>
        <v>0.90579588036786851</v>
      </c>
    </row>
    <row r="262" spans="1:2" x14ac:dyDescent="0.2">
      <c r="A262" s="3">
        <v>8.0500000000000007</v>
      </c>
      <c r="B262">
        <f t="shared" si="4"/>
        <v>0.90579588036786851</v>
      </c>
    </row>
    <row r="263" spans="1:2" x14ac:dyDescent="0.2">
      <c r="A263" s="3">
        <v>8.0500000000000007</v>
      </c>
      <c r="B263">
        <f t="shared" si="4"/>
        <v>0.90579588036786851</v>
      </c>
    </row>
    <row r="264" spans="1:2" x14ac:dyDescent="0.2">
      <c r="A264" s="3">
        <v>8.0500000000000007</v>
      </c>
      <c r="B264">
        <f t="shared" si="4"/>
        <v>0.90579588036786851</v>
      </c>
    </row>
    <row r="265" spans="1:2" x14ac:dyDescent="0.2">
      <c r="A265" s="3">
        <v>8.0500000000000007</v>
      </c>
      <c r="B265">
        <f t="shared" si="4"/>
        <v>0.90579588036786851</v>
      </c>
    </row>
    <row r="266" spans="1:2" x14ac:dyDescent="0.2">
      <c r="A266" s="3">
        <v>8.0500000000000007</v>
      </c>
      <c r="B266">
        <f t="shared" si="4"/>
        <v>0.90579588036786851</v>
      </c>
    </row>
    <row r="267" spans="1:2" x14ac:dyDescent="0.2">
      <c r="A267" s="3">
        <v>8.0500000000000007</v>
      </c>
      <c r="B267">
        <f t="shared" si="4"/>
        <v>0.90579588036786851</v>
      </c>
    </row>
    <row r="268" spans="1:2" x14ac:dyDescent="0.2">
      <c r="A268" s="3">
        <v>8.0500000000000007</v>
      </c>
      <c r="B268">
        <f t="shared" si="4"/>
        <v>0.90579588036786851</v>
      </c>
    </row>
    <row r="269" spans="1:2" x14ac:dyDescent="0.2">
      <c r="A269" s="3">
        <v>8.0500000000000007</v>
      </c>
      <c r="B269">
        <f t="shared" si="4"/>
        <v>0.90579588036786851</v>
      </c>
    </row>
    <row r="270" spans="1:2" x14ac:dyDescent="0.2">
      <c r="A270" s="3">
        <v>8.0500000000000007</v>
      </c>
      <c r="B270">
        <f t="shared" si="4"/>
        <v>0.90579588036786851</v>
      </c>
    </row>
    <row r="271" spans="1:2" x14ac:dyDescent="0.2">
      <c r="A271" s="3">
        <v>8.1125000000000007</v>
      </c>
      <c r="B271">
        <f t="shared" si="4"/>
        <v>0.90915470980842572</v>
      </c>
    </row>
    <row r="272" spans="1:2" x14ac:dyDescent="0.2">
      <c r="A272" s="3">
        <v>8.1374999999999993</v>
      </c>
      <c r="B272">
        <f t="shared" si="4"/>
        <v>0.91049100157624829</v>
      </c>
    </row>
    <row r="273" spans="1:2" x14ac:dyDescent="0.2">
      <c r="A273" s="3">
        <v>8.1583000000000006</v>
      </c>
      <c r="B273">
        <f t="shared" si="4"/>
        <v>0.9115996713106953</v>
      </c>
    </row>
    <row r="274" spans="1:2" x14ac:dyDescent="0.2">
      <c r="A274" s="3">
        <v>8.3000000000000007</v>
      </c>
      <c r="B274">
        <f t="shared" si="4"/>
        <v>0.91907809237607396</v>
      </c>
    </row>
    <row r="275" spans="1:2" x14ac:dyDescent="0.2">
      <c r="A275" s="3">
        <v>8.3625000000000007</v>
      </c>
      <c r="B275">
        <f t="shared" si="4"/>
        <v>0.92233613077587961</v>
      </c>
    </row>
    <row r="276" spans="1:2" x14ac:dyDescent="0.2">
      <c r="A276" s="3">
        <v>8.4041999999999994</v>
      </c>
      <c r="B276">
        <f t="shared" si="4"/>
        <v>0.92449637903411186</v>
      </c>
    </row>
    <row r="277" spans="1:2" x14ac:dyDescent="0.2">
      <c r="A277" s="3">
        <v>8.4332999999999991</v>
      </c>
      <c r="B277">
        <f t="shared" si="4"/>
        <v>0.92599754987378313</v>
      </c>
    </row>
    <row r="278" spans="1:2" x14ac:dyDescent="0.2">
      <c r="A278" s="3">
        <v>8.4582999999999995</v>
      </c>
      <c r="B278">
        <f t="shared" si="4"/>
        <v>0.92728308469288701</v>
      </c>
    </row>
    <row r="279" spans="1:2" x14ac:dyDescent="0.2">
      <c r="A279" s="3">
        <v>8.5167000000000002</v>
      </c>
      <c r="B279">
        <f t="shared" si="4"/>
        <v>0.93027134953045076</v>
      </c>
    </row>
    <row r="280" spans="1:2" x14ac:dyDescent="0.2">
      <c r="A280" s="3">
        <v>8.6541999999999994</v>
      </c>
      <c r="B280">
        <f t="shared" si="4"/>
        <v>0.9372269275963212</v>
      </c>
    </row>
    <row r="281" spans="1:2" x14ac:dyDescent="0.2">
      <c r="A281" s="3">
        <v>8.6624999999999996</v>
      </c>
      <c r="B281">
        <f t="shared" si="4"/>
        <v>0.93764324761986317</v>
      </c>
    </row>
    <row r="282" spans="1:2" x14ac:dyDescent="0.2">
      <c r="A282" s="3">
        <v>8.6624999999999996</v>
      </c>
      <c r="B282">
        <f t="shared" si="4"/>
        <v>0.93764324761986317</v>
      </c>
    </row>
    <row r="283" spans="1:2" x14ac:dyDescent="0.2">
      <c r="A283" s="3">
        <v>8.6624999999999996</v>
      </c>
      <c r="B283">
        <f t="shared" si="4"/>
        <v>0.93764324761986317</v>
      </c>
    </row>
    <row r="284" spans="1:2" x14ac:dyDescent="0.2">
      <c r="A284" s="3">
        <v>8.6624999999999996</v>
      </c>
      <c r="B284">
        <f t="shared" si="4"/>
        <v>0.93764324761986317</v>
      </c>
    </row>
    <row r="285" spans="1:2" x14ac:dyDescent="0.2">
      <c r="A285" s="3">
        <v>8.6624999999999996</v>
      </c>
      <c r="B285">
        <f t="shared" si="4"/>
        <v>0.93764324761986317</v>
      </c>
    </row>
    <row r="286" spans="1:2" x14ac:dyDescent="0.2">
      <c r="A286" s="3">
        <v>8.6624999999999996</v>
      </c>
      <c r="B286">
        <f t="shared" si="4"/>
        <v>0.93764324761986317</v>
      </c>
    </row>
    <row r="287" spans="1:2" x14ac:dyDescent="0.2">
      <c r="A287" s="3">
        <v>8.6624999999999996</v>
      </c>
      <c r="B287">
        <f t="shared" si="4"/>
        <v>0.93764324761986317</v>
      </c>
    </row>
    <row r="288" spans="1:2" x14ac:dyDescent="0.2">
      <c r="A288" s="3">
        <v>8.6624999999999996</v>
      </c>
      <c r="B288">
        <f t="shared" si="4"/>
        <v>0.93764324761986317</v>
      </c>
    </row>
    <row r="289" spans="1:2" x14ac:dyDescent="0.2">
      <c r="A289" s="3">
        <v>8.6624999999999996</v>
      </c>
      <c r="B289">
        <f t="shared" si="4"/>
        <v>0.93764324761986317</v>
      </c>
    </row>
    <row r="290" spans="1:2" x14ac:dyDescent="0.2">
      <c r="A290" s="3">
        <v>8.6624999999999996</v>
      </c>
      <c r="B290">
        <f t="shared" si="4"/>
        <v>0.93764324761986317</v>
      </c>
    </row>
    <row r="291" spans="1:2" x14ac:dyDescent="0.2">
      <c r="A291" s="3">
        <v>8.6624999999999996</v>
      </c>
      <c r="B291">
        <f t="shared" si="4"/>
        <v>0.93764324761986317</v>
      </c>
    </row>
    <row r="292" spans="1:2" x14ac:dyDescent="0.2">
      <c r="A292" s="3">
        <v>8.6624999999999996</v>
      </c>
      <c r="B292">
        <f t="shared" si="4"/>
        <v>0.93764324761986317</v>
      </c>
    </row>
    <row r="293" spans="1:2" x14ac:dyDescent="0.2">
      <c r="A293" s="3">
        <v>8.6624999999999996</v>
      </c>
      <c r="B293">
        <f t="shared" si="4"/>
        <v>0.93764324761986317</v>
      </c>
    </row>
    <row r="294" spans="1:2" x14ac:dyDescent="0.2">
      <c r="A294" s="3">
        <v>8.6832999999999991</v>
      </c>
      <c r="B294">
        <f t="shared" si="4"/>
        <v>0.93868480575536073</v>
      </c>
    </row>
    <row r="295" spans="1:2" x14ac:dyDescent="0.2">
      <c r="A295" s="3">
        <v>8.7125000000000004</v>
      </c>
      <c r="B295">
        <f t="shared" si="4"/>
        <v>0.9401427911060658</v>
      </c>
    </row>
    <row r="296" spans="1:2" x14ac:dyDescent="0.2">
      <c r="A296" s="3">
        <v>8.85</v>
      </c>
      <c r="B296">
        <f t="shared" si="4"/>
        <v>0.94694327069782547</v>
      </c>
    </row>
    <row r="297" spans="1:2" x14ac:dyDescent="0.2">
      <c r="A297" s="3">
        <v>9</v>
      </c>
      <c r="B297">
        <f t="shared" si="4"/>
        <v>0.95424250943932487</v>
      </c>
    </row>
    <row r="298" spans="1:2" x14ac:dyDescent="0.2">
      <c r="A298" s="3">
        <v>9</v>
      </c>
      <c r="B298">
        <f t="shared" si="4"/>
        <v>0.95424250943932487</v>
      </c>
    </row>
    <row r="299" spans="1:2" x14ac:dyDescent="0.2">
      <c r="A299" s="3">
        <v>9.2166999999999994</v>
      </c>
      <c r="B299">
        <f t="shared" si="4"/>
        <v>0.96457545160350144</v>
      </c>
    </row>
    <row r="300" spans="1:2" x14ac:dyDescent="0.2">
      <c r="A300" s="3">
        <v>9.2249999999999996</v>
      </c>
      <c r="B300">
        <f t="shared" si="4"/>
        <v>0.96496637483109793</v>
      </c>
    </row>
    <row r="301" spans="1:2" x14ac:dyDescent="0.2">
      <c r="A301" s="3">
        <v>9.2249999999999996</v>
      </c>
      <c r="B301">
        <f t="shared" si="4"/>
        <v>0.96496637483109793</v>
      </c>
    </row>
    <row r="302" spans="1:2" x14ac:dyDescent="0.2">
      <c r="A302" s="3">
        <v>9.35</v>
      </c>
      <c r="B302">
        <f t="shared" si="4"/>
        <v>0.97081161087251777</v>
      </c>
    </row>
    <row r="303" spans="1:2" x14ac:dyDescent="0.2">
      <c r="A303" s="3">
        <v>9.35</v>
      </c>
      <c r="B303">
        <f t="shared" si="4"/>
        <v>0.97081161087251777</v>
      </c>
    </row>
    <row r="304" spans="1:2" x14ac:dyDescent="0.2">
      <c r="A304" s="3">
        <v>9.4749999999999996</v>
      </c>
      <c r="B304">
        <f t="shared" si="4"/>
        <v>0.97657921864010988</v>
      </c>
    </row>
    <row r="305" spans="1:2" x14ac:dyDescent="0.2">
      <c r="A305" s="3">
        <v>9.4832999999999998</v>
      </c>
      <c r="B305">
        <f t="shared" si="4"/>
        <v>0.97695948949035494</v>
      </c>
    </row>
    <row r="306" spans="1:2" x14ac:dyDescent="0.2">
      <c r="A306" s="3">
        <v>9.5</v>
      </c>
      <c r="B306">
        <f t="shared" si="4"/>
        <v>0.97772360528884772</v>
      </c>
    </row>
    <row r="307" spans="1:2" x14ac:dyDescent="0.2">
      <c r="A307" s="3">
        <v>9.5</v>
      </c>
      <c r="B307">
        <f t="shared" si="4"/>
        <v>0.97772360528884772</v>
      </c>
    </row>
    <row r="308" spans="1:2" x14ac:dyDescent="0.2">
      <c r="A308" s="3">
        <v>9.5</v>
      </c>
      <c r="B308">
        <f t="shared" si="4"/>
        <v>0.97772360528884772</v>
      </c>
    </row>
    <row r="309" spans="1:2" x14ac:dyDescent="0.2">
      <c r="A309" s="3">
        <v>9.5</v>
      </c>
      <c r="B309">
        <f t="shared" si="4"/>
        <v>0.97772360528884772</v>
      </c>
    </row>
    <row r="310" spans="1:2" x14ac:dyDescent="0.2">
      <c r="A310" s="3">
        <v>9.5</v>
      </c>
      <c r="B310">
        <f t="shared" si="4"/>
        <v>0.97772360528884772</v>
      </c>
    </row>
    <row r="311" spans="1:2" x14ac:dyDescent="0.2">
      <c r="A311" s="3">
        <v>9.5</v>
      </c>
      <c r="B311">
        <f t="shared" si="4"/>
        <v>0.97772360528884772</v>
      </c>
    </row>
    <row r="312" spans="1:2" x14ac:dyDescent="0.2">
      <c r="A312" s="3">
        <v>9.5</v>
      </c>
      <c r="B312">
        <f t="shared" si="4"/>
        <v>0.97772360528884772</v>
      </c>
    </row>
    <row r="313" spans="1:2" x14ac:dyDescent="0.2">
      <c r="A313" s="3">
        <v>9.5</v>
      </c>
      <c r="B313">
        <f t="shared" si="4"/>
        <v>0.97772360528884772</v>
      </c>
    </row>
    <row r="314" spans="1:2" x14ac:dyDescent="0.2">
      <c r="A314" s="3">
        <v>9.5</v>
      </c>
      <c r="B314">
        <f t="shared" si="4"/>
        <v>0.97772360528884772</v>
      </c>
    </row>
    <row r="315" spans="1:2" x14ac:dyDescent="0.2">
      <c r="A315" s="3">
        <v>9.5875000000000004</v>
      </c>
      <c r="B315">
        <f t="shared" si="4"/>
        <v>0.98170537695703741</v>
      </c>
    </row>
    <row r="316" spans="1:2" x14ac:dyDescent="0.2">
      <c r="A316" s="3">
        <v>9.5875000000000004</v>
      </c>
      <c r="B316">
        <f t="shared" si="4"/>
        <v>0.98170537695703741</v>
      </c>
    </row>
    <row r="317" spans="1:2" x14ac:dyDescent="0.2">
      <c r="A317" s="3">
        <v>9.8249999999999993</v>
      </c>
      <c r="B317">
        <f t="shared" si="4"/>
        <v>0.99233255904746431</v>
      </c>
    </row>
    <row r="318" spans="1:2" x14ac:dyDescent="0.2">
      <c r="A318" s="3">
        <v>9.8249999999999993</v>
      </c>
      <c r="B318">
        <f t="shared" si="4"/>
        <v>0.99233255904746431</v>
      </c>
    </row>
    <row r="319" spans="1:2" x14ac:dyDescent="0.2">
      <c r="A319" s="3">
        <v>9.8375000000000004</v>
      </c>
      <c r="B319">
        <f t="shared" si="4"/>
        <v>0.99288474536712101</v>
      </c>
    </row>
    <row r="320" spans="1:2" x14ac:dyDescent="0.2">
      <c r="A320" s="3">
        <v>9.8416999999999994</v>
      </c>
      <c r="B320">
        <f t="shared" si="4"/>
        <v>0.9930701225015256</v>
      </c>
    </row>
    <row r="321" spans="1:2" x14ac:dyDescent="0.2">
      <c r="A321" s="3">
        <v>9.8458000000000006</v>
      </c>
      <c r="B321">
        <f t="shared" ref="B321:B384" si="5">LOG10(A321)</f>
        <v>0.99325100960263502</v>
      </c>
    </row>
    <row r="322" spans="1:2" x14ac:dyDescent="0.2">
      <c r="A322" s="3">
        <v>10.1708</v>
      </c>
      <c r="B322">
        <f t="shared" si="5"/>
        <v>1.0073551143702493</v>
      </c>
    </row>
    <row r="323" spans="1:2" x14ac:dyDescent="0.2">
      <c r="A323" s="3">
        <v>10.4625</v>
      </c>
      <c r="B323">
        <f t="shared" si="5"/>
        <v>1.0196354710013165</v>
      </c>
    </row>
    <row r="324" spans="1:2" x14ac:dyDescent="0.2">
      <c r="A324" s="3">
        <v>10.4625</v>
      </c>
      <c r="B324">
        <f t="shared" si="5"/>
        <v>1.0196354710013165</v>
      </c>
    </row>
    <row r="325" spans="1:2" x14ac:dyDescent="0.2">
      <c r="A325" s="3">
        <v>10.5</v>
      </c>
      <c r="B325">
        <f t="shared" si="5"/>
        <v>1.0211892990699381</v>
      </c>
    </row>
    <row r="326" spans="1:2" x14ac:dyDescent="0.2">
      <c r="A326" s="3">
        <v>10.5</v>
      </c>
      <c r="B326">
        <f t="shared" si="5"/>
        <v>1.0211892990699381</v>
      </c>
    </row>
    <row r="327" spans="1:2" x14ac:dyDescent="0.2">
      <c r="A327" s="3">
        <v>10.5</v>
      </c>
      <c r="B327">
        <f t="shared" si="5"/>
        <v>1.0211892990699381</v>
      </c>
    </row>
    <row r="328" spans="1:2" x14ac:dyDescent="0.2">
      <c r="A328" s="3">
        <v>10.5</v>
      </c>
      <c r="B328">
        <f t="shared" si="5"/>
        <v>1.0211892990699381</v>
      </c>
    </row>
    <row r="329" spans="1:2" x14ac:dyDescent="0.2">
      <c r="A329" s="3">
        <v>10.5</v>
      </c>
      <c r="B329">
        <f t="shared" si="5"/>
        <v>1.0211892990699381</v>
      </c>
    </row>
    <row r="330" spans="1:2" x14ac:dyDescent="0.2">
      <c r="A330" s="3">
        <v>10.5</v>
      </c>
      <c r="B330">
        <f t="shared" si="5"/>
        <v>1.0211892990699381</v>
      </c>
    </row>
    <row r="331" spans="1:2" x14ac:dyDescent="0.2">
      <c r="A331" s="3">
        <v>10.5</v>
      </c>
      <c r="B331">
        <f t="shared" si="5"/>
        <v>1.0211892990699381</v>
      </c>
    </row>
    <row r="332" spans="1:2" x14ac:dyDescent="0.2">
      <c r="A332" s="3">
        <v>10.5</v>
      </c>
      <c r="B332">
        <f t="shared" si="5"/>
        <v>1.0211892990699381</v>
      </c>
    </row>
    <row r="333" spans="1:2" x14ac:dyDescent="0.2">
      <c r="A333" s="3">
        <v>10.5</v>
      </c>
      <c r="B333">
        <f t="shared" si="5"/>
        <v>1.0211892990699381</v>
      </c>
    </row>
    <row r="334" spans="1:2" x14ac:dyDescent="0.2">
      <c r="A334" s="3">
        <v>10.5</v>
      </c>
      <c r="B334">
        <f t="shared" si="5"/>
        <v>1.0211892990699381</v>
      </c>
    </row>
    <row r="335" spans="1:2" x14ac:dyDescent="0.2">
      <c r="A335" s="3">
        <v>10.5</v>
      </c>
      <c r="B335">
        <f t="shared" si="5"/>
        <v>1.0211892990699381</v>
      </c>
    </row>
    <row r="336" spans="1:2" x14ac:dyDescent="0.2">
      <c r="A336" s="3">
        <v>10.5</v>
      </c>
      <c r="B336">
        <f t="shared" si="5"/>
        <v>1.0211892990699381</v>
      </c>
    </row>
    <row r="337" spans="1:2" x14ac:dyDescent="0.2">
      <c r="A337" s="3">
        <v>10.5</v>
      </c>
      <c r="B337">
        <f t="shared" si="5"/>
        <v>1.0211892990699381</v>
      </c>
    </row>
    <row r="338" spans="1:2" x14ac:dyDescent="0.2">
      <c r="A338" s="3">
        <v>10.5</v>
      </c>
      <c r="B338">
        <f t="shared" si="5"/>
        <v>1.0211892990699381</v>
      </c>
    </row>
    <row r="339" spans="1:2" x14ac:dyDescent="0.2">
      <c r="A339" s="3">
        <v>10.5</v>
      </c>
      <c r="B339">
        <f t="shared" si="5"/>
        <v>1.0211892990699381</v>
      </c>
    </row>
    <row r="340" spans="1:2" x14ac:dyDescent="0.2">
      <c r="A340" s="3">
        <v>10.5</v>
      </c>
      <c r="B340">
        <f t="shared" si="5"/>
        <v>1.0211892990699381</v>
      </c>
    </row>
    <row r="341" spans="1:2" x14ac:dyDescent="0.2">
      <c r="A341" s="3">
        <v>10.5</v>
      </c>
      <c r="B341">
        <f t="shared" si="5"/>
        <v>1.0211892990699381</v>
      </c>
    </row>
    <row r="342" spans="1:2" x14ac:dyDescent="0.2">
      <c r="A342" s="3">
        <v>10.5</v>
      </c>
      <c r="B342">
        <f t="shared" si="5"/>
        <v>1.0211892990699381</v>
      </c>
    </row>
    <row r="343" spans="1:2" x14ac:dyDescent="0.2">
      <c r="A343" s="3">
        <v>10.5</v>
      </c>
      <c r="B343">
        <f t="shared" si="5"/>
        <v>1.0211892990699381</v>
      </c>
    </row>
    <row r="344" spans="1:2" x14ac:dyDescent="0.2">
      <c r="A344" s="3">
        <v>10.5</v>
      </c>
      <c r="B344">
        <f t="shared" si="5"/>
        <v>1.0211892990699381</v>
      </c>
    </row>
    <row r="345" spans="1:2" x14ac:dyDescent="0.2">
      <c r="A345" s="3">
        <v>10.5</v>
      </c>
      <c r="B345">
        <f t="shared" si="5"/>
        <v>1.0211892990699381</v>
      </c>
    </row>
    <row r="346" spans="1:2" x14ac:dyDescent="0.2">
      <c r="A346" s="3">
        <v>10.5</v>
      </c>
      <c r="B346">
        <f t="shared" si="5"/>
        <v>1.0211892990699381</v>
      </c>
    </row>
    <row r="347" spans="1:2" x14ac:dyDescent="0.2">
      <c r="A347" s="3">
        <v>10.5</v>
      </c>
      <c r="B347">
        <f t="shared" si="5"/>
        <v>1.0211892990699381</v>
      </c>
    </row>
    <row r="348" spans="1:2" x14ac:dyDescent="0.2">
      <c r="A348" s="3">
        <v>10.5</v>
      </c>
      <c r="B348">
        <f t="shared" si="5"/>
        <v>1.0211892990699381</v>
      </c>
    </row>
    <row r="349" spans="1:2" x14ac:dyDescent="0.2">
      <c r="A349" s="3">
        <v>10.5167</v>
      </c>
      <c r="B349">
        <f t="shared" si="5"/>
        <v>1.0218794853859856</v>
      </c>
    </row>
    <row r="350" spans="1:2" x14ac:dyDescent="0.2">
      <c r="A350" s="3">
        <v>11.1333</v>
      </c>
      <c r="B350">
        <f t="shared" si="5"/>
        <v>1.0466239118070755</v>
      </c>
    </row>
    <row r="351" spans="1:2" x14ac:dyDescent="0.2">
      <c r="A351" s="3">
        <v>11.1333</v>
      </c>
      <c r="B351">
        <f t="shared" si="5"/>
        <v>1.0466239118070755</v>
      </c>
    </row>
    <row r="352" spans="1:2" x14ac:dyDescent="0.2">
      <c r="A352" s="3">
        <v>11.1333</v>
      </c>
      <c r="B352">
        <f t="shared" si="5"/>
        <v>1.0466239118070755</v>
      </c>
    </row>
    <row r="353" spans="1:2" x14ac:dyDescent="0.2">
      <c r="A353" s="3">
        <v>11.2417</v>
      </c>
      <c r="B353">
        <f t="shared" si="5"/>
        <v>1.0508319913747257</v>
      </c>
    </row>
    <row r="354" spans="1:2" x14ac:dyDescent="0.2">
      <c r="A354" s="3">
        <v>11.2417</v>
      </c>
      <c r="B354">
        <f t="shared" si="5"/>
        <v>1.0508319913747257</v>
      </c>
    </row>
    <row r="355" spans="1:2" x14ac:dyDescent="0.2">
      <c r="A355" s="3">
        <v>11.5</v>
      </c>
      <c r="B355">
        <f t="shared" si="5"/>
        <v>1.0606978403536116</v>
      </c>
    </row>
    <row r="356" spans="1:2" x14ac:dyDescent="0.2">
      <c r="A356" s="3">
        <v>11.5</v>
      </c>
      <c r="B356">
        <f t="shared" si="5"/>
        <v>1.0606978403536116</v>
      </c>
    </row>
    <row r="357" spans="1:2" x14ac:dyDescent="0.2">
      <c r="A357" s="3">
        <v>11.5</v>
      </c>
      <c r="B357">
        <f t="shared" si="5"/>
        <v>1.0606978403536116</v>
      </c>
    </row>
    <row r="358" spans="1:2" x14ac:dyDescent="0.2">
      <c r="A358" s="3">
        <v>11.5</v>
      </c>
      <c r="B358">
        <f t="shared" si="5"/>
        <v>1.0606978403536116</v>
      </c>
    </row>
    <row r="359" spans="1:2" x14ac:dyDescent="0.2">
      <c r="A359" s="3">
        <v>12</v>
      </c>
      <c r="B359">
        <f t="shared" si="5"/>
        <v>1.0791812460476249</v>
      </c>
    </row>
    <row r="360" spans="1:2" x14ac:dyDescent="0.2">
      <c r="A360" s="3">
        <v>12.275</v>
      </c>
      <c r="B360">
        <f t="shared" si="5"/>
        <v>1.0890215007950061</v>
      </c>
    </row>
    <row r="361" spans="1:2" x14ac:dyDescent="0.2">
      <c r="A361" s="3">
        <v>12.2875</v>
      </c>
      <c r="B361">
        <f t="shared" si="5"/>
        <v>1.0894635308401921</v>
      </c>
    </row>
    <row r="362" spans="1:2" x14ac:dyDescent="0.2">
      <c r="A362" s="3">
        <v>12.35</v>
      </c>
      <c r="B362">
        <f t="shared" si="5"/>
        <v>1.0916669575956846</v>
      </c>
    </row>
    <row r="363" spans="1:2" x14ac:dyDescent="0.2">
      <c r="A363" s="3">
        <v>12.35</v>
      </c>
      <c r="B363">
        <f t="shared" si="5"/>
        <v>1.0916669575956846</v>
      </c>
    </row>
    <row r="364" spans="1:2" x14ac:dyDescent="0.2">
      <c r="A364" s="3">
        <v>12.35</v>
      </c>
      <c r="B364">
        <f t="shared" si="5"/>
        <v>1.0916669575956846</v>
      </c>
    </row>
    <row r="365" spans="1:2" x14ac:dyDescent="0.2">
      <c r="A365" s="3">
        <v>12.475</v>
      </c>
      <c r="B365">
        <f t="shared" si="5"/>
        <v>1.0960405542954275</v>
      </c>
    </row>
    <row r="366" spans="1:2" x14ac:dyDescent="0.2">
      <c r="A366" s="3">
        <v>12.475</v>
      </c>
      <c r="B366">
        <f t="shared" si="5"/>
        <v>1.0960405542954275</v>
      </c>
    </row>
    <row r="367" spans="1:2" x14ac:dyDescent="0.2">
      <c r="A367" s="3">
        <v>12.475</v>
      </c>
      <c r="B367">
        <f t="shared" si="5"/>
        <v>1.0960405542954275</v>
      </c>
    </row>
    <row r="368" spans="1:2" x14ac:dyDescent="0.2">
      <c r="A368" s="3">
        <v>12.475</v>
      </c>
      <c r="B368">
        <f t="shared" si="5"/>
        <v>1.0960405542954275</v>
      </c>
    </row>
    <row r="369" spans="1:2" x14ac:dyDescent="0.2">
      <c r="A369" s="3">
        <v>12.525</v>
      </c>
      <c r="B369">
        <f t="shared" si="5"/>
        <v>1.0977777345392834</v>
      </c>
    </row>
    <row r="370" spans="1:2" x14ac:dyDescent="0.2">
      <c r="A370" s="3">
        <v>12.65</v>
      </c>
      <c r="B370">
        <f t="shared" si="5"/>
        <v>1.1020905255118367</v>
      </c>
    </row>
    <row r="371" spans="1:2" x14ac:dyDescent="0.2">
      <c r="A371" s="3">
        <v>12.875</v>
      </c>
      <c r="B371">
        <f t="shared" si="5"/>
        <v>1.1097472377132287</v>
      </c>
    </row>
    <row r="372" spans="1:2" x14ac:dyDescent="0.2">
      <c r="A372" s="3">
        <v>13</v>
      </c>
      <c r="B372">
        <f t="shared" si="5"/>
        <v>1.1139433523068367</v>
      </c>
    </row>
    <row r="373" spans="1:2" x14ac:dyDescent="0.2">
      <c r="A373" s="3">
        <v>13</v>
      </c>
      <c r="B373">
        <f t="shared" si="5"/>
        <v>1.1139433523068367</v>
      </c>
    </row>
    <row r="374" spans="1:2" x14ac:dyDescent="0.2">
      <c r="A374" s="3">
        <v>13</v>
      </c>
      <c r="B374">
        <f t="shared" si="5"/>
        <v>1.1139433523068367</v>
      </c>
    </row>
    <row r="375" spans="1:2" x14ac:dyDescent="0.2">
      <c r="A375" s="3">
        <v>13</v>
      </c>
      <c r="B375">
        <f t="shared" si="5"/>
        <v>1.1139433523068367</v>
      </c>
    </row>
    <row r="376" spans="1:2" x14ac:dyDescent="0.2">
      <c r="A376" s="3">
        <v>13</v>
      </c>
      <c r="B376">
        <f t="shared" si="5"/>
        <v>1.1139433523068367</v>
      </c>
    </row>
    <row r="377" spans="1:2" x14ac:dyDescent="0.2">
      <c r="A377" s="3">
        <v>13</v>
      </c>
      <c r="B377">
        <f t="shared" si="5"/>
        <v>1.1139433523068367</v>
      </c>
    </row>
    <row r="378" spans="1:2" x14ac:dyDescent="0.2">
      <c r="A378" s="3">
        <v>13</v>
      </c>
      <c r="B378">
        <f t="shared" si="5"/>
        <v>1.1139433523068367</v>
      </c>
    </row>
    <row r="379" spans="1:2" x14ac:dyDescent="0.2">
      <c r="A379" s="3">
        <v>13</v>
      </c>
      <c r="B379">
        <f t="shared" si="5"/>
        <v>1.1139433523068367</v>
      </c>
    </row>
    <row r="380" spans="1:2" x14ac:dyDescent="0.2">
      <c r="A380" s="3">
        <v>13</v>
      </c>
      <c r="B380">
        <f t="shared" si="5"/>
        <v>1.1139433523068367</v>
      </c>
    </row>
    <row r="381" spans="1:2" x14ac:dyDescent="0.2">
      <c r="A381" s="3">
        <v>13</v>
      </c>
      <c r="B381">
        <f t="shared" si="5"/>
        <v>1.1139433523068367</v>
      </c>
    </row>
    <row r="382" spans="1:2" x14ac:dyDescent="0.2">
      <c r="A382" s="3">
        <v>13</v>
      </c>
      <c r="B382">
        <f t="shared" si="5"/>
        <v>1.1139433523068367</v>
      </c>
    </row>
    <row r="383" spans="1:2" x14ac:dyDescent="0.2">
      <c r="A383" s="3">
        <v>13</v>
      </c>
      <c r="B383">
        <f t="shared" si="5"/>
        <v>1.1139433523068367</v>
      </c>
    </row>
    <row r="384" spans="1:2" x14ac:dyDescent="0.2">
      <c r="A384" s="3">
        <v>13</v>
      </c>
      <c r="B384">
        <f t="shared" si="5"/>
        <v>1.1139433523068367</v>
      </c>
    </row>
    <row r="385" spans="1:2" x14ac:dyDescent="0.2">
      <c r="A385" s="3">
        <v>13</v>
      </c>
      <c r="B385">
        <f t="shared" ref="B385:B448" si="6">LOG10(A385)</f>
        <v>1.1139433523068367</v>
      </c>
    </row>
    <row r="386" spans="1:2" x14ac:dyDescent="0.2">
      <c r="A386" s="3">
        <v>13</v>
      </c>
      <c r="B386">
        <f t="shared" si="6"/>
        <v>1.1139433523068367</v>
      </c>
    </row>
    <row r="387" spans="1:2" x14ac:dyDescent="0.2">
      <c r="A387" s="3">
        <v>13</v>
      </c>
      <c r="B387">
        <f t="shared" si="6"/>
        <v>1.1139433523068367</v>
      </c>
    </row>
    <row r="388" spans="1:2" x14ac:dyDescent="0.2">
      <c r="A388" s="3">
        <v>13</v>
      </c>
      <c r="B388">
        <f t="shared" si="6"/>
        <v>1.1139433523068367</v>
      </c>
    </row>
    <row r="389" spans="1:2" x14ac:dyDescent="0.2">
      <c r="A389" s="3">
        <v>13</v>
      </c>
      <c r="B389">
        <f t="shared" si="6"/>
        <v>1.1139433523068367</v>
      </c>
    </row>
    <row r="390" spans="1:2" x14ac:dyDescent="0.2">
      <c r="A390" s="3">
        <v>13</v>
      </c>
      <c r="B390">
        <f t="shared" si="6"/>
        <v>1.1139433523068367</v>
      </c>
    </row>
    <row r="391" spans="1:2" x14ac:dyDescent="0.2">
      <c r="A391" s="3">
        <v>13</v>
      </c>
      <c r="B391">
        <f t="shared" si="6"/>
        <v>1.1139433523068367</v>
      </c>
    </row>
    <row r="392" spans="1:2" x14ac:dyDescent="0.2">
      <c r="A392" s="3">
        <v>13</v>
      </c>
      <c r="B392">
        <f t="shared" si="6"/>
        <v>1.1139433523068367</v>
      </c>
    </row>
    <row r="393" spans="1:2" x14ac:dyDescent="0.2">
      <c r="A393" s="3">
        <v>13</v>
      </c>
      <c r="B393">
        <f t="shared" si="6"/>
        <v>1.1139433523068367</v>
      </c>
    </row>
    <row r="394" spans="1:2" x14ac:dyDescent="0.2">
      <c r="A394" s="3">
        <v>13</v>
      </c>
      <c r="B394">
        <f t="shared" si="6"/>
        <v>1.1139433523068367</v>
      </c>
    </row>
    <row r="395" spans="1:2" x14ac:dyDescent="0.2">
      <c r="A395" s="3">
        <v>13</v>
      </c>
      <c r="B395">
        <f t="shared" si="6"/>
        <v>1.1139433523068367</v>
      </c>
    </row>
    <row r="396" spans="1:2" x14ac:dyDescent="0.2">
      <c r="A396" s="3">
        <v>13</v>
      </c>
      <c r="B396">
        <f t="shared" si="6"/>
        <v>1.1139433523068367</v>
      </c>
    </row>
    <row r="397" spans="1:2" x14ac:dyDescent="0.2">
      <c r="A397" s="3">
        <v>13</v>
      </c>
      <c r="B397">
        <f t="shared" si="6"/>
        <v>1.1139433523068367</v>
      </c>
    </row>
    <row r="398" spans="1:2" x14ac:dyDescent="0.2">
      <c r="A398" s="3">
        <v>13</v>
      </c>
      <c r="B398">
        <f t="shared" si="6"/>
        <v>1.1139433523068367</v>
      </c>
    </row>
    <row r="399" spans="1:2" x14ac:dyDescent="0.2">
      <c r="A399" s="3">
        <v>13</v>
      </c>
      <c r="B399">
        <f t="shared" si="6"/>
        <v>1.1139433523068367</v>
      </c>
    </row>
    <row r="400" spans="1:2" x14ac:dyDescent="0.2">
      <c r="A400" s="3">
        <v>13</v>
      </c>
      <c r="B400">
        <f t="shared" si="6"/>
        <v>1.1139433523068367</v>
      </c>
    </row>
    <row r="401" spans="1:2" x14ac:dyDescent="0.2">
      <c r="A401" s="3">
        <v>13</v>
      </c>
      <c r="B401">
        <f t="shared" si="6"/>
        <v>1.1139433523068367</v>
      </c>
    </row>
    <row r="402" spans="1:2" x14ac:dyDescent="0.2">
      <c r="A402" s="3">
        <v>13</v>
      </c>
      <c r="B402">
        <f t="shared" si="6"/>
        <v>1.1139433523068367</v>
      </c>
    </row>
    <row r="403" spans="1:2" x14ac:dyDescent="0.2">
      <c r="A403" s="3">
        <v>13</v>
      </c>
      <c r="B403">
        <f t="shared" si="6"/>
        <v>1.1139433523068367</v>
      </c>
    </row>
    <row r="404" spans="1:2" x14ac:dyDescent="0.2">
      <c r="A404" s="3">
        <v>13</v>
      </c>
      <c r="B404">
        <f t="shared" si="6"/>
        <v>1.1139433523068367</v>
      </c>
    </row>
    <row r="405" spans="1:2" x14ac:dyDescent="0.2">
      <c r="A405" s="3">
        <v>13</v>
      </c>
      <c r="B405">
        <f t="shared" si="6"/>
        <v>1.1139433523068367</v>
      </c>
    </row>
    <row r="406" spans="1:2" x14ac:dyDescent="0.2">
      <c r="A406" s="3">
        <v>13</v>
      </c>
      <c r="B406">
        <f t="shared" si="6"/>
        <v>1.1139433523068367</v>
      </c>
    </row>
    <row r="407" spans="1:2" x14ac:dyDescent="0.2">
      <c r="A407" s="3">
        <v>13</v>
      </c>
      <c r="B407">
        <f t="shared" si="6"/>
        <v>1.1139433523068367</v>
      </c>
    </row>
    <row r="408" spans="1:2" x14ac:dyDescent="0.2">
      <c r="A408" s="3">
        <v>13</v>
      </c>
      <c r="B408">
        <f t="shared" si="6"/>
        <v>1.1139433523068367</v>
      </c>
    </row>
    <row r="409" spans="1:2" x14ac:dyDescent="0.2">
      <c r="A409" s="3">
        <v>13</v>
      </c>
      <c r="B409">
        <f t="shared" si="6"/>
        <v>1.1139433523068367</v>
      </c>
    </row>
    <row r="410" spans="1:2" x14ac:dyDescent="0.2">
      <c r="A410" s="3">
        <v>13</v>
      </c>
      <c r="B410">
        <f t="shared" si="6"/>
        <v>1.1139433523068367</v>
      </c>
    </row>
    <row r="411" spans="1:2" x14ac:dyDescent="0.2">
      <c r="A411" s="3">
        <v>13</v>
      </c>
      <c r="B411">
        <f t="shared" si="6"/>
        <v>1.1139433523068367</v>
      </c>
    </row>
    <row r="412" spans="1:2" x14ac:dyDescent="0.2">
      <c r="A412" s="3">
        <v>13</v>
      </c>
      <c r="B412">
        <f t="shared" si="6"/>
        <v>1.1139433523068367</v>
      </c>
    </row>
    <row r="413" spans="1:2" x14ac:dyDescent="0.2">
      <c r="A413" s="3">
        <v>13</v>
      </c>
      <c r="B413">
        <f t="shared" si="6"/>
        <v>1.1139433523068367</v>
      </c>
    </row>
    <row r="414" spans="1:2" x14ac:dyDescent="0.2">
      <c r="A414" s="3">
        <v>13.416700000000001</v>
      </c>
      <c r="B414">
        <f t="shared" si="6"/>
        <v>1.1276457089753862</v>
      </c>
    </row>
    <row r="415" spans="1:2" x14ac:dyDescent="0.2">
      <c r="A415" s="3">
        <v>13.5</v>
      </c>
      <c r="B415">
        <f t="shared" si="6"/>
        <v>1.1303337684950061</v>
      </c>
    </row>
    <row r="416" spans="1:2" x14ac:dyDescent="0.2">
      <c r="A416" s="3">
        <v>13.5</v>
      </c>
      <c r="B416">
        <f t="shared" si="6"/>
        <v>1.1303337684950061</v>
      </c>
    </row>
    <row r="417" spans="1:2" x14ac:dyDescent="0.2">
      <c r="A417" s="3">
        <v>13.5</v>
      </c>
      <c r="B417">
        <f t="shared" si="6"/>
        <v>1.1303337684950061</v>
      </c>
    </row>
    <row r="418" spans="1:2" x14ac:dyDescent="0.2">
      <c r="A418" s="3">
        <v>13.5</v>
      </c>
      <c r="B418">
        <f t="shared" si="6"/>
        <v>1.1303337684950061</v>
      </c>
    </row>
    <row r="419" spans="1:2" x14ac:dyDescent="0.2">
      <c r="A419" s="3">
        <v>13.791700000000001</v>
      </c>
      <c r="B419">
        <f t="shared" si="6"/>
        <v>1.1396178017171812</v>
      </c>
    </row>
    <row r="420" spans="1:2" x14ac:dyDescent="0.2">
      <c r="A420" s="3">
        <v>13.8583</v>
      </c>
      <c r="B420">
        <f t="shared" si="6"/>
        <v>1.1417099585657509</v>
      </c>
    </row>
    <row r="421" spans="1:2" x14ac:dyDescent="0.2">
      <c r="A421" s="3">
        <v>13.862500000000001</v>
      </c>
      <c r="B421">
        <f t="shared" si="6"/>
        <v>1.1418415591572164</v>
      </c>
    </row>
    <row r="422" spans="1:2" x14ac:dyDescent="0.2">
      <c r="A422" s="3">
        <v>14</v>
      </c>
      <c r="B422">
        <f t="shared" si="6"/>
        <v>1.146128035678238</v>
      </c>
    </row>
    <row r="423" spans="1:2" x14ac:dyDescent="0.2">
      <c r="A423" s="3">
        <v>14.1083</v>
      </c>
      <c r="B423">
        <f t="shared" si="6"/>
        <v>1.1494746859656342</v>
      </c>
    </row>
    <row r="424" spans="1:2" x14ac:dyDescent="0.2">
      <c r="A424" s="3">
        <v>14.4</v>
      </c>
      <c r="B424">
        <f t="shared" si="6"/>
        <v>1.1583624920952498</v>
      </c>
    </row>
    <row r="425" spans="1:2" x14ac:dyDescent="0.2">
      <c r="A425" s="3">
        <v>14.4</v>
      </c>
      <c r="B425">
        <f t="shared" si="6"/>
        <v>1.1583624920952498</v>
      </c>
    </row>
    <row r="426" spans="1:2" x14ac:dyDescent="0.2">
      <c r="A426" s="3">
        <v>14.4542</v>
      </c>
      <c r="B426">
        <f t="shared" si="6"/>
        <v>1.1599940596732181</v>
      </c>
    </row>
    <row r="427" spans="1:2" x14ac:dyDescent="0.2">
      <c r="A427" s="3">
        <v>14.4542</v>
      </c>
      <c r="B427">
        <f t="shared" si="6"/>
        <v>1.1599940596732181</v>
      </c>
    </row>
    <row r="428" spans="1:2" x14ac:dyDescent="0.2">
      <c r="A428" s="3">
        <v>14.4542</v>
      </c>
      <c r="B428">
        <f t="shared" si="6"/>
        <v>1.1599940596732181</v>
      </c>
    </row>
    <row r="429" spans="1:2" x14ac:dyDescent="0.2">
      <c r="A429" s="3">
        <v>14.4542</v>
      </c>
      <c r="B429">
        <f t="shared" si="6"/>
        <v>1.1599940596732181</v>
      </c>
    </row>
    <row r="430" spans="1:2" x14ac:dyDescent="0.2">
      <c r="A430" s="3">
        <v>14.4542</v>
      </c>
      <c r="B430">
        <f t="shared" si="6"/>
        <v>1.1599940596732181</v>
      </c>
    </row>
    <row r="431" spans="1:2" x14ac:dyDescent="0.2">
      <c r="A431" s="3">
        <v>14.4542</v>
      </c>
      <c r="B431">
        <f t="shared" si="6"/>
        <v>1.1599940596732181</v>
      </c>
    </row>
    <row r="432" spans="1:2" x14ac:dyDescent="0.2">
      <c r="A432" s="3">
        <v>14.4542</v>
      </c>
      <c r="B432">
        <f t="shared" si="6"/>
        <v>1.1599940596732181</v>
      </c>
    </row>
    <row r="433" spans="1:2" x14ac:dyDescent="0.2">
      <c r="A433" s="3">
        <v>14.458299999999999</v>
      </c>
      <c r="B433">
        <f t="shared" si="6"/>
        <v>1.1601172318228239</v>
      </c>
    </row>
    <row r="434" spans="1:2" x14ac:dyDescent="0.2">
      <c r="A434" s="3">
        <v>14.458299999999999</v>
      </c>
      <c r="B434">
        <f t="shared" si="6"/>
        <v>1.1601172318228239</v>
      </c>
    </row>
    <row r="435" spans="1:2" x14ac:dyDescent="0.2">
      <c r="A435" s="3">
        <v>14.458299999999999</v>
      </c>
      <c r="B435">
        <f t="shared" si="6"/>
        <v>1.1601172318228239</v>
      </c>
    </row>
    <row r="436" spans="1:2" x14ac:dyDescent="0.2">
      <c r="A436" s="3">
        <v>14.5</v>
      </c>
      <c r="B436">
        <f t="shared" si="6"/>
        <v>1.1613680022349748</v>
      </c>
    </row>
    <row r="437" spans="1:2" x14ac:dyDescent="0.2">
      <c r="A437" s="3">
        <v>14.5</v>
      </c>
      <c r="B437">
        <f t="shared" si="6"/>
        <v>1.1613680022349748</v>
      </c>
    </row>
    <row r="438" spans="1:2" x14ac:dyDescent="0.2">
      <c r="A438" s="3">
        <v>14.5</v>
      </c>
      <c r="B438">
        <f t="shared" si="6"/>
        <v>1.1613680022349748</v>
      </c>
    </row>
    <row r="439" spans="1:2" x14ac:dyDescent="0.2">
      <c r="A439" s="3">
        <v>14.5</v>
      </c>
      <c r="B439">
        <f t="shared" si="6"/>
        <v>1.1613680022349748</v>
      </c>
    </row>
    <row r="440" spans="1:2" x14ac:dyDescent="0.2">
      <c r="A440" s="3">
        <v>14.5</v>
      </c>
      <c r="B440">
        <f t="shared" si="6"/>
        <v>1.1613680022349748</v>
      </c>
    </row>
    <row r="441" spans="1:2" x14ac:dyDescent="0.2">
      <c r="A441" s="3">
        <v>14.5</v>
      </c>
      <c r="B441">
        <f t="shared" si="6"/>
        <v>1.1613680022349748</v>
      </c>
    </row>
    <row r="442" spans="1:2" x14ac:dyDescent="0.2">
      <c r="A442" s="3">
        <v>14.5</v>
      </c>
      <c r="B442">
        <f t="shared" si="6"/>
        <v>1.1613680022349748</v>
      </c>
    </row>
    <row r="443" spans="1:2" x14ac:dyDescent="0.2">
      <c r="A443" s="3">
        <v>15</v>
      </c>
      <c r="B443">
        <f t="shared" si="6"/>
        <v>1.1760912590556813</v>
      </c>
    </row>
    <row r="444" spans="1:2" x14ac:dyDescent="0.2">
      <c r="A444" s="3">
        <v>15.0458</v>
      </c>
      <c r="B444">
        <f t="shared" si="6"/>
        <v>1.1774152845552361</v>
      </c>
    </row>
    <row r="445" spans="1:2" x14ac:dyDescent="0.2">
      <c r="A445" s="3">
        <v>15.05</v>
      </c>
      <c r="B445">
        <f t="shared" si="6"/>
        <v>1.1775364999298621</v>
      </c>
    </row>
    <row r="446" spans="1:2" x14ac:dyDescent="0.2">
      <c r="A446" s="3">
        <v>15.1</v>
      </c>
      <c r="B446">
        <f t="shared" si="6"/>
        <v>1.1789769472931695</v>
      </c>
    </row>
    <row r="447" spans="1:2" x14ac:dyDescent="0.2">
      <c r="A447" s="3">
        <v>15.245799999999999</v>
      </c>
      <c r="B447">
        <f t="shared" si="6"/>
        <v>1.1831502182369711</v>
      </c>
    </row>
    <row r="448" spans="1:2" x14ac:dyDescent="0.2">
      <c r="A448" s="3">
        <v>15.245799999999999</v>
      </c>
      <c r="B448">
        <f t="shared" si="6"/>
        <v>1.1831502182369711</v>
      </c>
    </row>
    <row r="449" spans="1:2" x14ac:dyDescent="0.2">
      <c r="A449" s="3">
        <v>15.245799999999999</v>
      </c>
      <c r="B449">
        <f t="shared" ref="B449:B512" si="7">LOG10(A449)</f>
        <v>1.1831502182369711</v>
      </c>
    </row>
    <row r="450" spans="1:2" x14ac:dyDescent="0.2">
      <c r="A450" s="3">
        <v>15.245799999999999</v>
      </c>
      <c r="B450">
        <f t="shared" si="7"/>
        <v>1.1831502182369711</v>
      </c>
    </row>
    <row r="451" spans="1:2" x14ac:dyDescent="0.2">
      <c r="A451" s="3">
        <v>15.245799999999999</v>
      </c>
      <c r="B451">
        <f t="shared" si="7"/>
        <v>1.1831502182369711</v>
      </c>
    </row>
    <row r="452" spans="1:2" x14ac:dyDescent="0.2">
      <c r="A452" s="3">
        <v>15.5</v>
      </c>
      <c r="B452">
        <f t="shared" si="7"/>
        <v>1.1903316981702914</v>
      </c>
    </row>
    <row r="453" spans="1:2" x14ac:dyDescent="0.2">
      <c r="A453" s="3">
        <v>15.5</v>
      </c>
      <c r="B453">
        <f t="shared" si="7"/>
        <v>1.1903316981702914</v>
      </c>
    </row>
    <row r="454" spans="1:2" x14ac:dyDescent="0.2">
      <c r="A454" s="3">
        <v>15.5</v>
      </c>
      <c r="B454">
        <f t="shared" si="7"/>
        <v>1.1903316981702914</v>
      </c>
    </row>
    <row r="455" spans="1:2" x14ac:dyDescent="0.2">
      <c r="A455" s="3">
        <v>15.5</v>
      </c>
      <c r="B455">
        <f t="shared" si="7"/>
        <v>1.1903316981702914</v>
      </c>
    </row>
    <row r="456" spans="1:2" x14ac:dyDescent="0.2">
      <c r="A456" s="3">
        <v>15.5</v>
      </c>
      <c r="B456">
        <f t="shared" si="7"/>
        <v>1.1903316981702914</v>
      </c>
    </row>
    <row r="457" spans="1:2" x14ac:dyDescent="0.2">
      <c r="A457" s="3">
        <v>15.5</v>
      </c>
      <c r="B457">
        <f t="shared" si="7"/>
        <v>1.1903316981702914</v>
      </c>
    </row>
    <row r="458" spans="1:2" x14ac:dyDescent="0.2">
      <c r="A458" s="3">
        <v>15.5</v>
      </c>
      <c r="B458">
        <f t="shared" si="7"/>
        <v>1.1903316981702914</v>
      </c>
    </row>
    <row r="459" spans="1:2" x14ac:dyDescent="0.2">
      <c r="A459" s="3">
        <v>15.5</v>
      </c>
      <c r="B459">
        <f t="shared" si="7"/>
        <v>1.1903316981702914</v>
      </c>
    </row>
    <row r="460" spans="1:2" x14ac:dyDescent="0.2">
      <c r="A460" s="3">
        <v>15.55</v>
      </c>
      <c r="B460">
        <f t="shared" si="7"/>
        <v>1.1917303933628562</v>
      </c>
    </row>
    <row r="461" spans="1:2" x14ac:dyDescent="0.2">
      <c r="A461" s="3">
        <v>15.7417</v>
      </c>
      <c r="B461">
        <f t="shared" si="7"/>
        <v>1.1970516315015716</v>
      </c>
    </row>
    <row r="462" spans="1:2" x14ac:dyDescent="0.2">
      <c r="A462" s="3">
        <v>15.7417</v>
      </c>
      <c r="B462">
        <f t="shared" si="7"/>
        <v>1.1970516315015716</v>
      </c>
    </row>
    <row r="463" spans="1:2" x14ac:dyDescent="0.2">
      <c r="A463" s="3">
        <v>15.75</v>
      </c>
      <c r="B463">
        <f t="shared" si="7"/>
        <v>1.1972805581256194</v>
      </c>
    </row>
    <row r="464" spans="1:2" x14ac:dyDescent="0.2">
      <c r="A464" s="3">
        <v>15.85</v>
      </c>
      <c r="B464">
        <f t="shared" si="7"/>
        <v>1.2000292665537702</v>
      </c>
    </row>
    <row r="465" spans="1:2" x14ac:dyDescent="0.2">
      <c r="A465" s="3">
        <v>15.85</v>
      </c>
      <c r="B465">
        <f t="shared" si="7"/>
        <v>1.2000292665537702</v>
      </c>
    </row>
    <row r="466" spans="1:2" x14ac:dyDescent="0.2">
      <c r="A466" s="3">
        <v>15.85</v>
      </c>
      <c r="B466">
        <f t="shared" si="7"/>
        <v>1.2000292665537702</v>
      </c>
    </row>
    <row r="467" spans="1:2" x14ac:dyDescent="0.2">
      <c r="A467" s="3">
        <v>15.85</v>
      </c>
      <c r="B467">
        <f t="shared" si="7"/>
        <v>1.2000292665537702</v>
      </c>
    </row>
    <row r="468" spans="1:2" x14ac:dyDescent="0.2">
      <c r="A468" s="3">
        <v>15.9</v>
      </c>
      <c r="B468">
        <f t="shared" si="7"/>
        <v>1.2013971243204515</v>
      </c>
    </row>
    <row r="469" spans="1:2" x14ac:dyDescent="0.2">
      <c r="A469" s="3">
        <v>15.9</v>
      </c>
      <c r="B469">
        <f t="shared" si="7"/>
        <v>1.2013971243204515</v>
      </c>
    </row>
    <row r="470" spans="1:2" x14ac:dyDescent="0.2">
      <c r="A470" s="3">
        <v>16</v>
      </c>
      <c r="B470">
        <f t="shared" si="7"/>
        <v>1.2041199826559248</v>
      </c>
    </row>
    <row r="471" spans="1:2" x14ac:dyDescent="0.2">
      <c r="A471" s="3">
        <v>16.100000000000001</v>
      </c>
      <c r="B471">
        <f t="shared" si="7"/>
        <v>1.2068258760318498</v>
      </c>
    </row>
    <row r="472" spans="1:2" x14ac:dyDescent="0.2">
      <c r="A472" s="3">
        <v>16.100000000000001</v>
      </c>
      <c r="B472">
        <f t="shared" si="7"/>
        <v>1.2068258760318498</v>
      </c>
    </row>
    <row r="473" spans="1:2" x14ac:dyDescent="0.2">
      <c r="A473" s="3">
        <v>16.100000000000001</v>
      </c>
      <c r="B473">
        <f t="shared" si="7"/>
        <v>1.2068258760318498</v>
      </c>
    </row>
    <row r="474" spans="1:2" x14ac:dyDescent="0.2">
      <c r="A474" s="3">
        <v>16.100000000000001</v>
      </c>
      <c r="B474">
        <f t="shared" si="7"/>
        <v>1.2068258760318498</v>
      </c>
    </row>
    <row r="475" spans="1:2" x14ac:dyDescent="0.2">
      <c r="A475" s="3">
        <v>16.100000000000001</v>
      </c>
      <c r="B475">
        <f t="shared" si="7"/>
        <v>1.2068258760318498</v>
      </c>
    </row>
    <row r="476" spans="1:2" x14ac:dyDescent="0.2">
      <c r="A476" s="3">
        <v>16.100000000000001</v>
      </c>
      <c r="B476">
        <f t="shared" si="7"/>
        <v>1.2068258760318498</v>
      </c>
    </row>
    <row r="477" spans="1:2" x14ac:dyDescent="0.2">
      <c r="A477" s="3">
        <v>16.100000000000001</v>
      </c>
      <c r="B477">
        <f t="shared" si="7"/>
        <v>1.2068258760318498</v>
      </c>
    </row>
    <row r="478" spans="1:2" x14ac:dyDescent="0.2">
      <c r="A478" s="3">
        <v>16.100000000000001</v>
      </c>
      <c r="B478">
        <f t="shared" si="7"/>
        <v>1.2068258760318498</v>
      </c>
    </row>
    <row r="479" spans="1:2" x14ac:dyDescent="0.2">
      <c r="A479" s="3">
        <v>16.100000000000001</v>
      </c>
      <c r="B479">
        <f t="shared" si="7"/>
        <v>1.2068258760318498</v>
      </c>
    </row>
    <row r="480" spans="1:2" x14ac:dyDescent="0.2">
      <c r="A480" s="3">
        <v>16.7</v>
      </c>
      <c r="B480">
        <f t="shared" si="7"/>
        <v>1.2227164711475833</v>
      </c>
    </row>
    <row r="481" spans="1:2" x14ac:dyDescent="0.2">
      <c r="A481" s="3">
        <v>16.7</v>
      </c>
      <c r="B481">
        <f t="shared" si="7"/>
        <v>1.2227164711475833</v>
      </c>
    </row>
    <row r="482" spans="1:2" x14ac:dyDescent="0.2">
      <c r="A482" s="3">
        <v>17.399999999999999</v>
      </c>
      <c r="B482">
        <f t="shared" si="7"/>
        <v>1.2405492482825997</v>
      </c>
    </row>
    <row r="483" spans="1:2" x14ac:dyDescent="0.2">
      <c r="A483" s="3">
        <v>17.8</v>
      </c>
      <c r="B483">
        <f t="shared" si="7"/>
        <v>1.2504200023088941</v>
      </c>
    </row>
    <row r="484" spans="1:2" x14ac:dyDescent="0.2">
      <c r="A484" s="3">
        <v>17.8</v>
      </c>
      <c r="B484">
        <f t="shared" si="7"/>
        <v>1.2504200023088941</v>
      </c>
    </row>
    <row r="485" spans="1:2" x14ac:dyDescent="0.2">
      <c r="A485" s="3">
        <v>18</v>
      </c>
      <c r="B485">
        <f t="shared" si="7"/>
        <v>1.255272505103306</v>
      </c>
    </row>
    <row r="486" spans="1:2" x14ac:dyDescent="0.2">
      <c r="A486" s="3">
        <v>18</v>
      </c>
      <c r="B486">
        <f t="shared" si="7"/>
        <v>1.255272505103306</v>
      </c>
    </row>
    <row r="487" spans="1:2" x14ac:dyDescent="0.2">
      <c r="A487" s="3">
        <v>18</v>
      </c>
      <c r="B487">
        <f t="shared" si="7"/>
        <v>1.255272505103306</v>
      </c>
    </row>
    <row r="488" spans="1:2" x14ac:dyDescent="0.2">
      <c r="A488" s="3">
        <v>18.75</v>
      </c>
      <c r="B488">
        <f t="shared" si="7"/>
        <v>1.2730012720637376</v>
      </c>
    </row>
    <row r="489" spans="1:2" x14ac:dyDescent="0.2">
      <c r="A489" s="3">
        <v>18.75</v>
      </c>
      <c r="B489">
        <f t="shared" si="7"/>
        <v>1.2730012720637376</v>
      </c>
    </row>
    <row r="490" spans="1:2" x14ac:dyDescent="0.2">
      <c r="A490" s="3">
        <v>18.75</v>
      </c>
      <c r="B490">
        <f t="shared" si="7"/>
        <v>1.2730012720637376</v>
      </c>
    </row>
    <row r="491" spans="1:2" x14ac:dyDescent="0.2">
      <c r="A491" s="3">
        <v>18.787500000000001</v>
      </c>
      <c r="B491">
        <f t="shared" si="7"/>
        <v>1.2738689935949645</v>
      </c>
    </row>
    <row r="492" spans="1:2" x14ac:dyDescent="0.2">
      <c r="A492" s="3">
        <v>18.787500000000001</v>
      </c>
      <c r="B492">
        <f t="shared" si="7"/>
        <v>1.2738689935949645</v>
      </c>
    </row>
    <row r="493" spans="1:2" x14ac:dyDescent="0.2">
      <c r="A493" s="3">
        <v>19.258299999999998</v>
      </c>
      <c r="B493">
        <f t="shared" si="7"/>
        <v>1.2846179477311681</v>
      </c>
    </row>
    <row r="494" spans="1:2" x14ac:dyDescent="0.2">
      <c r="A494" s="3">
        <v>19.258299999999998</v>
      </c>
      <c r="B494">
        <f t="shared" si="7"/>
        <v>1.2846179477311681</v>
      </c>
    </row>
    <row r="495" spans="1:2" x14ac:dyDescent="0.2">
      <c r="A495" s="3">
        <v>19.258299999999998</v>
      </c>
      <c r="B495">
        <f t="shared" si="7"/>
        <v>1.2846179477311681</v>
      </c>
    </row>
    <row r="496" spans="1:2" x14ac:dyDescent="0.2">
      <c r="A496" s="3">
        <v>19.258299999999998</v>
      </c>
      <c r="B496">
        <f t="shared" si="7"/>
        <v>1.2846179477311681</v>
      </c>
    </row>
    <row r="497" spans="1:2" x14ac:dyDescent="0.2">
      <c r="A497" s="3">
        <v>19.5</v>
      </c>
      <c r="B497">
        <f t="shared" si="7"/>
        <v>1.2900346113625181</v>
      </c>
    </row>
    <row r="498" spans="1:2" x14ac:dyDescent="0.2">
      <c r="A498" s="3">
        <v>19.5</v>
      </c>
      <c r="B498">
        <f t="shared" si="7"/>
        <v>1.2900346113625181</v>
      </c>
    </row>
    <row r="499" spans="1:2" x14ac:dyDescent="0.2">
      <c r="A499" s="3">
        <v>19.966699999999999</v>
      </c>
      <c r="B499">
        <f t="shared" si="7"/>
        <v>1.3003062927015678</v>
      </c>
    </row>
    <row r="500" spans="1:2" x14ac:dyDescent="0.2">
      <c r="A500" s="3">
        <v>19.966699999999999</v>
      </c>
      <c r="B500">
        <f t="shared" si="7"/>
        <v>1.3003062927015678</v>
      </c>
    </row>
    <row r="501" spans="1:2" x14ac:dyDescent="0.2">
      <c r="A501" s="3">
        <v>20.212499999999999</v>
      </c>
      <c r="B501">
        <f t="shared" si="7"/>
        <v>1.3056200329144576</v>
      </c>
    </row>
    <row r="502" spans="1:2" x14ac:dyDescent="0.2">
      <c r="A502" s="3">
        <v>20.212499999999999</v>
      </c>
      <c r="B502">
        <f t="shared" si="7"/>
        <v>1.3056200329144576</v>
      </c>
    </row>
    <row r="503" spans="1:2" x14ac:dyDescent="0.2">
      <c r="A503" s="3">
        <v>20.25</v>
      </c>
      <c r="B503">
        <f t="shared" si="7"/>
        <v>1.3064250275506875</v>
      </c>
    </row>
    <row r="504" spans="1:2" x14ac:dyDescent="0.2">
      <c r="A504" s="3">
        <v>20.25</v>
      </c>
      <c r="B504">
        <f t="shared" si="7"/>
        <v>1.3064250275506875</v>
      </c>
    </row>
    <row r="505" spans="1:2" x14ac:dyDescent="0.2">
      <c r="A505" s="3">
        <v>20.524999999999999</v>
      </c>
      <c r="B505">
        <f t="shared" si="7"/>
        <v>1.3122831657914784</v>
      </c>
    </row>
    <row r="506" spans="1:2" x14ac:dyDescent="0.2">
      <c r="A506" s="3">
        <v>20.524999999999999</v>
      </c>
      <c r="B506">
        <f t="shared" si="7"/>
        <v>1.3122831657914784</v>
      </c>
    </row>
    <row r="507" spans="1:2" x14ac:dyDescent="0.2">
      <c r="A507" s="3">
        <v>20.524999999999999</v>
      </c>
      <c r="B507">
        <f t="shared" si="7"/>
        <v>1.3122831657914784</v>
      </c>
    </row>
    <row r="508" spans="1:2" x14ac:dyDescent="0.2">
      <c r="A508" s="3">
        <v>20.574999999999999</v>
      </c>
      <c r="B508">
        <f t="shared" si="7"/>
        <v>1.3133398438843074</v>
      </c>
    </row>
    <row r="509" spans="1:2" x14ac:dyDescent="0.2">
      <c r="A509" s="3">
        <v>20.574999999999999</v>
      </c>
      <c r="B509">
        <f t="shared" si="7"/>
        <v>1.3133398438843074</v>
      </c>
    </row>
    <row r="510" spans="1:2" x14ac:dyDescent="0.2">
      <c r="A510" s="3">
        <v>21</v>
      </c>
      <c r="B510">
        <f t="shared" si="7"/>
        <v>1.3222192947339193</v>
      </c>
    </row>
    <row r="511" spans="1:2" x14ac:dyDescent="0.2">
      <c r="A511" s="3">
        <v>21</v>
      </c>
      <c r="B511">
        <f t="shared" si="7"/>
        <v>1.3222192947339193</v>
      </c>
    </row>
    <row r="512" spans="1:2" x14ac:dyDescent="0.2">
      <c r="A512" s="3">
        <v>21</v>
      </c>
      <c r="B512">
        <f t="shared" si="7"/>
        <v>1.3222192947339193</v>
      </c>
    </row>
    <row r="513" spans="1:2" x14ac:dyDescent="0.2">
      <c r="A513" s="3">
        <v>21</v>
      </c>
      <c r="B513">
        <f t="shared" ref="B513:B576" si="8">LOG10(A513)</f>
        <v>1.3222192947339193</v>
      </c>
    </row>
    <row r="514" spans="1:2" x14ac:dyDescent="0.2">
      <c r="A514" s="3">
        <v>21</v>
      </c>
      <c r="B514">
        <f t="shared" si="8"/>
        <v>1.3222192947339193</v>
      </c>
    </row>
    <row r="515" spans="1:2" x14ac:dyDescent="0.2">
      <c r="A515" s="3">
        <v>21</v>
      </c>
      <c r="B515">
        <f t="shared" si="8"/>
        <v>1.3222192947339193</v>
      </c>
    </row>
    <row r="516" spans="1:2" x14ac:dyDescent="0.2">
      <c r="A516" s="3">
        <v>21.074999999999999</v>
      </c>
      <c r="B516">
        <f t="shared" si="8"/>
        <v>1.3237675832967799</v>
      </c>
    </row>
    <row r="517" spans="1:2" x14ac:dyDescent="0.2">
      <c r="A517" s="3">
        <v>21.074999999999999</v>
      </c>
      <c r="B517">
        <f t="shared" si="8"/>
        <v>1.3237675832967799</v>
      </c>
    </row>
    <row r="518" spans="1:2" x14ac:dyDescent="0.2">
      <c r="A518" s="3">
        <v>21.074999999999999</v>
      </c>
      <c r="B518">
        <f t="shared" si="8"/>
        <v>1.3237675832967799</v>
      </c>
    </row>
    <row r="519" spans="1:2" x14ac:dyDescent="0.2">
      <c r="A519" s="3">
        <v>21.074999999999999</v>
      </c>
      <c r="B519">
        <f t="shared" si="8"/>
        <v>1.3237675832967799</v>
      </c>
    </row>
    <row r="520" spans="1:2" x14ac:dyDescent="0.2">
      <c r="A520" s="3">
        <v>21.679200000000002</v>
      </c>
      <c r="B520">
        <f t="shared" si="8"/>
        <v>1.3360432519440277</v>
      </c>
    </row>
    <row r="521" spans="1:2" x14ac:dyDescent="0.2">
      <c r="A521" s="3">
        <v>22.024999999999999</v>
      </c>
      <c r="B521">
        <f t="shared" si="8"/>
        <v>1.3429159170840854</v>
      </c>
    </row>
    <row r="522" spans="1:2" x14ac:dyDescent="0.2">
      <c r="A522" s="3">
        <v>22.3583</v>
      </c>
      <c r="B522">
        <f t="shared" si="8"/>
        <v>1.3494387791478988</v>
      </c>
    </row>
    <row r="523" spans="1:2" x14ac:dyDescent="0.2">
      <c r="A523" s="3">
        <v>22.3583</v>
      </c>
      <c r="B523">
        <f t="shared" si="8"/>
        <v>1.3494387791478988</v>
      </c>
    </row>
    <row r="524" spans="1:2" x14ac:dyDescent="0.2">
      <c r="A524" s="3">
        <v>22.524999999999999</v>
      </c>
      <c r="B524">
        <f t="shared" si="8"/>
        <v>1.3526647996511005</v>
      </c>
    </row>
    <row r="525" spans="1:2" x14ac:dyDescent="0.2">
      <c r="A525" s="3">
        <v>23</v>
      </c>
      <c r="B525">
        <f t="shared" si="8"/>
        <v>1.3617278360175928</v>
      </c>
    </row>
    <row r="526" spans="1:2" x14ac:dyDescent="0.2">
      <c r="A526" s="3">
        <v>23</v>
      </c>
      <c r="B526">
        <f t="shared" si="8"/>
        <v>1.3617278360175928</v>
      </c>
    </row>
    <row r="527" spans="1:2" x14ac:dyDescent="0.2">
      <c r="A527" s="3">
        <v>23</v>
      </c>
      <c r="B527">
        <f t="shared" si="8"/>
        <v>1.3617278360175928</v>
      </c>
    </row>
    <row r="528" spans="1:2" x14ac:dyDescent="0.2">
      <c r="A528" s="3">
        <v>23</v>
      </c>
      <c r="B528">
        <f t="shared" si="8"/>
        <v>1.3617278360175928</v>
      </c>
    </row>
    <row r="529" spans="1:2" x14ac:dyDescent="0.2">
      <c r="A529" s="3">
        <v>23.25</v>
      </c>
      <c r="B529">
        <f t="shared" si="8"/>
        <v>1.3664229572259727</v>
      </c>
    </row>
    <row r="530" spans="1:2" x14ac:dyDescent="0.2">
      <c r="A530" s="3">
        <v>23.25</v>
      </c>
      <c r="B530">
        <f t="shared" si="8"/>
        <v>1.3664229572259727</v>
      </c>
    </row>
    <row r="531" spans="1:2" x14ac:dyDescent="0.2">
      <c r="A531" s="3">
        <v>23.45</v>
      </c>
      <c r="B531">
        <f t="shared" si="8"/>
        <v>1.3701428470511021</v>
      </c>
    </row>
    <row r="532" spans="1:2" x14ac:dyDescent="0.2">
      <c r="A532" s="3">
        <v>23.45</v>
      </c>
      <c r="B532">
        <f t="shared" si="8"/>
        <v>1.3701428470511021</v>
      </c>
    </row>
    <row r="533" spans="1:2" x14ac:dyDescent="0.2">
      <c r="A533" s="3">
        <v>24</v>
      </c>
      <c r="B533">
        <f t="shared" si="8"/>
        <v>1.3802112417116059</v>
      </c>
    </row>
    <row r="534" spans="1:2" x14ac:dyDescent="0.2">
      <c r="A534" s="3">
        <v>24</v>
      </c>
      <c r="B534">
        <f t="shared" si="8"/>
        <v>1.3802112417116059</v>
      </c>
    </row>
    <row r="535" spans="1:2" x14ac:dyDescent="0.2">
      <c r="A535" s="3">
        <v>24.15</v>
      </c>
      <c r="B535">
        <f t="shared" si="8"/>
        <v>1.3829171350875309</v>
      </c>
    </row>
    <row r="536" spans="1:2" x14ac:dyDescent="0.2">
      <c r="A536" s="3">
        <v>24.15</v>
      </c>
      <c r="B536">
        <f t="shared" si="8"/>
        <v>1.3829171350875309</v>
      </c>
    </row>
    <row r="537" spans="1:2" x14ac:dyDescent="0.2">
      <c r="A537" s="3">
        <v>24.15</v>
      </c>
      <c r="B537">
        <f t="shared" si="8"/>
        <v>1.3829171350875309</v>
      </c>
    </row>
    <row r="538" spans="1:2" x14ac:dyDescent="0.2">
      <c r="A538" s="3">
        <v>24.15</v>
      </c>
      <c r="B538">
        <f t="shared" si="8"/>
        <v>1.3829171350875309</v>
      </c>
    </row>
    <row r="539" spans="1:2" x14ac:dyDescent="0.2">
      <c r="A539" s="3">
        <v>24.15</v>
      </c>
      <c r="B539">
        <f t="shared" si="8"/>
        <v>1.3829171350875309</v>
      </c>
    </row>
    <row r="540" spans="1:2" x14ac:dyDescent="0.2">
      <c r="A540" s="3">
        <v>24.15</v>
      </c>
      <c r="B540">
        <f t="shared" si="8"/>
        <v>1.3829171350875309</v>
      </c>
    </row>
    <row r="541" spans="1:2" x14ac:dyDescent="0.2">
      <c r="A541" s="3">
        <v>24.15</v>
      </c>
      <c r="B541">
        <f t="shared" si="8"/>
        <v>1.3829171350875309</v>
      </c>
    </row>
    <row r="542" spans="1:2" x14ac:dyDescent="0.2">
      <c r="A542" s="3">
        <v>24.15</v>
      </c>
      <c r="B542">
        <f t="shared" si="8"/>
        <v>1.3829171350875309</v>
      </c>
    </row>
    <row r="543" spans="1:2" x14ac:dyDescent="0.2">
      <c r="A543" s="3">
        <v>25.466699999999999</v>
      </c>
      <c r="B543">
        <f t="shared" si="8"/>
        <v>1.4059726723039303</v>
      </c>
    </row>
    <row r="544" spans="1:2" x14ac:dyDescent="0.2">
      <c r="A544" s="3">
        <v>25.466699999999999</v>
      </c>
      <c r="B544">
        <f t="shared" si="8"/>
        <v>1.4059726723039303</v>
      </c>
    </row>
    <row r="545" spans="1:2" x14ac:dyDescent="0.2">
      <c r="A545" s="3">
        <v>25.466699999999999</v>
      </c>
      <c r="B545">
        <f t="shared" si="8"/>
        <v>1.4059726723039303</v>
      </c>
    </row>
    <row r="546" spans="1:2" x14ac:dyDescent="0.2">
      <c r="A546" s="3">
        <v>25.466699999999999</v>
      </c>
      <c r="B546">
        <f t="shared" si="8"/>
        <v>1.4059726723039303</v>
      </c>
    </row>
    <row r="547" spans="1:2" x14ac:dyDescent="0.2">
      <c r="A547" s="3">
        <v>25.587499999999999</v>
      </c>
      <c r="B547">
        <f t="shared" si="8"/>
        <v>1.4080278556705621</v>
      </c>
    </row>
    <row r="548" spans="1:2" x14ac:dyDescent="0.2">
      <c r="A548" s="3">
        <v>25.925000000000001</v>
      </c>
      <c r="B548">
        <f t="shared" si="8"/>
        <v>1.4137187650610785</v>
      </c>
    </row>
    <row r="549" spans="1:2" x14ac:dyDescent="0.2">
      <c r="A549" s="3">
        <v>25.929200000000002</v>
      </c>
      <c r="B549">
        <f t="shared" si="8"/>
        <v>1.4137891175813366</v>
      </c>
    </row>
    <row r="550" spans="1:2" x14ac:dyDescent="0.2">
      <c r="A550" s="3">
        <v>25.929200000000002</v>
      </c>
      <c r="B550">
        <f t="shared" si="8"/>
        <v>1.4137891175813366</v>
      </c>
    </row>
    <row r="551" spans="1:2" x14ac:dyDescent="0.2">
      <c r="A551" s="3">
        <v>26</v>
      </c>
      <c r="B551">
        <f t="shared" si="8"/>
        <v>1.414973347970818</v>
      </c>
    </row>
    <row r="552" spans="1:2" x14ac:dyDescent="0.2">
      <c r="A552" s="3">
        <v>26</v>
      </c>
      <c r="B552">
        <f t="shared" si="8"/>
        <v>1.414973347970818</v>
      </c>
    </row>
    <row r="553" spans="1:2" x14ac:dyDescent="0.2">
      <c r="A553" s="3">
        <v>26</v>
      </c>
      <c r="B553">
        <f t="shared" si="8"/>
        <v>1.414973347970818</v>
      </c>
    </row>
    <row r="554" spans="1:2" x14ac:dyDescent="0.2">
      <c r="A554" s="3">
        <v>26</v>
      </c>
      <c r="B554">
        <f t="shared" si="8"/>
        <v>1.414973347970818</v>
      </c>
    </row>
    <row r="555" spans="1:2" x14ac:dyDescent="0.2">
      <c r="A555" s="3">
        <v>26</v>
      </c>
      <c r="B555">
        <f t="shared" si="8"/>
        <v>1.414973347970818</v>
      </c>
    </row>
    <row r="556" spans="1:2" x14ac:dyDescent="0.2">
      <c r="A556" s="3">
        <v>26</v>
      </c>
      <c r="B556">
        <f t="shared" si="8"/>
        <v>1.414973347970818</v>
      </c>
    </row>
    <row r="557" spans="1:2" x14ac:dyDescent="0.2">
      <c r="A557" s="3">
        <v>26</v>
      </c>
      <c r="B557">
        <f t="shared" si="8"/>
        <v>1.414973347970818</v>
      </c>
    </row>
    <row r="558" spans="1:2" x14ac:dyDescent="0.2">
      <c r="A558" s="3">
        <v>26</v>
      </c>
      <c r="B558">
        <f t="shared" si="8"/>
        <v>1.414973347970818</v>
      </c>
    </row>
    <row r="559" spans="1:2" x14ac:dyDescent="0.2">
      <c r="A559" s="3">
        <v>26</v>
      </c>
      <c r="B559">
        <f t="shared" si="8"/>
        <v>1.414973347970818</v>
      </c>
    </row>
    <row r="560" spans="1:2" x14ac:dyDescent="0.2">
      <c r="A560" s="3">
        <v>26</v>
      </c>
      <c r="B560">
        <f t="shared" si="8"/>
        <v>1.414973347970818</v>
      </c>
    </row>
    <row r="561" spans="1:2" x14ac:dyDescent="0.2">
      <c r="A561" s="3">
        <v>26</v>
      </c>
      <c r="B561">
        <f t="shared" si="8"/>
        <v>1.414973347970818</v>
      </c>
    </row>
    <row r="562" spans="1:2" x14ac:dyDescent="0.2">
      <c r="A562" s="3">
        <v>26</v>
      </c>
      <c r="B562">
        <f t="shared" si="8"/>
        <v>1.414973347970818</v>
      </c>
    </row>
    <row r="563" spans="1:2" x14ac:dyDescent="0.2">
      <c r="A563" s="3">
        <v>26</v>
      </c>
      <c r="B563">
        <f t="shared" si="8"/>
        <v>1.414973347970818</v>
      </c>
    </row>
    <row r="564" spans="1:2" x14ac:dyDescent="0.2">
      <c r="A564" s="3">
        <v>26</v>
      </c>
      <c r="B564">
        <f t="shared" si="8"/>
        <v>1.414973347970818</v>
      </c>
    </row>
    <row r="565" spans="1:2" x14ac:dyDescent="0.2">
      <c r="A565" s="3">
        <v>26</v>
      </c>
      <c r="B565">
        <f t="shared" si="8"/>
        <v>1.414973347970818</v>
      </c>
    </row>
    <row r="566" spans="1:2" x14ac:dyDescent="0.2">
      <c r="A566" s="3">
        <v>26</v>
      </c>
      <c r="B566">
        <f t="shared" si="8"/>
        <v>1.414973347970818</v>
      </c>
    </row>
    <row r="567" spans="1:2" x14ac:dyDescent="0.2">
      <c r="A567" s="3">
        <v>26</v>
      </c>
      <c r="B567">
        <f t="shared" si="8"/>
        <v>1.414973347970818</v>
      </c>
    </row>
    <row r="568" spans="1:2" x14ac:dyDescent="0.2">
      <c r="A568" s="3">
        <v>26</v>
      </c>
      <c r="B568">
        <f t="shared" si="8"/>
        <v>1.414973347970818</v>
      </c>
    </row>
    <row r="569" spans="1:2" x14ac:dyDescent="0.2">
      <c r="A569" s="3">
        <v>26</v>
      </c>
      <c r="B569">
        <f t="shared" si="8"/>
        <v>1.414973347970818</v>
      </c>
    </row>
    <row r="570" spans="1:2" x14ac:dyDescent="0.2">
      <c r="A570" s="3">
        <v>26</v>
      </c>
      <c r="B570">
        <f t="shared" si="8"/>
        <v>1.414973347970818</v>
      </c>
    </row>
    <row r="571" spans="1:2" x14ac:dyDescent="0.2">
      <c r="A571" s="3">
        <v>26</v>
      </c>
      <c r="B571">
        <f t="shared" si="8"/>
        <v>1.414973347970818</v>
      </c>
    </row>
    <row r="572" spans="1:2" x14ac:dyDescent="0.2">
      <c r="A572" s="3">
        <v>26</v>
      </c>
      <c r="B572">
        <f t="shared" si="8"/>
        <v>1.414973347970818</v>
      </c>
    </row>
    <row r="573" spans="1:2" x14ac:dyDescent="0.2">
      <c r="A573" s="3">
        <v>26</v>
      </c>
      <c r="B573">
        <f t="shared" si="8"/>
        <v>1.414973347970818</v>
      </c>
    </row>
    <row r="574" spans="1:2" x14ac:dyDescent="0.2">
      <c r="A574" s="3">
        <v>26</v>
      </c>
      <c r="B574">
        <f t="shared" si="8"/>
        <v>1.414973347970818</v>
      </c>
    </row>
    <row r="575" spans="1:2" x14ac:dyDescent="0.2">
      <c r="A575" s="3">
        <v>26</v>
      </c>
      <c r="B575">
        <f t="shared" si="8"/>
        <v>1.414973347970818</v>
      </c>
    </row>
    <row r="576" spans="1:2" x14ac:dyDescent="0.2">
      <c r="A576" s="3">
        <v>26</v>
      </c>
      <c r="B576">
        <f t="shared" si="8"/>
        <v>1.414973347970818</v>
      </c>
    </row>
    <row r="577" spans="1:2" x14ac:dyDescent="0.2">
      <c r="A577" s="3">
        <v>26</v>
      </c>
      <c r="B577">
        <f t="shared" ref="B577:B640" si="9">LOG10(A577)</f>
        <v>1.414973347970818</v>
      </c>
    </row>
    <row r="578" spans="1:2" x14ac:dyDescent="0.2">
      <c r="A578" s="3">
        <v>26</v>
      </c>
      <c r="B578">
        <f t="shared" si="9"/>
        <v>1.414973347970818</v>
      </c>
    </row>
    <row r="579" spans="1:2" x14ac:dyDescent="0.2">
      <c r="A579" s="3">
        <v>26</v>
      </c>
      <c r="B579">
        <f t="shared" si="9"/>
        <v>1.414973347970818</v>
      </c>
    </row>
    <row r="580" spans="1:2" x14ac:dyDescent="0.2">
      <c r="A580" s="3">
        <v>26</v>
      </c>
      <c r="B580">
        <f t="shared" si="9"/>
        <v>1.414973347970818</v>
      </c>
    </row>
    <row r="581" spans="1:2" x14ac:dyDescent="0.2">
      <c r="A581" s="3">
        <v>26</v>
      </c>
      <c r="B581">
        <f t="shared" si="9"/>
        <v>1.414973347970818</v>
      </c>
    </row>
    <row r="582" spans="1:2" x14ac:dyDescent="0.2">
      <c r="A582" s="3">
        <v>26.25</v>
      </c>
      <c r="B582">
        <f t="shared" si="9"/>
        <v>1.4191293077419758</v>
      </c>
    </row>
    <row r="583" spans="1:2" x14ac:dyDescent="0.2">
      <c r="A583" s="3">
        <v>26.25</v>
      </c>
      <c r="B583">
        <f t="shared" si="9"/>
        <v>1.4191293077419758</v>
      </c>
    </row>
    <row r="584" spans="1:2" x14ac:dyDescent="0.2">
      <c r="A584" s="3">
        <v>26.25</v>
      </c>
      <c r="B584">
        <f t="shared" si="9"/>
        <v>1.4191293077419758</v>
      </c>
    </row>
    <row r="585" spans="1:2" x14ac:dyDescent="0.2">
      <c r="A585" s="3">
        <v>26.25</v>
      </c>
      <c r="B585">
        <f t="shared" si="9"/>
        <v>1.4191293077419758</v>
      </c>
    </row>
    <row r="586" spans="1:2" x14ac:dyDescent="0.2">
      <c r="A586" s="3">
        <v>26.25</v>
      </c>
      <c r="B586">
        <f t="shared" si="9"/>
        <v>1.4191293077419758</v>
      </c>
    </row>
    <row r="587" spans="1:2" x14ac:dyDescent="0.2">
      <c r="A587" s="3">
        <v>26.25</v>
      </c>
      <c r="B587">
        <f t="shared" si="9"/>
        <v>1.4191293077419758</v>
      </c>
    </row>
    <row r="588" spans="1:2" x14ac:dyDescent="0.2">
      <c r="A588" s="3">
        <v>26.283300000000001</v>
      </c>
      <c r="B588">
        <f t="shared" si="9"/>
        <v>1.4196798921592639</v>
      </c>
    </row>
    <row r="589" spans="1:2" x14ac:dyDescent="0.2">
      <c r="A589" s="3">
        <v>26.287500000000001</v>
      </c>
      <c r="B589">
        <f t="shared" si="9"/>
        <v>1.4197492856943776</v>
      </c>
    </row>
    <row r="590" spans="1:2" x14ac:dyDescent="0.2">
      <c r="A590" s="3">
        <v>26.287500000000001</v>
      </c>
      <c r="B590">
        <f t="shared" si="9"/>
        <v>1.4197492856943776</v>
      </c>
    </row>
    <row r="591" spans="1:2" x14ac:dyDescent="0.2">
      <c r="A591" s="3">
        <v>26.287500000000001</v>
      </c>
      <c r="B591">
        <f t="shared" si="9"/>
        <v>1.4197492856943776</v>
      </c>
    </row>
    <row r="592" spans="1:2" x14ac:dyDescent="0.2">
      <c r="A592" s="3">
        <v>26.387499999999999</v>
      </c>
      <c r="B592">
        <f t="shared" si="9"/>
        <v>1.4213982463157129</v>
      </c>
    </row>
    <row r="593" spans="1:2" x14ac:dyDescent="0.2">
      <c r="A593" s="3">
        <v>26.55</v>
      </c>
      <c r="B593">
        <f t="shared" si="9"/>
        <v>1.424064525417488</v>
      </c>
    </row>
    <row r="594" spans="1:2" x14ac:dyDescent="0.2">
      <c r="A594" s="3">
        <v>26.55</v>
      </c>
      <c r="B594">
        <f t="shared" si="9"/>
        <v>1.424064525417488</v>
      </c>
    </row>
    <row r="595" spans="1:2" x14ac:dyDescent="0.2">
      <c r="A595" s="3">
        <v>26.55</v>
      </c>
      <c r="B595">
        <f t="shared" si="9"/>
        <v>1.424064525417488</v>
      </c>
    </row>
    <row r="596" spans="1:2" x14ac:dyDescent="0.2">
      <c r="A596" s="3">
        <v>26.55</v>
      </c>
      <c r="B596">
        <f t="shared" si="9"/>
        <v>1.424064525417488</v>
      </c>
    </row>
    <row r="597" spans="1:2" x14ac:dyDescent="0.2">
      <c r="A597" s="3">
        <v>26.55</v>
      </c>
      <c r="B597">
        <f t="shared" si="9"/>
        <v>1.424064525417488</v>
      </c>
    </row>
    <row r="598" spans="1:2" x14ac:dyDescent="0.2">
      <c r="A598" s="3">
        <v>26.55</v>
      </c>
      <c r="B598">
        <f t="shared" si="9"/>
        <v>1.424064525417488</v>
      </c>
    </row>
    <row r="599" spans="1:2" x14ac:dyDescent="0.2">
      <c r="A599" s="3">
        <v>26.55</v>
      </c>
      <c r="B599">
        <f t="shared" si="9"/>
        <v>1.424064525417488</v>
      </c>
    </row>
    <row r="600" spans="1:2" x14ac:dyDescent="0.2">
      <c r="A600" s="3">
        <v>26.55</v>
      </c>
      <c r="B600">
        <f t="shared" si="9"/>
        <v>1.424064525417488</v>
      </c>
    </row>
    <row r="601" spans="1:2" x14ac:dyDescent="0.2">
      <c r="A601" s="3">
        <v>26.55</v>
      </c>
      <c r="B601">
        <f t="shared" si="9"/>
        <v>1.424064525417488</v>
      </c>
    </row>
    <row r="602" spans="1:2" x14ac:dyDescent="0.2">
      <c r="A602" s="3">
        <v>26.55</v>
      </c>
      <c r="B602">
        <f t="shared" si="9"/>
        <v>1.424064525417488</v>
      </c>
    </row>
    <row r="603" spans="1:2" x14ac:dyDescent="0.2">
      <c r="A603" s="3">
        <v>26.55</v>
      </c>
      <c r="B603">
        <f t="shared" si="9"/>
        <v>1.424064525417488</v>
      </c>
    </row>
    <row r="604" spans="1:2" x14ac:dyDescent="0.2">
      <c r="A604" s="3">
        <v>26.55</v>
      </c>
      <c r="B604">
        <f t="shared" si="9"/>
        <v>1.424064525417488</v>
      </c>
    </row>
    <row r="605" spans="1:2" x14ac:dyDescent="0.2">
      <c r="A605" s="3">
        <v>26.55</v>
      </c>
      <c r="B605">
        <f t="shared" si="9"/>
        <v>1.424064525417488</v>
      </c>
    </row>
    <row r="606" spans="1:2" x14ac:dyDescent="0.2">
      <c r="A606" s="3">
        <v>26.55</v>
      </c>
      <c r="B606">
        <f t="shared" si="9"/>
        <v>1.424064525417488</v>
      </c>
    </row>
    <row r="607" spans="1:2" x14ac:dyDescent="0.2">
      <c r="A607" s="3">
        <v>26.55</v>
      </c>
      <c r="B607">
        <f t="shared" si="9"/>
        <v>1.424064525417488</v>
      </c>
    </row>
    <row r="608" spans="1:2" x14ac:dyDescent="0.2">
      <c r="A608" s="3">
        <v>27</v>
      </c>
      <c r="B608">
        <f t="shared" si="9"/>
        <v>1.4313637641589874</v>
      </c>
    </row>
    <row r="609" spans="1:2" x14ac:dyDescent="0.2">
      <c r="A609" s="3">
        <v>27</v>
      </c>
      <c r="B609">
        <f t="shared" si="9"/>
        <v>1.4313637641589874</v>
      </c>
    </row>
    <row r="610" spans="1:2" x14ac:dyDescent="0.2">
      <c r="A610" s="3">
        <v>27.720800000000001</v>
      </c>
      <c r="B610">
        <f t="shared" si="9"/>
        <v>1.442805759510192</v>
      </c>
    </row>
    <row r="611" spans="1:2" x14ac:dyDescent="0.2">
      <c r="A611" s="3">
        <v>27.720800000000001</v>
      </c>
      <c r="B611">
        <f t="shared" si="9"/>
        <v>1.442805759510192</v>
      </c>
    </row>
    <row r="612" spans="1:2" x14ac:dyDescent="0.2">
      <c r="A612" s="3">
        <v>27.720800000000001</v>
      </c>
      <c r="B612">
        <f t="shared" si="9"/>
        <v>1.442805759510192</v>
      </c>
    </row>
    <row r="613" spans="1:2" x14ac:dyDescent="0.2">
      <c r="A613" s="3">
        <v>27.720800000000001</v>
      </c>
      <c r="B613">
        <f t="shared" si="9"/>
        <v>1.442805759510192</v>
      </c>
    </row>
    <row r="614" spans="1:2" x14ac:dyDescent="0.2">
      <c r="A614" s="3">
        <v>27.720800000000001</v>
      </c>
      <c r="B614">
        <f t="shared" si="9"/>
        <v>1.442805759510192</v>
      </c>
    </row>
    <row r="615" spans="1:2" x14ac:dyDescent="0.2">
      <c r="A615" s="3">
        <v>27.75</v>
      </c>
      <c r="B615">
        <f t="shared" si="9"/>
        <v>1.4432629874586951</v>
      </c>
    </row>
    <row r="616" spans="1:2" x14ac:dyDescent="0.2">
      <c r="A616" s="3">
        <v>27.75</v>
      </c>
      <c r="B616">
        <f t="shared" si="9"/>
        <v>1.4432629874586951</v>
      </c>
    </row>
    <row r="617" spans="1:2" x14ac:dyDescent="0.2">
      <c r="A617" s="3">
        <v>27.75</v>
      </c>
      <c r="B617">
        <f t="shared" si="9"/>
        <v>1.4432629874586951</v>
      </c>
    </row>
    <row r="618" spans="1:2" x14ac:dyDescent="0.2">
      <c r="A618" s="3">
        <v>27.75</v>
      </c>
      <c r="B618">
        <f t="shared" si="9"/>
        <v>1.4432629874586951</v>
      </c>
    </row>
    <row r="619" spans="1:2" x14ac:dyDescent="0.2">
      <c r="A619" s="3">
        <v>27.9</v>
      </c>
      <c r="B619">
        <f t="shared" si="9"/>
        <v>1.4456042032735976</v>
      </c>
    </row>
    <row r="620" spans="1:2" x14ac:dyDescent="0.2">
      <c r="A620" s="3">
        <v>27.9</v>
      </c>
      <c r="B620">
        <f t="shared" si="9"/>
        <v>1.4456042032735976</v>
      </c>
    </row>
    <row r="621" spans="1:2" x14ac:dyDescent="0.2">
      <c r="A621" s="3">
        <v>27.9</v>
      </c>
      <c r="B621">
        <f t="shared" si="9"/>
        <v>1.4456042032735976</v>
      </c>
    </row>
    <row r="622" spans="1:2" x14ac:dyDescent="0.2">
      <c r="A622" s="3">
        <v>27.9</v>
      </c>
      <c r="B622">
        <f t="shared" si="9"/>
        <v>1.4456042032735976</v>
      </c>
    </row>
    <row r="623" spans="1:2" x14ac:dyDescent="0.2">
      <c r="A623" s="3">
        <v>27.9</v>
      </c>
      <c r="B623">
        <f t="shared" si="9"/>
        <v>1.4456042032735976</v>
      </c>
    </row>
    <row r="624" spans="1:2" x14ac:dyDescent="0.2">
      <c r="A624" s="3">
        <v>27.9</v>
      </c>
      <c r="B624">
        <f t="shared" si="9"/>
        <v>1.4456042032735976</v>
      </c>
    </row>
    <row r="625" spans="1:2" x14ac:dyDescent="0.2">
      <c r="A625" s="3">
        <v>28.5</v>
      </c>
      <c r="B625">
        <f t="shared" si="9"/>
        <v>1.4548448600085102</v>
      </c>
    </row>
    <row r="626" spans="1:2" x14ac:dyDescent="0.2">
      <c r="A626" s="3">
        <v>28.712499999999999</v>
      </c>
      <c r="B626">
        <f t="shared" si="9"/>
        <v>1.4580710082030826</v>
      </c>
    </row>
    <row r="627" spans="1:2" x14ac:dyDescent="0.2">
      <c r="A627" s="3">
        <v>29</v>
      </c>
      <c r="B627">
        <f t="shared" si="9"/>
        <v>1.4623979978989561</v>
      </c>
    </row>
    <row r="628" spans="1:2" x14ac:dyDescent="0.2">
      <c r="A628" s="3">
        <v>29</v>
      </c>
      <c r="B628">
        <f t="shared" si="9"/>
        <v>1.4623979978989561</v>
      </c>
    </row>
    <row r="629" spans="1:2" x14ac:dyDescent="0.2">
      <c r="A629" s="3">
        <v>29.125</v>
      </c>
      <c r="B629">
        <f t="shared" si="9"/>
        <v>1.4642659340340753</v>
      </c>
    </row>
    <row r="630" spans="1:2" x14ac:dyDescent="0.2">
      <c r="A630" s="3">
        <v>29.125</v>
      </c>
      <c r="B630">
        <f t="shared" si="9"/>
        <v>1.4642659340340753</v>
      </c>
    </row>
    <row r="631" spans="1:2" x14ac:dyDescent="0.2">
      <c r="A631" s="3">
        <v>29.125</v>
      </c>
      <c r="B631">
        <f t="shared" si="9"/>
        <v>1.4642659340340753</v>
      </c>
    </row>
    <row r="632" spans="1:2" x14ac:dyDescent="0.2">
      <c r="A632" s="3">
        <v>29.125</v>
      </c>
      <c r="B632">
        <f t="shared" si="9"/>
        <v>1.4642659340340753</v>
      </c>
    </row>
    <row r="633" spans="1:2" x14ac:dyDescent="0.2">
      <c r="A633" s="3">
        <v>29.125</v>
      </c>
      <c r="B633">
        <f t="shared" si="9"/>
        <v>1.4642659340340753</v>
      </c>
    </row>
    <row r="634" spans="1:2" x14ac:dyDescent="0.2">
      <c r="A634" s="3">
        <v>29.7</v>
      </c>
      <c r="B634">
        <f t="shared" si="9"/>
        <v>1.4727564493172123</v>
      </c>
    </row>
    <row r="635" spans="1:2" x14ac:dyDescent="0.2">
      <c r="A635" s="3">
        <v>29.7</v>
      </c>
      <c r="B635">
        <f t="shared" si="9"/>
        <v>1.4727564493172123</v>
      </c>
    </row>
    <row r="636" spans="1:2" x14ac:dyDescent="0.2">
      <c r="A636" s="3">
        <v>29.7</v>
      </c>
      <c r="B636">
        <f t="shared" si="9"/>
        <v>1.4727564493172123</v>
      </c>
    </row>
    <row r="637" spans="1:2" x14ac:dyDescent="0.2">
      <c r="A637" s="3">
        <v>30</v>
      </c>
      <c r="B637">
        <f t="shared" si="9"/>
        <v>1.4771212547196624</v>
      </c>
    </row>
    <row r="638" spans="1:2" x14ac:dyDescent="0.2">
      <c r="A638" s="3">
        <v>30</v>
      </c>
      <c r="B638">
        <f t="shared" si="9"/>
        <v>1.4771212547196624</v>
      </c>
    </row>
    <row r="639" spans="1:2" x14ac:dyDescent="0.2">
      <c r="A639" s="3">
        <v>30</v>
      </c>
      <c r="B639">
        <f t="shared" si="9"/>
        <v>1.4771212547196624</v>
      </c>
    </row>
    <row r="640" spans="1:2" x14ac:dyDescent="0.2">
      <c r="A640" s="3">
        <v>30</v>
      </c>
      <c r="B640">
        <f t="shared" si="9"/>
        <v>1.4771212547196624</v>
      </c>
    </row>
    <row r="641" spans="1:2" x14ac:dyDescent="0.2">
      <c r="A641" s="3">
        <v>30</v>
      </c>
      <c r="B641">
        <f t="shared" ref="B641:B704" si="10">LOG10(A641)</f>
        <v>1.4771212547196624</v>
      </c>
    </row>
    <row r="642" spans="1:2" x14ac:dyDescent="0.2">
      <c r="A642" s="3">
        <v>30</v>
      </c>
      <c r="B642">
        <f t="shared" si="10"/>
        <v>1.4771212547196624</v>
      </c>
    </row>
    <row r="643" spans="1:2" x14ac:dyDescent="0.2">
      <c r="A643" s="3">
        <v>30.070799999999998</v>
      </c>
      <c r="B643">
        <f t="shared" si="10"/>
        <v>1.4781449821731452</v>
      </c>
    </row>
    <row r="644" spans="1:2" x14ac:dyDescent="0.2">
      <c r="A644" s="3">
        <v>30.070799999999998</v>
      </c>
      <c r="B644">
        <f t="shared" si="10"/>
        <v>1.4781449821731452</v>
      </c>
    </row>
    <row r="645" spans="1:2" x14ac:dyDescent="0.2">
      <c r="A645" s="3">
        <v>30.5</v>
      </c>
      <c r="B645">
        <f t="shared" si="10"/>
        <v>1.4842998393467859</v>
      </c>
    </row>
    <row r="646" spans="1:2" x14ac:dyDescent="0.2">
      <c r="A646" s="3">
        <v>30.5</v>
      </c>
      <c r="B646">
        <f t="shared" si="10"/>
        <v>1.4842998393467859</v>
      </c>
    </row>
    <row r="647" spans="1:2" x14ac:dyDescent="0.2">
      <c r="A647" s="3">
        <v>30.5</v>
      </c>
      <c r="B647">
        <f t="shared" si="10"/>
        <v>1.4842998393467859</v>
      </c>
    </row>
    <row r="648" spans="1:2" x14ac:dyDescent="0.2">
      <c r="A648" s="3">
        <v>30.5</v>
      </c>
      <c r="B648">
        <f t="shared" si="10"/>
        <v>1.4842998393467859</v>
      </c>
    </row>
    <row r="649" spans="1:2" x14ac:dyDescent="0.2">
      <c r="A649" s="3">
        <v>30.5</v>
      </c>
      <c r="B649">
        <f t="shared" si="10"/>
        <v>1.4842998393467859</v>
      </c>
    </row>
    <row r="650" spans="1:2" x14ac:dyDescent="0.2">
      <c r="A650" s="3">
        <v>30.695799999999998</v>
      </c>
      <c r="B650">
        <f t="shared" si="10"/>
        <v>1.4870789565323452</v>
      </c>
    </row>
    <row r="651" spans="1:2" x14ac:dyDescent="0.2">
      <c r="A651" s="3">
        <v>30.695799999999998</v>
      </c>
      <c r="B651">
        <f t="shared" si="10"/>
        <v>1.4870789565323452</v>
      </c>
    </row>
    <row r="652" spans="1:2" x14ac:dyDescent="0.2">
      <c r="A652" s="3">
        <v>31</v>
      </c>
      <c r="B652">
        <f t="shared" si="10"/>
        <v>1.4913616938342726</v>
      </c>
    </row>
    <row r="653" spans="1:2" x14ac:dyDescent="0.2">
      <c r="A653" s="3">
        <v>31</v>
      </c>
      <c r="B653">
        <f t="shared" si="10"/>
        <v>1.4913616938342726</v>
      </c>
    </row>
    <row r="654" spans="1:2" x14ac:dyDescent="0.2">
      <c r="A654" s="3">
        <v>31</v>
      </c>
      <c r="B654">
        <f t="shared" si="10"/>
        <v>1.4913616938342726</v>
      </c>
    </row>
    <row r="655" spans="1:2" x14ac:dyDescent="0.2">
      <c r="A655" s="3">
        <v>31.274999999999999</v>
      </c>
      <c r="B655">
        <f t="shared" si="10"/>
        <v>1.4951973183654574</v>
      </c>
    </row>
    <row r="656" spans="1:2" x14ac:dyDescent="0.2">
      <c r="A656" s="3">
        <v>31.274999999999999</v>
      </c>
      <c r="B656">
        <f t="shared" si="10"/>
        <v>1.4951973183654574</v>
      </c>
    </row>
    <row r="657" spans="1:2" x14ac:dyDescent="0.2">
      <c r="A657" s="3">
        <v>31.274999999999999</v>
      </c>
      <c r="B657">
        <f t="shared" si="10"/>
        <v>1.4951973183654574</v>
      </c>
    </row>
    <row r="658" spans="1:2" x14ac:dyDescent="0.2">
      <c r="A658" s="3">
        <v>31.274999999999999</v>
      </c>
      <c r="B658">
        <f t="shared" si="10"/>
        <v>1.4951973183654574</v>
      </c>
    </row>
    <row r="659" spans="1:2" x14ac:dyDescent="0.2">
      <c r="A659" s="3">
        <v>31.274999999999999</v>
      </c>
      <c r="B659">
        <f t="shared" si="10"/>
        <v>1.4951973183654574</v>
      </c>
    </row>
    <row r="660" spans="1:2" x14ac:dyDescent="0.2">
      <c r="A660" s="3">
        <v>31.274999999999999</v>
      </c>
      <c r="B660">
        <f t="shared" si="10"/>
        <v>1.4951973183654574</v>
      </c>
    </row>
    <row r="661" spans="1:2" x14ac:dyDescent="0.2">
      <c r="A661" s="3">
        <v>31.274999999999999</v>
      </c>
      <c r="B661">
        <f t="shared" si="10"/>
        <v>1.4951973183654574</v>
      </c>
    </row>
    <row r="662" spans="1:2" x14ac:dyDescent="0.2">
      <c r="A662" s="3">
        <v>31.387499999999999</v>
      </c>
      <c r="B662">
        <f t="shared" si="10"/>
        <v>1.4967567257209788</v>
      </c>
    </row>
    <row r="663" spans="1:2" x14ac:dyDescent="0.2">
      <c r="A663" s="3">
        <v>31.387499999999999</v>
      </c>
      <c r="B663">
        <f t="shared" si="10"/>
        <v>1.4967567257209788</v>
      </c>
    </row>
    <row r="664" spans="1:2" x14ac:dyDescent="0.2">
      <c r="A664" s="3">
        <v>31.387499999999999</v>
      </c>
      <c r="B664">
        <f t="shared" si="10"/>
        <v>1.4967567257209788</v>
      </c>
    </row>
    <row r="665" spans="1:2" x14ac:dyDescent="0.2">
      <c r="A665" s="3">
        <v>31.387499999999999</v>
      </c>
      <c r="B665">
        <f t="shared" si="10"/>
        <v>1.4967567257209788</v>
      </c>
    </row>
    <row r="666" spans="1:2" x14ac:dyDescent="0.2">
      <c r="A666" s="3">
        <v>32.320799999999998</v>
      </c>
      <c r="B666">
        <f t="shared" si="10"/>
        <v>1.5094821018329212</v>
      </c>
    </row>
    <row r="667" spans="1:2" x14ac:dyDescent="0.2">
      <c r="A667" s="3">
        <v>32.5</v>
      </c>
      <c r="B667">
        <f t="shared" si="10"/>
        <v>1.5118833609788744</v>
      </c>
    </row>
    <row r="668" spans="1:2" x14ac:dyDescent="0.2">
      <c r="A668" s="3">
        <v>33</v>
      </c>
      <c r="B668">
        <f t="shared" si="10"/>
        <v>1.5185139398778875</v>
      </c>
    </row>
    <row r="669" spans="1:2" x14ac:dyDescent="0.2">
      <c r="A669" s="3">
        <v>33</v>
      </c>
      <c r="B669">
        <f t="shared" si="10"/>
        <v>1.5185139398778875</v>
      </c>
    </row>
    <row r="670" spans="1:2" x14ac:dyDescent="0.2">
      <c r="A670" s="3">
        <v>33</v>
      </c>
      <c r="B670">
        <f t="shared" si="10"/>
        <v>1.5185139398778875</v>
      </c>
    </row>
    <row r="671" spans="1:2" x14ac:dyDescent="0.2">
      <c r="A671" s="3">
        <v>33.5</v>
      </c>
      <c r="B671">
        <f t="shared" si="10"/>
        <v>1.5250448070368452</v>
      </c>
    </row>
    <row r="672" spans="1:2" x14ac:dyDescent="0.2">
      <c r="A672" s="3">
        <v>34.020800000000001</v>
      </c>
      <c r="B672">
        <f t="shared" si="10"/>
        <v>1.5317445218427028</v>
      </c>
    </row>
    <row r="673" spans="1:2" x14ac:dyDescent="0.2">
      <c r="A673" s="3">
        <v>34.375</v>
      </c>
      <c r="B673">
        <f t="shared" si="10"/>
        <v>1.5362427068383191</v>
      </c>
    </row>
    <row r="674" spans="1:2" x14ac:dyDescent="0.2">
      <c r="A674" s="3">
        <v>34.375</v>
      </c>
      <c r="B674">
        <f t="shared" si="10"/>
        <v>1.5362427068383191</v>
      </c>
    </row>
    <row r="675" spans="1:2" x14ac:dyDescent="0.2">
      <c r="A675" s="3">
        <v>34.375</v>
      </c>
      <c r="B675">
        <f t="shared" si="10"/>
        <v>1.5362427068383191</v>
      </c>
    </row>
    <row r="676" spans="1:2" x14ac:dyDescent="0.2">
      <c r="A676" s="3">
        <v>34.375</v>
      </c>
      <c r="B676">
        <f t="shared" si="10"/>
        <v>1.5362427068383191</v>
      </c>
    </row>
    <row r="677" spans="1:2" x14ac:dyDescent="0.2">
      <c r="A677" s="3">
        <v>34.654200000000003</v>
      </c>
      <c r="B677">
        <f t="shared" si="10"/>
        <v>1.5397558775130562</v>
      </c>
    </row>
    <row r="678" spans="1:2" x14ac:dyDescent="0.2">
      <c r="A678" s="3">
        <v>35</v>
      </c>
      <c r="B678">
        <f t="shared" si="10"/>
        <v>1.5440680443502757</v>
      </c>
    </row>
    <row r="679" spans="1:2" x14ac:dyDescent="0.2">
      <c r="A679" s="3">
        <v>35.5</v>
      </c>
      <c r="B679">
        <f t="shared" si="10"/>
        <v>1.550228353055094</v>
      </c>
    </row>
    <row r="680" spans="1:2" x14ac:dyDescent="0.2">
      <c r="A680" s="3">
        <v>35.5</v>
      </c>
      <c r="B680">
        <f t="shared" si="10"/>
        <v>1.550228353055094</v>
      </c>
    </row>
    <row r="681" spans="1:2" x14ac:dyDescent="0.2">
      <c r="A681" s="3">
        <v>35.5</v>
      </c>
      <c r="B681">
        <f t="shared" si="10"/>
        <v>1.550228353055094</v>
      </c>
    </row>
    <row r="682" spans="1:2" x14ac:dyDescent="0.2">
      <c r="A682" s="3">
        <v>35.5</v>
      </c>
      <c r="B682">
        <f t="shared" si="10"/>
        <v>1.550228353055094</v>
      </c>
    </row>
    <row r="683" spans="1:2" x14ac:dyDescent="0.2">
      <c r="A683" s="3">
        <v>36.75</v>
      </c>
      <c r="B683">
        <f t="shared" si="10"/>
        <v>1.5652573434202137</v>
      </c>
    </row>
    <row r="684" spans="1:2" x14ac:dyDescent="0.2">
      <c r="A684" s="3">
        <v>36.75</v>
      </c>
      <c r="B684">
        <f t="shared" si="10"/>
        <v>1.5652573434202137</v>
      </c>
    </row>
    <row r="685" spans="1:2" x14ac:dyDescent="0.2">
      <c r="A685" s="3">
        <v>37.004199999999997</v>
      </c>
      <c r="B685">
        <f t="shared" si="10"/>
        <v>1.5682510195617358</v>
      </c>
    </row>
    <row r="686" spans="1:2" x14ac:dyDescent="0.2">
      <c r="A686" s="3">
        <v>37.004199999999997</v>
      </c>
      <c r="B686">
        <f t="shared" si="10"/>
        <v>1.5682510195617358</v>
      </c>
    </row>
    <row r="687" spans="1:2" x14ac:dyDescent="0.2">
      <c r="A687" s="3">
        <v>38.5</v>
      </c>
      <c r="B687">
        <f t="shared" si="10"/>
        <v>1.5854607295085006</v>
      </c>
    </row>
    <row r="688" spans="1:2" x14ac:dyDescent="0.2">
      <c r="A688" s="3">
        <v>39</v>
      </c>
      <c r="B688">
        <f t="shared" si="10"/>
        <v>1.5910646070264991</v>
      </c>
    </row>
    <row r="689" spans="1:2" x14ac:dyDescent="0.2">
      <c r="A689" s="3">
        <v>39</v>
      </c>
      <c r="B689">
        <f t="shared" si="10"/>
        <v>1.5910646070264991</v>
      </c>
    </row>
    <row r="690" spans="1:2" x14ac:dyDescent="0.2">
      <c r="A690" s="3">
        <v>39</v>
      </c>
      <c r="B690">
        <f t="shared" si="10"/>
        <v>1.5910646070264991</v>
      </c>
    </row>
    <row r="691" spans="1:2" x14ac:dyDescent="0.2">
      <c r="A691" s="3">
        <v>39</v>
      </c>
      <c r="B691">
        <f t="shared" si="10"/>
        <v>1.5910646070264991</v>
      </c>
    </row>
    <row r="692" spans="1:2" x14ac:dyDescent="0.2">
      <c r="A692" s="3">
        <v>39.4</v>
      </c>
      <c r="B692">
        <f t="shared" si="10"/>
        <v>1.5954962218255742</v>
      </c>
    </row>
    <row r="693" spans="1:2" x14ac:dyDescent="0.2">
      <c r="A693" s="3">
        <v>39.6</v>
      </c>
      <c r="B693">
        <f t="shared" si="10"/>
        <v>1.5976951859255124</v>
      </c>
    </row>
    <row r="694" spans="1:2" x14ac:dyDescent="0.2">
      <c r="A694" s="3">
        <v>39.6</v>
      </c>
      <c r="B694">
        <f t="shared" si="10"/>
        <v>1.5976951859255124</v>
      </c>
    </row>
    <row r="695" spans="1:2" x14ac:dyDescent="0.2">
      <c r="A695" s="3">
        <v>39.6875</v>
      </c>
      <c r="B695">
        <f t="shared" si="10"/>
        <v>1.598653742636051</v>
      </c>
    </row>
    <row r="696" spans="1:2" x14ac:dyDescent="0.2">
      <c r="A696" s="3">
        <v>39.6875</v>
      </c>
      <c r="B696">
        <f t="shared" si="10"/>
        <v>1.598653742636051</v>
      </c>
    </row>
    <row r="697" spans="1:2" x14ac:dyDescent="0.2">
      <c r="A697" s="3">
        <v>39.6875</v>
      </c>
      <c r="B697">
        <f t="shared" si="10"/>
        <v>1.598653742636051</v>
      </c>
    </row>
    <row r="698" spans="1:2" x14ac:dyDescent="0.2">
      <c r="A698" s="3">
        <v>39.6875</v>
      </c>
      <c r="B698">
        <f t="shared" si="10"/>
        <v>1.598653742636051</v>
      </c>
    </row>
    <row r="699" spans="1:2" x14ac:dyDescent="0.2">
      <c r="A699" s="3">
        <v>39.6875</v>
      </c>
      <c r="B699">
        <f t="shared" si="10"/>
        <v>1.598653742636051</v>
      </c>
    </row>
    <row r="700" spans="1:2" x14ac:dyDescent="0.2">
      <c r="A700" s="3">
        <v>39.6875</v>
      </c>
      <c r="B700">
        <f t="shared" si="10"/>
        <v>1.598653742636051</v>
      </c>
    </row>
    <row r="701" spans="1:2" x14ac:dyDescent="0.2">
      <c r="A701" s="3">
        <v>40.125</v>
      </c>
      <c r="B701">
        <f t="shared" si="10"/>
        <v>1.6034150454129286</v>
      </c>
    </row>
    <row r="702" spans="1:2" x14ac:dyDescent="0.2">
      <c r="A702" s="3">
        <v>41.5792</v>
      </c>
      <c r="B702">
        <f t="shared" si="10"/>
        <v>1.6188761290808784</v>
      </c>
    </row>
    <row r="703" spans="1:2" x14ac:dyDescent="0.2">
      <c r="A703" s="3">
        <v>41.5792</v>
      </c>
      <c r="B703">
        <f t="shared" si="10"/>
        <v>1.6188761290808784</v>
      </c>
    </row>
    <row r="704" spans="1:2" x14ac:dyDescent="0.2">
      <c r="A704" s="3">
        <v>41.5792</v>
      </c>
      <c r="B704">
        <f t="shared" si="10"/>
        <v>1.6188761290808784</v>
      </c>
    </row>
    <row r="705" spans="1:2" x14ac:dyDescent="0.2">
      <c r="A705" s="3">
        <v>42.4</v>
      </c>
      <c r="B705">
        <f t="shared" ref="B705:B768" si="11">LOG10(A705)</f>
        <v>1.6273658565927327</v>
      </c>
    </row>
    <row r="706" spans="1:2" x14ac:dyDescent="0.2">
      <c r="A706" s="3">
        <v>46.9</v>
      </c>
      <c r="B706">
        <f t="shared" si="11"/>
        <v>1.6711728427150832</v>
      </c>
    </row>
    <row r="707" spans="1:2" x14ac:dyDescent="0.2">
      <c r="A707" s="3">
        <v>46.9</v>
      </c>
      <c r="B707">
        <f t="shared" si="11"/>
        <v>1.6711728427150832</v>
      </c>
    </row>
    <row r="708" spans="1:2" x14ac:dyDescent="0.2">
      <c r="A708" s="3">
        <v>46.9</v>
      </c>
      <c r="B708">
        <f t="shared" si="11"/>
        <v>1.6711728427150832</v>
      </c>
    </row>
    <row r="709" spans="1:2" x14ac:dyDescent="0.2">
      <c r="A709" s="3">
        <v>46.9</v>
      </c>
      <c r="B709">
        <f t="shared" si="11"/>
        <v>1.6711728427150832</v>
      </c>
    </row>
    <row r="710" spans="1:2" x14ac:dyDescent="0.2">
      <c r="A710" s="3">
        <v>46.9</v>
      </c>
      <c r="B710">
        <f t="shared" si="11"/>
        <v>1.6711728427150832</v>
      </c>
    </row>
    <row r="711" spans="1:2" x14ac:dyDescent="0.2">
      <c r="A711" s="3">
        <v>46.9</v>
      </c>
      <c r="B711">
        <f t="shared" si="11"/>
        <v>1.6711728427150832</v>
      </c>
    </row>
    <row r="712" spans="1:2" x14ac:dyDescent="0.2">
      <c r="A712" s="3">
        <v>47.1</v>
      </c>
      <c r="B712">
        <f t="shared" si="11"/>
        <v>1.6730209071288962</v>
      </c>
    </row>
    <row r="713" spans="1:2" x14ac:dyDescent="0.2">
      <c r="A713" s="3">
        <v>49.5</v>
      </c>
      <c r="B713">
        <f t="shared" si="11"/>
        <v>1.6946051989335686</v>
      </c>
    </row>
    <row r="714" spans="1:2" x14ac:dyDescent="0.2">
      <c r="A714" s="3">
        <v>49.504199999999997</v>
      </c>
      <c r="B714">
        <f t="shared" si="11"/>
        <v>1.6946420465991241</v>
      </c>
    </row>
    <row r="715" spans="1:2" x14ac:dyDescent="0.2">
      <c r="A715" s="3">
        <v>49.504199999999997</v>
      </c>
      <c r="B715">
        <f t="shared" si="11"/>
        <v>1.6946420465991241</v>
      </c>
    </row>
    <row r="716" spans="1:2" x14ac:dyDescent="0.2">
      <c r="A716" s="3">
        <v>50</v>
      </c>
      <c r="B716">
        <f t="shared" si="11"/>
        <v>1.6989700043360187</v>
      </c>
    </row>
    <row r="717" spans="1:2" x14ac:dyDescent="0.2">
      <c r="A717" s="3">
        <v>50.495800000000003</v>
      </c>
      <c r="B717">
        <f t="shared" si="11"/>
        <v>1.7032552570755082</v>
      </c>
    </row>
    <row r="718" spans="1:2" x14ac:dyDescent="0.2">
      <c r="A718" s="3">
        <v>51.479199999999999</v>
      </c>
      <c r="B718">
        <f t="shared" si="11"/>
        <v>1.7116317892369115</v>
      </c>
    </row>
    <row r="719" spans="1:2" x14ac:dyDescent="0.2">
      <c r="A719" s="3">
        <v>51.862499999999997</v>
      </c>
      <c r="B719">
        <f t="shared" si="11"/>
        <v>1.7148534478370294</v>
      </c>
    </row>
    <row r="720" spans="1:2" x14ac:dyDescent="0.2">
      <c r="A720" s="3">
        <v>51.862499999999997</v>
      </c>
      <c r="B720">
        <f t="shared" si="11"/>
        <v>1.7148534478370294</v>
      </c>
    </row>
    <row r="721" spans="1:2" x14ac:dyDescent="0.2">
      <c r="A721" s="3">
        <v>52</v>
      </c>
      <c r="B721">
        <f t="shared" si="11"/>
        <v>1.7160033436347992</v>
      </c>
    </row>
    <row r="722" spans="1:2" x14ac:dyDescent="0.2">
      <c r="A722" s="3">
        <v>52</v>
      </c>
      <c r="B722">
        <f t="shared" si="11"/>
        <v>1.7160033436347992</v>
      </c>
    </row>
    <row r="723" spans="1:2" x14ac:dyDescent="0.2">
      <c r="A723" s="3">
        <v>52</v>
      </c>
      <c r="B723">
        <f t="shared" si="11"/>
        <v>1.7160033436347992</v>
      </c>
    </row>
    <row r="724" spans="1:2" x14ac:dyDescent="0.2">
      <c r="A724" s="3">
        <v>52</v>
      </c>
      <c r="B724">
        <f t="shared" si="11"/>
        <v>1.7160033436347992</v>
      </c>
    </row>
    <row r="725" spans="1:2" x14ac:dyDescent="0.2">
      <c r="A725" s="3">
        <v>52</v>
      </c>
      <c r="B725">
        <f t="shared" si="11"/>
        <v>1.7160033436347992</v>
      </c>
    </row>
    <row r="726" spans="1:2" x14ac:dyDescent="0.2">
      <c r="A726" s="3">
        <v>52</v>
      </c>
      <c r="B726">
        <f t="shared" si="11"/>
        <v>1.7160033436347992</v>
      </c>
    </row>
    <row r="727" spans="1:2" x14ac:dyDescent="0.2">
      <c r="A727" s="3">
        <v>52</v>
      </c>
      <c r="B727">
        <f t="shared" si="11"/>
        <v>1.7160033436347992</v>
      </c>
    </row>
    <row r="728" spans="1:2" x14ac:dyDescent="0.2">
      <c r="A728" s="3">
        <v>52.554200000000002</v>
      </c>
      <c r="B728">
        <f t="shared" si="11"/>
        <v>1.7206074294781684</v>
      </c>
    </row>
    <row r="729" spans="1:2" x14ac:dyDescent="0.2">
      <c r="A729" s="3">
        <v>52.554200000000002</v>
      </c>
      <c r="B729">
        <f t="shared" si="11"/>
        <v>1.7206074294781684</v>
      </c>
    </row>
    <row r="730" spans="1:2" x14ac:dyDescent="0.2">
      <c r="A730" s="3">
        <v>52.554200000000002</v>
      </c>
      <c r="B730">
        <f t="shared" si="11"/>
        <v>1.7206074294781684</v>
      </c>
    </row>
    <row r="731" spans="1:2" x14ac:dyDescent="0.2">
      <c r="A731" s="3">
        <v>53.1</v>
      </c>
      <c r="B731">
        <f t="shared" si="11"/>
        <v>1.725094521081469</v>
      </c>
    </row>
    <row r="732" spans="1:2" x14ac:dyDescent="0.2">
      <c r="A732" s="3">
        <v>53.1</v>
      </c>
      <c r="B732">
        <f t="shared" si="11"/>
        <v>1.725094521081469</v>
      </c>
    </row>
    <row r="733" spans="1:2" x14ac:dyDescent="0.2">
      <c r="A733" s="3">
        <v>53.1</v>
      </c>
      <c r="B733">
        <f t="shared" si="11"/>
        <v>1.725094521081469</v>
      </c>
    </row>
    <row r="734" spans="1:2" x14ac:dyDescent="0.2">
      <c r="A734" s="3">
        <v>53.1</v>
      </c>
      <c r="B734">
        <f t="shared" si="11"/>
        <v>1.725094521081469</v>
      </c>
    </row>
    <row r="735" spans="1:2" x14ac:dyDescent="0.2">
      <c r="A735" s="3">
        <v>53.1</v>
      </c>
      <c r="B735">
        <f t="shared" si="11"/>
        <v>1.725094521081469</v>
      </c>
    </row>
    <row r="736" spans="1:2" x14ac:dyDescent="0.2">
      <c r="A736" s="3">
        <v>55</v>
      </c>
      <c r="B736">
        <f t="shared" si="11"/>
        <v>1.7403626894942439</v>
      </c>
    </row>
    <row r="737" spans="1:2" x14ac:dyDescent="0.2">
      <c r="A737" s="3">
        <v>55</v>
      </c>
      <c r="B737">
        <f t="shared" si="11"/>
        <v>1.7403626894942439</v>
      </c>
    </row>
    <row r="738" spans="1:2" x14ac:dyDescent="0.2">
      <c r="A738" s="3">
        <v>55.441699999999997</v>
      </c>
      <c r="B738">
        <f t="shared" si="11"/>
        <v>1.7438365385103145</v>
      </c>
    </row>
    <row r="739" spans="1:2" x14ac:dyDescent="0.2">
      <c r="A739" s="3">
        <v>55.9</v>
      </c>
      <c r="B739">
        <f t="shared" si="11"/>
        <v>1.7474118078864234</v>
      </c>
    </row>
    <row r="740" spans="1:2" x14ac:dyDescent="0.2">
      <c r="A740" s="3">
        <v>55.9</v>
      </c>
      <c r="B740">
        <f t="shared" si="11"/>
        <v>1.7474118078864234</v>
      </c>
    </row>
    <row r="741" spans="1:2" x14ac:dyDescent="0.2">
      <c r="A741" s="3">
        <v>56.495800000000003</v>
      </c>
      <c r="B741">
        <f t="shared" si="11"/>
        <v>1.752016162781856</v>
      </c>
    </row>
    <row r="742" spans="1:2" x14ac:dyDescent="0.2">
      <c r="A742" s="3">
        <v>56.495800000000003</v>
      </c>
      <c r="B742">
        <f t="shared" si="11"/>
        <v>1.752016162781856</v>
      </c>
    </row>
    <row r="743" spans="1:2" x14ac:dyDescent="0.2">
      <c r="A743" s="3">
        <v>56.495800000000003</v>
      </c>
      <c r="B743">
        <f t="shared" si="11"/>
        <v>1.752016162781856</v>
      </c>
    </row>
    <row r="744" spans="1:2" x14ac:dyDescent="0.2">
      <c r="A744" s="3">
        <v>56.495800000000003</v>
      </c>
      <c r="B744">
        <f t="shared" si="11"/>
        <v>1.752016162781856</v>
      </c>
    </row>
    <row r="745" spans="1:2" x14ac:dyDescent="0.2">
      <c r="A745" s="3">
        <v>56.495800000000003</v>
      </c>
      <c r="B745">
        <f t="shared" si="11"/>
        <v>1.752016162781856</v>
      </c>
    </row>
    <row r="746" spans="1:2" x14ac:dyDescent="0.2">
      <c r="A746" s="3">
        <v>56.495800000000003</v>
      </c>
      <c r="B746">
        <f t="shared" si="11"/>
        <v>1.752016162781856</v>
      </c>
    </row>
    <row r="747" spans="1:2" x14ac:dyDescent="0.2">
      <c r="A747" s="3">
        <v>56.495800000000003</v>
      </c>
      <c r="B747">
        <f t="shared" si="11"/>
        <v>1.752016162781856</v>
      </c>
    </row>
    <row r="748" spans="1:2" x14ac:dyDescent="0.2">
      <c r="A748" s="3">
        <v>56.929200000000002</v>
      </c>
      <c r="B748">
        <f t="shared" si="11"/>
        <v>1.7553350809127826</v>
      </c>
    </row>
    <row r="749" spans="1:2" x14ac:dyDescent="0.2">
      <c r="A749" s="3">
        <v>56.929200000000002</v>
      </c>
      <c r="B749">
        <f t="shared" si="11"/>
        <v>1.7553350809127826</v>
      </c>
    </row>
    <row r="750" spans="1:2" x14ac:dyDescent="0.2">
      <c r="A750" s="3">
        <v>57</v>
      </c>
      <c r="B750">
        <f t="shared" si="11"/>
        <v>1.7558748556724915</v>
      </c>
    </row>
    <row r="751" spans="1:2" x14ac:dyDescent="0.2">
      <c r="A751" s="3">
        <v>57</v>
      </c>
      <c r="B751">
        <f t="shared" si="11"/>
        <v>1.7558748556724915</v>
      </c>
    </row>
    <row r="752" spans="1:2" x14ac:dyDescent="0.2">
      <c r="A752" s="3">
        <v>57.979199999999999</v>
      </c>
      <c r="B752">
        <f t="shared" si="11"/>
        <v>1.7632722186425993</v>
      </c>
    </row>
    <row r="753" spans="1:2" x14ac:dyDescent="0.2">
      <c r="A753" s="3">
        <v>57.979199999999999</v>
      </c>
      <c r="B753">
        <f t="shared" si="11"/>
        <v>1.7632722186425993</v>
      </c>
    </row>
    <row r="754" spans="1:2" x14ac:dyDescent="0.2">
      <c r="A754" s="3">
        <v>59.4</v>
      </c>
      <c r="B754">
        <f t="shared" si="11"/>
        <v>1.7737864449811935</v>
      </c>
    </row>
    <row r="755" spans="1:2" x14ac:dyDescent="0.2">
      <c r="A755" s="3">
        <v>61.174999999999997</v>
      </c>
      <c r="B755">
        <f t="shared" si="11"/>
        <v>1.7865739780238268</v>
      </c>
    </row>
    <row r="756" spans="1:2" x14ac:dyDescent="0.2">
      <c r="A756" s="3">
        <v>61.379199999999997</v>
      </c>
      <c r="B756">
        <f t="shared" si="11"/>
        <v>1.7880212236551114</v>
      </c>
    </row>
    <row r="757" spans="1:2" x14ac:dyDescent="0.2">
      <c r="A757" s="3">
        <v>61.979199999999999</v>
      </c>
      <c r="B757">
        <f t="shared" si="11"/>
        <v>1.79224596625906</v>
      </c>
    </row>
    <row r="758" spans="1:2" x14ac:dyDescent="0.2">
      <c r="A758" s="3">
        <v>63.3583</v>
      </c>
      <c r="B758">
        <f t="shared" si="11"/>
        <v>1.8018035159532171</v>
      </c>
    </row>
    <row r="759" spans="1:2" x14ac:dyDescent="0.2">
      <c r="A759" s="3">
        <v>65</v>
      </c>
      <c r="B759">
        <f t="shared" si="11"/>
        <v>1.8129133566428555</v>
      </c>
    </row>
    <row r="760" spans="1:2" x14ac:dyDescent="0.2">
      <c r="A760" s="3">
        <v>65</v>
      </c>
      <c r="B760">
        <f t="shared" si="11"/>
        <v>1.8129133566428555</v>
      </c>
    </row>
    <row r="761" spans="1:2" x14ac:dyDescent="0.2">
      <c r="A761" s="3">
        <v>66.599999999999994</v>
      </c>
      <c r="B761">
        <f t="shared" si="11"/>
        <v>1.823474229170301</v>
      </c>
    </row>
    <row r="762" spans="1:2" x14ac:dyDescent="0.2">
      <c r="A762" s="3">
        <v>66.599999999999994</v>
      </c>
      <c r="B762">
        <f t="shared" si="11"/>
        <v>1.823474229170301</v>
      </c>
    </row>
    <row r="763" spans="1:2" x14ac:dyDescent="0.2">
      <c r="A763" s="3">
        <v>69.3</v>
      </c>
      <c r="B763">
        <f t="shared" si="11"/>
        <v>1.8407332346118068</v>
      </c>
    </row>
    <row r="764" spans="1:2" x14ac:dyDescent="0.2">
      <c r="A764" s="3">
        <v>69.3</v>
      </c>
      <c r="B764">
        <f t="shared" si="11"/>
        <v>1.8407332346118068</v>
      </c>
    </row>
    <row r="765" spans="1:2" x14ac:dyDescent="0.2">
      <c r="A765" s="3">
        <v>69.55</v>
      </c>
      <c r="B765">
        <f t="shared" si="11"/>
        <v>1.8422971343280652</v>
      </c>
    </row>
    <row r="766" spans="1:2" x14ac:dyDescent="0.2">
      <c r="A766" s="3">
        <v>69.55</v>
      </c>
      <c r="B766">
        <f t="shared" si="11"/>
        <v>1.8422971343280652</v>
      </c>
    </row>
    <row r="767" spans="1:2" x14ac:dyDescent="0.2">
      <c r="A767" s="3">
        <v>69.55</v>
      </c>
      <c r="B767">
        <f t="shared" si="11"/>
        <v>1.8422971343280652</v>
      </c>
    </row>
    <row r="768" spans="1:2" x14ac:dyDescent="0.2">
      <c r="A768" s="3">
        <v>69.55</v>
      </c>
      <c r="B768">
        <f t="shared" si="11"/>
        <v>1.8422971343280652</v>
      </c>
    </row>
    <row r="769" spans="1:2" x14ac:dyDescent="0.2">
      <c r="A769" s="3">
        <v>69.55</v>
      </c>
      <c r="B769">
        <f t="shared" ref="B769:B832" si="12">LOG10(A769)</f>
        <v>1.8422971343280652</v>
      </c>
    </row>
    <row r="770" spans="1:2" x14ac:dyDescent="0.2">
      <c r="A770" s="3">
        <v>69.55</v>
      </c>
      <c r="B770">
        <f t="shared" si="12"/>
        <v>1.8422971343280652</v>
      </c>
    </row>
    <row r="771" spans="1:2" x14ac:dyDescent="0.2">
      <c r="A771" s="3">
        <v>69.55</v>
      </c>
      <c r="B771">
        <f t="shared" si="12"/>
        <v>1.8422971343280652</v>
      </c>
    </row>
    <row r="772" spans="1:2" x14ac:dyDescent="0.2">
      <c r="A772" s="3">
        <v>71</v>
      </c>
      <c r="B772">
        <f t="shared" si="12"/>
        <v>1.8512583487190752</v>
      </c>
    </row>
    <row r="773" spans="1:2" x14ac:dyDescent="0.2">
      <c r="A773" s="3">
        <v>71</v>
      </c>
      <c r="B773">
        <f t="shared" si="12"/>
        <v>1.8512583487190752</v>
      </c>
    </row>
    <row r="774" spans="1:2" x14ac:dyDescent="0.2">
      <c r="A774" s="3">
        <v>71.283299999999997</v>
      </c>
      <c r="B774">
        <f t="shared" si="12"/>
        <v>1.8529877967894248</v>
      </c>
    </row>
    <row r="775" spans="1:2" x14ac:dyDescent="0.2">
      <c r="A775" s="3">
        <v>73.5</v>
      </c>
      <c r="B775">
        <f t="shared" si="12"/>
        <v>1.866287339084195</v>
      </c>
    </row>
    <row r="776" spans="1:2" x14ac:dyDescent="0.2">
      <c r="A776" s="3">
        <v>73.5</v>
      </c>
      <c r="B776">
        <f t="shared" si="12"/>
        <v>1.866287339084195</v>
      </c>
    </row>
    <row r="777" spans="1:2" x14ac:dyDescent="0.2">
      <c r="A777" s="3">
        <v>73.5</v>
      </c>
      <c r="B777">
        <f t="shared" si="12"/>
        <v>1.866287339084195</v>
      </c>
    </row>
    <row r="778" spans="1:2" x14ac:dyDescent="0.2">
      <c r="A778" s="3">
        <v>73.5</v>
      </c>
      <c r="B778">
        <f t="shared" si="12"/>
        <v>1.866287339084195</v>
      </c>
    </row>
    <row r="779" spans="1:2" x14ac:dyDescent="0.2">
      <c r="A779" s="3">
        <v>73.5</v>
      </c>
      <c r="B779">
        <f t="shared" si="12"/>
        <v>1.866287339084195</v>
      </c>
    </row>
    <row r="780" spans="1:2" x14ac:dyDescent="0.2">
      <c r="A780" s="3">
        <v>75.25</v>
      </c>
      <c r="B780">
        <f t="shared" si="12"/>
        <v>1.8765065042658811</v>
      </c>
    </row>
    <row r="781" spans="1:2" x14ac:dyDescent="0.2">
      <c r="A781" s="3">
        <v>76.291700000000006</v>
      </c>
      <c r="B781">
        <f t="shared" si="12"/>
        <v>1.8824772923418707</v>
      </c>
    </row>
    <row r="782" spans="1:2" x14ac:dyDescent="0.2">
      <c r="A782" s="3">
        <v>76.729200000000006</v>
      </c>
      <c r="B782">
        <f t="shared" si="12"/>
        <v>1.8849606701491657</v>
      </c>
    </row>
    <row r="783" spans="1:2" x14ac:dyDescent="0.2">
      <c r="A783" s="3">
        <v>76.729200000000006</v>
      </c>
      <c r="B783">
        <f t="shared" si="12"/>
        <v>1.8849606701491657</v>
      </c>
    </row>
    <row r="784" spans="1:2" x14ac:dyDescent="0.2">
      <c r="A784" s="3">
        <v>76.729200000000006</v>
      </c>
      <c r="B784">
        <f t="shared" si="12"/>
        <v>1.8849606701491657</v>
      </c>
    </row>
    <row r="785" spans="1:2" x14ac:dyDescent="0.2">
      <c r="A785" s="3">
        <v>77.287499999999994</v>
      </c>
      <c r="B785">
        <f t="shared" si="12"/>
        <v>1.8881092595069318</v>
      </c>
    </row>
    <row r="786" spans="1:2" x14ac:dyDescent="0.2">
      <c r="A786" s="3">
        <v>77.287499999999994</v>
      </c>
      <c r="B786">
        <f t="shared" si="12"/>
        <v>1.8881092595069318</v>
      </c>
    </row>
    <row r="787" spans="1:2" x14ac:dyDescent="0.2">
      <c r="A787" s="3">
        <v>77.958299999999994</v>
      </c>
      <c r="B787">
        <f t="shared" si="12"/>
        <v>1.8918623600932356</v>
      </c>
    </row>
    <row r="788" spans="1:2" x14ac:dyDescent="0.2">
      <c r="A788" s="3">
        <v>77.958299999999994</v>
      </c>
      <c r="B788">
        <f t="shared" si="12"/>
        <v>1.8918623600932356</v>
      </c>
    </row>
    <row r="789" spans="1:2" x14ac:dyDescent="0.2">
      <c r="A789" s="3">
        <v>77.958299999999994</v>
      </c>
      <c r="B789">
        <f t="shared" si="12"/>
        <v>1.8918623600932356</v>
      </c>
    </row>
    <row r="790" spans="1:2" x14ac:dyDescent="0.2">
      <c r="A790" s="3">
        <v>78.2667</v>
      </c>
      <c r="B790">
        <f t="shared" si="12"/>
        <v>1.8935770228194533</v>
      </c>
    </row>
    <row r="791" spans="1:2" x14ac:dyDescent="0.2">
      <c r="A791" s="3">
        <v>78.2667</v>
      </c>
      <c r="B791">
        <f t="shared" si="12"/>
        <v>1.8935770228194533</v>
      </c>
    </row>
    <row r="792" spans="1:2" x14ac:dyDescent="0.2">
      <c r="A792" s="3">
        <v>78.849999999999994</v>
      </c>
      <c r="B792">
        <f t="shared" si="12"/>
        <v>1.8968016976649216</v>
      </c>
    </row>
    <row r="793" spans="1:2" x14ac:dyDescent="0.2">
      <c r="A793" s="3">
        <v>78.849999999999994</v>
      </c>
      <c r="B793">
        <f t="shared" si="12"/>
        <v>1.8968016976649216</v>
      </c>
    </row>
    <row r="794" spans="1:2" x14ac:dyDescent="0.2">
      <c r="A794" s="3">
        <v>79.2</v>
      </c>
      <c r="B794">
        <f t="shared" si="12"/>
        <v>1.8987251815894934</v>
      </c>
    </row>
    <row r="795" spans="1:2" x14ac:dyDescent="0.2">
      <c r="A795" s="3">
        <v>79.2</v>
      </c>
      <c r="B795">
        <f t="shared" si="12"/>
        <v>1.8987251815894934</v>
      </c>
    </row>
    <row r="796" spans="1:2" x14ac:dyDescent="0.2">
      <c r="A796" s="3">
        <v>79.2</v>
      </c>
      <c r="B796">
        <f t="shared" si="12"/>
        <v>1.8987251815894934</v>
      </c>
    </row>
    <row r="797" spans="1:2" x14ac:dyDescent="0.2">
      <c r="A797" s="3">
        <v>79.2</v>
      </c>
      <c r="B797">
        <f t="shared" si="12"/>
        <v>1.8987251815894934</v>
      </c>
    </row>
    <row r="798" spans="1:2" x14ac:dyDescent="0.2">
      <c r="A798" s="3">
        <v>79.650000000000006</v>
      </c>
      <c r="B798">
        <f t="shared" si="12"/>
        <v>1.9011857801371503</v>
      </c>
    </row>
    <row r="799" spans="1:2" x14ac:dyDescent="0.2">
      <c r="A799" s="3">
        <v>79.650000000000006</v>
      </c>
      <c r="B799">
        <f t="shared" si="12"/>
        <v>1.9011857801371503</v>
      </c>
    </row>
    <row r="800" spans="1:2" x14ac:dyDescent="0.2">
      <c r="A800" s="3">
        <v>79.650000000000006</v>
      </c>
      <c r="B800">
        <f t="shared" si="12"/>
        <v>1.9011857801371503</v>
      </c>
    </row>
    <row r="801" spans="1:2" x14ac:dyDescent="0.2">
      <c r="A801" s="3">
        <v>80</v>
      </c>
      <c r="B801">
        <f t="shared" si="12"/>
        <v>1.9030899869919435</v>
      </c>
    </row>
    <row r="802" spans="1:2" x14ac:dyDescent="0.2">
      <c r="A802" s="3">
        <v>80</v>
      </c>
      <c r="B802">
        <f t="shared" si="12"/>
        <v>1.9030899869919435</v>
      </c>
    </row>
    <row r="803" spans="1:2" x14ac:dyDescent="0.2">
      <c r="A803" s="3">
        <v>81.8583</v>
      </c>
      <c r="B803">
        <f t="shared" si="12"/>
        <v>1.9130627211511082</v>
      </c>
    </row>
    <row r="804" spans="1:2" x14ac:dyDescent="0.2">
      <c r="A804" s="3">
        <v>82.1708</v>
      </c>
      <c r="B804">
        <f t="shared" si="12"/>
        <v>1.9147175152064853</v>
      </c>
    </row>
    <row r="805" spans="1:2" x14ac:dyDescent="0.2">
      <c r="A805" s="3">
        <v>82.1708</v>
      </c>
      <c r="B805">
        <f t="shared" si="12"/>
        <v>1.9147175152064853</v>
      </c>
    </row>
    <row r="806" spans="1:2" x14ac:dyDescent="0.2">
      <c r="A806" s="3">
        <v>83.158299999999997</v>
      </c>
      <c r="B806">
        <f t="shared" si="12"/>
        <v>1.9199056024948609</v>
      </c>
    </row>
    <row r="807" spans="1:2" x14ac:dyDescent="0.2">
      <c r="A807" s="3">
        <v>83.158299999999997</v>
      </c>
      <c r="B807">
        <f t="shared" si="12"/>
        <v>1.9199056024948609</v>
      </c>
    </row>
    <row r="808" spans="1:2" x14ac:dyDescent="0.2">
      <c r="A808" s="3">
        <v>83.158299999999997</v>
      </c>
      <c r="B808">
        <f t="shared" si="12"/>
        <v>1.9199056024948609</v>
      </c>
    </row>
    <row r="809" spans="1:2" x14ac:dyDescent="0.2">
      <c r="A809" s="3">
        <v>83.474999999999994</v>
      </c>
      <c r="B809">
        <f t="shared" si="12"/>
        <v>1.9215564277264083</v>
      </c>
    </row>
    <row r="810" spans="1:2" x14ac:dyDescent="0.2">
      <c r="A810" s="3">
        <v>83.474999999999994</v>
      </c>
      <c r="B810">
        <f t="shared" si="12"/>
        <v>1.9215564277264083</v>
      </c>
    </row>
    <row r="811" spans="1:2" x14ac:dyDescent="0.2">
      <c r="A811" s="3">
        <v>86.5</v>
      </c>
      <c r="B811">
        <f t="shared" si="12"/>
        <v>1.9370161074648142</v>
      </c>
    </row>
    <row r="812" spans="1:2" x14ac:dyDescent="0.2">
      <c r="A812" s="3">
        <v>86.5</v>
      </c>
      <c r="B812">
        <f t="shared" si="12"/>
        <v>1.9370161074648142</v>
      </c>
    </row>
    <row r="813" spans="1:2" x14ac:dyDescent="0.2">
      <c r="A813" s="3">
        <v>86.5</v>
      </c>
      <c r="B813">
        <f t="shared" si="12"/>
        <v>1.9370161074648142</v>
      </c>
    </row>
    <row r="814" spans="1:2" x14ac:dyDescent="0.2">
      <c r="A814" s="3">
        <v>89.104200000000006</v>
      </c>
      <c r="B814">
        <f t="shared" si="12"/>
        <v>1.9498981753481495</v>
      </c>
    </row>
    <row r="815" spans="1:2" x14ac:dyDescent="0.2">
      <c r="A815" s="3">
        <v>89.104200000000006</v>
      </c>
      <c r="B815">
        <f t="shared" si="12"/>
        <v>1.9498981753481495</v>
      </c>
    </row>
    <row r="816" spans="1:2" x14ac:dyDescent="0.2">
      <c r="A816" s="3">
        <v>90</v>
      </c>
      <c r="B816">
        <f t="shared" si="12"/>
        <v>1.954242509439325</v>
      </c>
    </row>
    <row r="817" spans="1:2" x14ac:dyDescent="0.2">
      <c r="A817" s="3">
        <v>90</v>
      </c>
      <c r="B817">
        <f t="shared" si="12"/>
        <v>1.954242509439325</v>
      </c>
    </row>
    <row r="818" spans="1:2" x14ac:dyDescent="0.2">
      <c r="A818" s="3">
        <v>90</v>
      </c>
      <c r="B818">
        <f t="shared" si="12"/>
        <v>1.954242509439325</v>
      </c>
    </row>
    <row r="819" spans="1:2" x14ac:dyDescent="0.2">
      <c r="A819" s="3">
        <v>90</v>
      </c>
      <c r="B819">
        <f t="shared" si="12"/>
        <v>1.954242509439325</v>
      </c>
    </row>
    <row r="820" spans="1:2" x14ac:dyDescent="0.2">
      <c r="A820" s="3">
        <v>91.0792</v>
      </c>
      <c r="B820">
        <f t="shared" si="12"/>
        <v>1.959419207306397</v>
      </c>
    </row>
    <row r="821" spans="1:2" x14ac:dyDescent="0.2">
      <c r="A821" s="3">
        <v>91.0792</v>
      </c>
      <c r="B821">
        <f t="shared" si="12"/>
        <v>1.959419207306397</v>
      </c>
    </row>
    <row r="822" spans="1:2" x14ac:dyDescent="0.2">
      <c r="A822" s="3">
        <v>93.5</v>
      </c>
      <c r="B822">
        <f t="shared" si="12"/>
        <v>1.9708116108725178</v>
      </c>
    </row>
    <row r="823" spans="1:2" x14ac:dyDescent="0.2">
      <c r="A823" s="3">
        <v>93.5</v>
      </c>
      <c r="B823">
        <f t="shared" si="12"/>
        <v>1.9708116108725178</v>
      </c>
    </row>
    <row r="824" spans="1:2" x14ac:dyDescent="0.2">
      <c r="A824" s="3">
        <v>106.425</v>
      </c>
      <c r="B824">
        <f t="shared" si="12"/>
        <v>2.0270436588491743</v>
      </c>
    </row>
    <row r="825" spans="1:2" x14ac:dyDescent="0.2">
      <c r="A825" s="3">
        <v>106.425</v>
      </c>
      <c r="B825">
        <f t="shared" si="12"/>
        <v>2.0270436588491743</v>
      </c>
    </row>
    <row r="826" spans="1:2" x14ac:dyDescent="0.2">
      <c r="A826" s="3">
        <v>108.9</v>
      </c>
      <c r="B826">
        <f t="shared" si="12"/>
        <v>2.037027879755775</v>
      </c>
    </row>
    <row r="827" spans="1:2" x14ac:dyDescent="0.2">
      <c r="A827" s="3">
        <v>108.9</v>
      </c>
      <c r="B827">
        <f t="shared" si="12"/>
        <v>2.037027879755775</v>
      </c>
    </row>
    <row r="828" spans="1:2" x14ac:dyDescent="0.2">
      <c r="A828" s="3">
        <v>110.88330000000001</v>
      </c>
      <c r="B828">
        <f t="shared" si="12"/>
        <v>2.0448661425064016</v>
      </c>
    </row>
    <row r="829" spans="1:2" x14ac:dyDescent="0.2">
      <c r="A829" s="3">
        <v>110.88330000000001</v>
      </c>
      <c r="B829">
        <f t="shared" si="12"/>
        <v>2.0448661425064016</v>
      </c>
    </row>
    <row r="830" spans="1:2" x14ac:dyDescent="0.2">
      <c r="A830" s="3">
        <v>110.88330000000001</v>
      </c>
      <c r="B830">
        <f t="shared" si="12"/>
        <v>2.0448661425064016</v>
      </c>
    </row>
    <row r="831" spans="1:2" x14ac:dyDescent="0.2">
      <c r="A831" s="3">
        <v>110.88330000000001</v>
      </c>
      <c r="B831">
        <f t="shared" si="12"/>
        <v>2.0448661425064016</v>
      </c>
    </row>
    <row r="832" spans="1:2" x14ac:dyDescent="0.2">
      <c r="A832" s="3">
        <v>113.27500000000001</v>
      </c>
      <c r="B832">
        <f t="shared" si="12"/>
        <v>2.0541340708512235</v>
      </c>
    </row>
    <row r="833" spans="1:2" x14ac:dyDescent="0.2">
      <c r="A833" s="3">
        <v>113.27500000000001</v>
      </c>
      <c r="B833">
        <f t="shared" ref="B833:B876" si="13">LOG10(A833)</f>
        <v>2.0541340708512235</v>
      </c>
    </row>
    <row r="834" spans="1:2" x14ac:dyDescent="0.2">
      <c r="A834" s="3">
        <v>113.27500000000001</v>
      </c>
      <c r="B834">
        <f t="shared" si="13"/>
        <v>2.0541340708512235</v>
      </c>
    </row>
    <row r="835" spans="1:2" x14ac:dyDescent="0.2">
      <c r="A835" s="3">
        <v>120</v>
      </c>
      <c r="B835">
        <f t="shared" si="13"/>
        <v>2.0791812460476247</v>
      </c>
    </row>
    <row r="836" spans="1:2" x14ac:dyDescent="0.2">
      <c r="A836" s="3">
        <v>120</v>
      </c>
      <c r="B836">
        <f t="shared" si="13"/>
        <v>2.0791812460476247</v>
      </c>
    </row>
    <row r="837" spans="1:2" x14ac:dyDescent="0.2">
      <c r="A837" s="3">
        <v>120</v>
      </c>
      <c r="B837">
        <f t="shared" si="13"/>
        <v>2.0791812460476247</v>
      </c>
    </row>
    <row r="838" spans="1:2" x14ac:dyDescent="0.2">
      <c r="A838" s="3">
        <v>120</v>
      </c>
      <c r="B838">
        <f t="shared" si="13"/>
        <v>2.0791812460476247</v>
      </c>
    </row>
    <row r="839" spans="1:2" x14ac:dyDescent="0.2">
      <c r="A839" s="3">
        <v>133.65</v>
      </c>
      <c r="B839">
        <f t="shared" si="13"/>
        <v>2.1259689630925562</v>
      </c>
    </row>
    <row r="840" spans="1:2" x14ac:dyDescent="0.2">
      <c r="A840" s="3">
        <v>133.65</v>
      </c>
      <c r="B840">
        <f t="shared" si="13"/>
        <v>2.1259689630925562</v>
      </c>
    </row>
    <row r="841" spans="1:2" x14ac:dyDescent="0.2">
      <c r="A841" s="3">
        <v>134.5</v>
      </c>
      <c r="B841">
        <f t="shared" si="13"/>
        <v>2.1287222843384268</v>
      </c>
    </row>
    <row r="842" spans="1:2" x14ac:dyDescent="0.2">
      <c r="A842" s="3">
        <v>134.5</v>
      </c>
      <c r="B842">
        <f t="shared" si="13"/>
        <v>2.1287222843384268</v>
      </c>
    </row>
    <row r="843" spans="1:2" x14ac:dyDescent="0.2">
      <c r="A843" s="3">
        <v>135.63329999999999</v>
      </c>
      <c r="B843">
        <f t="shared" si="13"/>
        <v>2.1323663284011247</v>
      </c>
    </row>
    <row r="844" spans="1:2" x14ac:dyDescent="0.2">
      <c r="A844" s="3">
        <v>135.63329999999999</v>
      </c>
      <c r="B844">
        <f t="shared" si="13"/>
        <v>2.1323663284011247</v>
      </c>
    </row>
    <row r="845" spans="1:2" x14ac:dyDescent="0.2">
      <c r="A845" s="3">
        <v>135.63329999999999</v>
      </c>
      <c r="B845">
        <f t="shared" si="13"/>
        <v>2.1323663284011247</v>
      </c>
    </row>
    <row r="846" spans="1:2" x14ac:dyDescent="0.2">
      <c r="A846" s="3">
        <v>146.52080000000001</v>
      </c>
      <c r="B846">
        <f t="shared" si="13"/>
        <v>2.1658992812362761</v>
      </c>
    </row>
    <row r="847" spans="1:2" x14ac:dyDescent="0.2">
      <c r="A847" s="3">
        <v>146.52080000000001</v>
      </c>
      <c r="B847">
        <f t="shared" si="13"/>
        <v>2.1658992812362761</v>
      </c>
    </row>
    <row r="848" spans="1:2" x14ac:dyDescent="0.2">
      <c r="A848" s="3">
        <v>151.55000000000001</v>
      </c>
      <c r="B848">
        <f t="shared" si="13"/>
        <v>2.1805559407036412</v>
      </c>
    </row>
    <row r="849" spans="1:2" x14ac:dyDescent="0.2">
      <c r="A849" s="3">
        <v>151.55000000000001</v>
      </c>
      <c r="B849">
        <f t="shared" si="13"/>
        <v>2.1805559407036412</v>
      </c>
    </row>
    <row r="850" spans="1:2" x14ac:dyDescent="0.2">
      <c r="A850" s="3">
        <v>151.55000000000001</v>
      </c>
      <c r="B850">
        <f t="shared" si="13"/>
        <v>2.1805559407036412</v>
      </c>
    </row>
    <row r="851" spans="1:2" x14ac:dyDescent="0.2">
      <c r="A851" s="3">
        <v>151.55000000000001</v>
      </c>
      <c r="B851">
        <f t="shared" si="13"/>
        <v>2.1805559407036412</v>
      </c>
    </row>
    <row r="852" spans="1:2" x14ac:dyDescent="0.2">
      <c r="A852" s="3">
        <v>153.46250000000001</v>
      </c>
      <c r="B852">
        <f t="shared" si="13"/>
        <v>2.1860022688507756</v>
      </c>
    </row>
    <row r="853" spans="1:2" x14ac:dyDescent="0.2">
      <c r="A853" s="3">
        <v>153.46250000000001</v>
      </c>
      <c r="B853">
        <f t="shared" si="13"/>
        <v>2.1860022688507756</v>
      </c>
    </row>
    <row r="854" spans="1:2" x14ac:dyDescent="0.2">
      <c r="A854" s="3">
        <v>153.46250000000001</v>
      </c>
      <c r="B854">
        <f t="shared" si="13"/>
        <v>2.1860022688507756</v>
      </c>
    </row>
    <row r="855" spans="1:2" x14ac:dyDescent="0.2">
      <c r="A855" s="3">
        <v>164.86670000000001</v>
      </c>
      <c r="B855">
        <f t="shared" si="13"/>
        <v>2.2171329451128217</v>
      </c>
    </row>
    <row r="856" spans="1:2" x14ac:dyDescent="0.2">
      <c r="A856" s="3">
        <v>164.86670000000001</v>
      </c>
      <c r="B856">
        <f t="shared" si="13"/>
        <v>2.2171329451128217</v>
      </c>
    </row>
    <row r="857" spans="1:2" x14ac:dyDescent="0.2">
      <c r="A857" s="3">
        <v>211.33750000000001</v>
      </c>
      <c r="B857">
        <f t="shared" si="13"/>
        <v>2.3249765656660264</v>
      </c>
    </row>
    <row r="858" spans="1:2" x14ac:dyDescent="0.2">
      <c r="A858" s="3">
        <v>211.33750000000001</v>
      </c>
      <c r="B858">
        <f t="shared" si="13"/>
        <v>2.3249765656660264</v>
      </c>
    </row>
    <row r="859" spans="1:2" x14ac:dyDescent="0.2">
      <c r="A859" s="3">
        <v>211.33750000000001</v>
      </c>
      <c r="B859">
        <f t="shared" si="13"/>
        <v>2.3249765656660264</v>
      </c>
    </row>
    <row r="860" spans="1:2" x14ac:dyDescent="0.2">
      <c r="A860" s="3">
        <v>211.5</v>
      </c>
      <c r="B860">
        <f t="shared" si="13"/>
        <v>2.325310371711061</v>
      </c>
    </row>
    <row r="861" spans="1:2" x14ac:dyDescent="0.2">
      <c r="A861" s="3">
        <v>221.7792</v>
      </c>
      <c r="B861">
        <f t="shared" si="13"/>
        <v>2.3459208125578912</v>
      </c>
    </row>
    <row r="862" spans="1:2" x14ac:dyDescent="0.2">
      <c r="A862" s="3">
        <v>227.52500000000001</v>
      </c>
      <c r="B862">
        <f t="shared" si="13"/>
        <v>2.35702912303943</v>
      </c>
    </row>
    <row r="863" spans="1:2" x14ac:dyDescent="0.2">
      <c r="A863" s="3">
        <v>227.52500000000001</v>
      </c>
      <c r="B863">
        <f t="shared" si="13"/>
        <v>2.35702912303943</v>
      </c>
    </row>
    <row r="864" spans="1:2" x14ac:dyDescent="0.2">
      <c r="A864" s="3">
        <v>227.52500000000001</v>
      </c>
      <c r="B864">
        <f t="shared" si="13"/>
        <v>2.35702912303943</v>
      </c>
    </row>
    <row r="865" spans="1:2" x14ac:dyDescent="0.2">
      <c r="A865" s="3">
        <v>227.52500000000001</v>
      </c>
      <c r="B865">
        <f t="shared" si="13"/>
        <v>2.35702912303943</v>
      </c>
    </row>
    <row r="866" spans="1:2" x14ac:dyDescent="0.2">
      <c r="A866" s="3">
        <v>247.52080000000001</v>
      </c>
      <c r="B866">
        <f t="shared" si="13"/>
        <v>2.3936117000197399</v>
      </c>
    </row>
    <row r="867" spans="1:2" x14ac:dyDescent="0.2">
      <c r="A867" s="3">
        <v>247.52080000000001</v>
      </c>
      <c r="B867">
        <f t="shared" si="13"/>
        <v>2.3936117000197399</v>
      </c>
    </row>
    <row r="868" spans="1:2" x14ac:dyDescent="0.2">
      <c r="A868" s="3">
        <v>262.375</v>
      </c>
      <c r="B868">
        <f t="shared" si="13"/>
        <v>2.4189224515904568</v>
      </c>
    </row>
    <row r="869" spans="1:2" x14ac:dyDescent="0.2">
      <c r="A869" s="3">
        <v>262.375</v>
      </c>
      <c r="B869">
        <f t="shared" si="13"/>
        <v>2.4189224515904568</v>
      </c>
    </row>
    <row r="870" spans="1:2" x14ac:dyDescent="0.2">
      <c r="A870" s="3">
        <v>263</v>
      </c>
      <c r="B870">
        <f t="shared" si="13"/>
        <v>2.419955748489758</v>
      </c>
    </row>
    <row r="871" spans="1:2" x14ac:dyDescent="0.2">
      <c r="A871" s="3">
        <v>263</v>
      </c>
      <c r="B871">
        <f t="shared" si="13"/>
        <v>2.419955748489758</v>
      </c>
    </row>
    <row r="872" spans="1:2" x14ac:dyDescent="0.2">
      <c r="A872" s="3">
        <v>263</v>
      </c>
      <c r="B872">
        <f t="shared" si="13"/>
        <v>2.419955748489758</v>
      </c>
    </row>
    <row r="873" spans="1:2" x14ac:dyDescent="0.2">
      <c r="A873" s="3">
        <v>263</v>
      </c>
      <c r="B873">
        <f t="shared" si="13"/>
        <v>2.419955748489758</v>
      </c>
    </row>
    <row r="874" spans="1:2" x14ac:dyDescent="0.2">
      <c r="A874" s="3">
        <v>512.32920000000001</v>
      </c>
      <c r="B874">
        <f t="shared" si="13"/>
        <v>2.7095491090238699</v>
      </c>
    </row>
    <row r="875" spans="1:2" x14ac:dyDescent="0.2">
      <c r="A875" s="3">
        <v>512.32920000000001</v>
      </c>
      <c r="B875">
        <f t="shared" si="13"/>
        <v>2.7095491090238699</v>
      </c>
    </row>
    <row r="876" spans="1:2" x14ac:dyDescent="0.2">
      <c r="A876" s="3">
        <v>512.32920000000001</v>
      </c>
      <c r="B876">
        <f t="shared" si="13"/>
        <v>2.7095491090238699</v>
      </c>
    </row>
  </sheetData>
  <sortState xmlns:xlrd2="http://schemas.microsoft.com/office/spreadsheetml/2017/richdata2" ref="A1:A877">
    <sortCondition ref="A1:A877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8E27F-9E62-EC49-BB33-BEE527FCDB8E}">
  <dimension ref="A1:B315"/>
  <sheetViews>
    <sheetView workbookViewId="0">
      <selection sqref="A1:B315"/>
    </sheetView>
  </sheetViews>
  <sheetFormatPr baseColWidth="10" defaultRowHeight="16" x14ac:dyDescent="0.2"/>
  <sheetData>
    <row r="1" spans="1:2" x14ac:dyDescent="0.2">
      <c r="A1" t="s">
        <v>4</v>
      </c>
      <c r="B1" t="s">
        <v>9</v>
      </c>
    </row>
    <row r="2" spans="1:2" x14ac:dyDescent="0.2">
      <c r="A2" t="s">
        <v>17</v>
      </c>
      <c r="B2">
        <v>23.45</v>
      </c>
    </row>
    <row r="3" spans="1:2" x14ac:dyDescent="0.2">
      <c r="A3" t="s">
        <v>17</v>
      </c>
      <c r="B3">
        <v>71.283299999999997</v>
      </c>
    </row>
    <row r="4" spans="1:2" x14ac:dyDescent="0.2">
      <c r="A4" t="s">
        <v>17</v>
      </c>
      <c r="B4">
        <v>7.9249999999999998</v>
      </c>
    </row>
    <row r="5" spans="1:2" x14ac:dyDescent="0.2">
      <c r="A5" t="s">
        <v>17</v>
      </c>
      <c r="B5">
        <v>53.1</v>
      </c>
    </row>
    <row r="6" spans="1:2" x14ac:dyDescent="0.2">
      <c r="A6" t="s">
        <v>17</v>
      </c>
      <c r="B6">
        <v>30</v>
      </c>
    </row>
    <row r="7" spans="1:2" x14ac:dyDescent="0.2">
      <c r="A7" t="s">
        <v>17</v>
      </c>
      <c r="B7">
        <v>29.125</v>
      </c>
    </row>
    <row r="8" spans="1:2" x14ac:dyDescent="0.2">
      <c r="A8" t="s">
        <v>17</v>
      </c>
      <c r="B8">
        <v>10.5167</v>
      </c>
    </row>
    <row r="9" spans="1:2" x14ac:dyDescent="0.2">
      <c r="A9" t="s">
        <v>17</v>
      </c>
      <c r="B9">
        <v>26</v>
      </c>
    </row>
    <row r="10" spans="1:2" x14ac:dyDescent="0.2">
      <c r="A10" t="s">
        <v>17</v>
      </c>
      <c r="B10">
        <v>11.1333</v>
      </c>
    </row>
    <row r="11" spans="1:2" x14ac:dyDescent="0.2">
      <c r="A11" t="s">
        <v>17</v>
      </c>
      <c r="B11">
        <v>30.070799999999998</v>
      </c>
    </row>
    <row r="12" spans="1:2" x14ac:dyDescent="0.2">
      <c r="A12" t="s">
        <v>17</v>
      </c>
      <c r="B12">
        <v>16.7</v>
      </c>
    </row>
    <row r="13" spans="1:2" x14ac:dyDescent="0.2">
      <c r="A13" t="s">
        <v>17</v>
      </c>
      <c r="B13">
        <v>26.55</v>
      </c>
    </row>
    <row r="14" spans="1:2" x14ac:dyDescent="0.2">
      <c r="A14" t="s">
        <v>17</v>
      </c>
      <c r="B14">
        <v>83.158299999999997</v>
      </c>
    </row>
    <row r="15" spans="1:2" x14ac:dyDescent="0.2">
      <c r="A15" t="s">
        <v>17</v>
      </c>
      <c r="B15">
        <v>7.2249999999999996</v>
      </c>
    </row>
    <row r="16" spans="1:2" x14ac:dyDescent="0.2">
      <c r="A16" t="s">
        <v>17</v>
      </c>
      <c r="B16">
        <v>7.8541999999999996</v>
      </c>
    </row>
    <row r="17" spans="1:2" x14ac:dyDescent="0.2">
      <c r="A17" t="s">
        <v>17</v>
      </c>
      <c r="B17">
        <v>16</v>
      </c>
    </row>
    <row r="18" spans="1:2" x14ac:dyDescent="0.2">
      <c r="A18" t="s">
        <v>17</v>
      </c>
      <c r="B18">
        <v>24</v>
      </c>
    </row>
    <row r="19" spans="1:2" x14ac:dyDescent="0.2">
      <c r="A19" t="s">
        <v>17</v>
      </c>
      <c r="B19">
        <v>52.554200000000002</v>
      </c>
    </row>
    <row r="20" spans="1:2" x14ac:dyDescent="0.2">
      <c r="A20" t="s">
        <v>17</v>
      </c>
      <c r="B20">
        <v>18</v>
      </c>
    </row>
    <row r="21" spans="1:2" x14ac:dyDescent="0.2">
      <c r="A21" t="s">
        <v>17</v>
      </c>
      <c r="B21">
        <v>7.2249999999999996</v>
      </c>
    </row>
    <row r="22" spans="1:2" x14ac:dyDescent="0.2">
      <c r="A22" t="s">
        <v>17</v>
      </c>
      <c r="B22">
        <v>13.8583</v>
      </c>
    </row>
    <row r="23" spans="1:2" x14ac:dyDescent="0.2">
      <c r="A23" t="s">
        <v>17</v>
      </c>
      <c r="B23">
        <v>13</v>
      </c>
    </row>
    <row r="24" spans="1:2" x14ac:dyDescent="0.2">
      <c r="A24" t="s">
        <v>17</v>
      </c>
      <c r="B24">
        <v>8.0291999999999994</v>
      </c>
    </row>
    <row r="25" spans="1:2" x14ac:dyDescent="0.2">
      <c r="A25" t="s">
        <v>17</v>
      </c>
      <c r="B25">
        <v>69.55</v>
      </c>
    </row>
    <row r="26" spans="1:2" x14ac:dyDescent="0.2">
      <c r="A26" t="s">
        <v>17</v>
      </c>
      <c r="B26">
        <v>21.074999999999999</v>
      </c>
    </row>
    <row r="27" spans="1:2" x14ac:dyDescent="0.2">
      <c r="A27" t="s">
        <v>17</v>
      </c>
      <c r="B27">
        <v>31.387499999999999</v>
      </c>
    </row>
    <row r="28" spans="1:2" x14ac:dyDescent="0.2">
      <c r="A28" t="s">
        <v>17</v>
      </c>
      <c r="B28">
        <v>25.929200000000002</v>
      </c>
    </row>
    <row r="29" spans="1:2" x14ac:dyDescent="0.2">
      <c r="A29" t="s">
        <v>17</v>
      </c>
      <c r="B29">
        <v>19.258299999999998</v>
      </c>
    </row>
    <row r="30" spans="1:2" x14ac:dyDescent="0.2">
      <c r="A30" t="s">
        <v>17</v>
      </c>
      <c r="B30">
        <v>7.8792</v>
      </c>
    </row>
    <row r="31" spans="1:2" x14ac:dyDescent="0.2">
      <c r="A31" t="s">
        <v>17</v>
      </c>
      <c r="B31">
        <v>164.86670000000001</v>
      </c>
    </row>
    <row r="32" spans="1:2" x14ac:dyDescent="0.2">
      <c r="A32" t="s">
        <v>17</v>
      </c>
      <c r="B32">
        <v>9.35</v>
      </c>
    </row>
    <row r="33" spans="1:2" x14ac:dyDescent="0.2">
      <c r="A33" t="s">
        <v>17</v>
      </c>
      <c r="B33">
        <v>146.52080000000001</v>
      </c>
    </row>
    <row r="34" spans="1:2" x14ac:dyDescent="0.2">
      <c r="A34" t="s">
        <v>17</v>
      </c>
      <c r="B34">
        <v>7.75</v>
      </c>
    </row>
    <row r="35" spans="1:2" x14ac:dyDescent="0.2">
      <c r="A35" t="s">
        <v>17</v>
      </c>
      <c r="B35">
        <v>26</v>
      </c>
    </row>
    <row r="36" spans="1:2" x14ac:dyDescent="0.2">
      <c r="A36" t="s">
        <v>17</v>
      </c>
      <c r="B36">
        <v>39.4</v>
      </c>
    </row>
    <row r="37" spans="1:2" x14ac:dyDescent="0.2">
      <c r="A37" t="s">
        <v>17</v>
      </c>
      <c r="B37">
        <v>15.245799999999999</v>
      </c>
    </row>
    <row r="38" spans="1:2" x14ac:dyDescent="0.2">
      <c r="A38" t="s">
        <v>17</v>
      </c>
      <c r="B38">
        <v>89.104200000000006</v>
      </c>
    </row>
    <row r="39" spans="1:2" x14ac:dyDescent="0.2">
      <c r="A39" t="s">
        <v>17</v>
      </c>
      <c r="B39">
        <v>31</v>
      </c>
    </row>
    <row r="40" spans="1:2" x14ac:dyDescent="0.2">
      <c r="A40" t="s">
        <v>17</v>
      </c>
      <c r="B40">
        <v>18</v>
      </c>
    </row>
    <row r="41" spans="1:2" x14ac:dyDescent="0.2">
      <c r="A41" t="s">
        <v>17</v>
      </c>
      <c r="B41">
        <v>11.2417</v>
      </c>
    </row>
    <row r="42" spans="1:2" x14ac:dyDescent="0.2">
      <c r="A42" t="s">
        <v>17</v>
      </c>
      <c r="B42">
        <v>9.4749999999999996</v>
      </c>
    </row>
    <row r="43" spans="1:2" x14ac:dyDescent="0.2">
      <c r="A43" t="s">
        <v>17</v>
      </c>
      <c r="B43">
        <v>21</v>
      </c>
    </row>
    <row r="44" spans="1:2" x14ac:dyDescent="0.2">
      <c r="A44" t="s">
        <v>17</v>
      </c>
      <c r="B44">
        <v>83.158299999999997</v>
      </c>
    </row>
    <row r="45" spans="1:2" x14ac:dyDescent="0.2">
      <c r="A45" t="s">
        <v>17</v>
      </c>
      <c r="B45">
        <v>41.5792</v>
      </c>
    </row>
    <row r="46" spans="1:2" x14ac:dyDescent="0.2">
      <c r="A46" t="s">
        <v>17</v>
      </c>
      <c r="B46">
        <v>7.8792</v>
      </c>
    </row>
    <row r="47" spans="1:2" x14ac:dyDescent="0.2">
      <c r="A47" t="s">
        <v>17</v>
      </c>
      <c r="B47">
        <v>14.4542</v>
      </c>
    </row>
    <row r="48" spans="1:2" x14ac:dyDescent="0.2">
      <c r="A48" t="s">
        <v>17</v>
      </c>
      <c r="B48">
        <v>80</v>
      </c>
    </row>
    <row r="49" spans="1:2" x14ac:dyDescent="0.2">
      <c r="A49" t="s">
        <v>17</v>
      </c>
      <c r="B49">
        <v>7.75</v>
      </c>
    </row>
    <row r="50" spans="1:2" x14ac:dyDescent="0.2">
      <c r="A50" t="s">
        <v>17</v>
      </c>
      <c r="B50">
        <v>12.475</v>
      </c>
    </row>
    <row r="51" spans="1:2" x14ac:dyDescent="0.2">
      <c r="A51" t="s">
        <v>17</v>
      </c>
      <c r="B51">
        <v>17.8</v>
      </c>
    </row>
    <row r="52" spans="1:2" x14ac:dyDescent="0.2">
      <c r="A52" t="s">
        <v>17</v>
      </c>
      <c r="B52">
        <v>93.5</v>
      </c>
    </row>
    <row r="53" spans="1:2" x14ac:dyDescent="0.2">
      <c r="A53" t="s">
        <v>17</v>
      </c>
      <c r="B53">
        <v>7.9249999999999998</v>
      </c>
    </row>
    <row r="54" spans="1:2" x14ac:dyDescent="0.2">
      <c r="A54" t="s">
        <v>17</v>
      </c>
      <c r="B54">
        <v>76.729200000000006</v>
      </c>
    </row>
    <row r="55" spans="1:2" x14ac:dyDescent="0.2">
      <c r="A55" t="s">
        <v>17</v>
      </c>
      <c r="B55">
        <v>26</v>
      </c>
    </row>
    <row r="56" spans="1:2" x14ac:dyDescent="0.2">
      <c r="A56" t="s">
        <v>17</v>
      </c>
      <c r="B56">
        <v>31.274999999999999</v>
      </c>
    </row>
    <row r="57" spans="1:2" x14ac:dyDescent="0.2">
      <c r="A57" t="s">
        <v>17</v>
      </c>
      <c r="B57">
        <v>53.1</v>
      </c>
    </row>
    <row r="58" spans="1:2" x14ac:dyDescent="0.2">
      <c r="A58" t="s">
        <v>17</v>
      </c>
      <c r="B58">
        <v>10.5</v>
      </c>
    </row>
    <row r="59" spans="1:2" x14ac:dyDescent="0.2">
      <c r="A59" t="s">
        <v>17</v>
      </c>
      <c r="B59">
        <v>7.7750000000000004</v>
      </c>
    </row>
    <row r="60" spans="1:2" x14ac:dyDescent="0.2">
      <c r="A60" t="s">
        <v>17</v>
      </c>
      <c r="B60">
        <v>27.75</v>
      </c>
    </row>
    <row r="61" spans="1:2" x14ac:dyDescent="0.2">
      <c r="A61" t="s">
        <v>17</v>
      </c>
      <c r="B61">
        <v>26.25</v>
      </c>
    </row>
    <row r="62" spans="1:2" x14ac:dyDescent="0.2">
      <c r="A62" t="s">
        <v>17</v>
      </c>
      <c r="B62">
        <v>24.15</v>
      </c>
    </row>
    <row r="63" spans="1:2" x14ac:dyDescent="0.2">
      <c r="A63" t="s">
        <v>17</v>
      </c>
      <c r="B63">
        <v>80</v>
      </c>
    </row>
    <row r="64" spans="1:2" x14ac:dyDescent="0.2">
      <c r="A64" t="s">
        <v>17</v>
      </c>
      <c r="B64">
        <v>8.6832999999999991</v>
      </c>
    </row>
    <row r="65" spans="1:2" x14ac:dyDescent="0.2">
      <c r="A65" t="s">
        <v>17</v>
      </c>
      <c r="B65">
        <v>25.929200000000002</v>
      </c>
    </row>
    <row r="66" spans="1:2" x14ac:dyDescent="0.2">
      <c r="A66" t="s">
        <v>17</v>
      </c>
      <c r="B66">
        <v>69.55</v>
      </c>
    </row>
    <row r="67" spans="1:2" x14ac:dyDescent="0.2">
      <c r="A67" t="s">
        <v>17</v>
      </c>
      <c r="B67">
        <v>7.4958</v>
      </c>
    </row>
    <row r="68" spans="1:2" x14ac:dyDescent="0.2">
      <c r="A68" t="s">
        <v>17</v>
      </c>
      <c r="B68">
        <v>10.5</v>
      </c>
    </row>
    <row r="69" spans="1:2" x14ac:dyDescent="0.2">
      <c r="A69" t="s">
        <v>17</v>
      </c>
      <c r="B69">
        <v>57</v>
      </c>
    </row>
    <row r="70" spans="1:2" x14ac:dyDescent="0.2">
      <c r="A70" t="s">
        <v>17</v>
      </c>
      <c r="B70">
        <v>7.9249999999999998</v>
      </c>
    </row>
    <row r="71" spans="1:2" x14ac:dyDescent="0.2">
      <c r="A71" t="s">
        <v>17</v>
      </c>
      <c r="B71">
        <v>7.2291999999999996</v>
      </c>
    </row>
    <row r="72" spans="1:2" x14ac:dyDescent="0.2">
      <c r="A72" t="s">
        <v>17</v>
      </c>
      <c r="B72">
        <v>211.33750000000001</v>
      </c>
    </row>
    <row r="73" spans="1:2" x14ac:dyDescent="0.2">
      <c r="A73" t="s">
        <v>17</v>
      </c>
      <c r="B73">
        <v>46.9</v>
      </c>
    </row>
    <row r="74" spans="1:2" x14ac:dyDescent="0.2">
      <c r="A74" t="s">
        <v>17</v>
      </c>
      <c r="B74">
        <v>12.475</v>
      </c>
    </row>
    <row r="75" spans="1:2" x14ac:dyDescent="0.2">
      <c r="A75" t="s">
        <v>17</v>
      </c>
      <c r="B75">
        <v>23</v>
      </c>
    </row>
    <row r="76" spans="1:2" x14ac:dyDescent="0.2">
      <c r="A76" t="s">
        <v>17</v>
      </c>
      <c r="B76">
        <v>10.5</v>
      </c>
    </row>
    <row r="77" spans="1:2" x14ac:dyDescent="0.2">
      <c r="A77" t="s">
        <v>17</v>
      </c>
      <c r="B77">
        <v>7.75</v>
      </c>
    </row>
    <row r="78" spans="1:2" x14ac:dyDescent="0.2">
      <c r="A78" t="s">
        <v>17</v>
      </c>
      <c r="B78">
        <v>77.958299999999994</v>
      </c>
    </row>
    <row r="79" spans="1:2" x14ac:dyDescent="0.2">
      <c r="A79" t="s">
        <v>17</v>
      </c>
      <c r="B79">
        <v>120</v>
      </c>
    </row>
    <row r="80" spans="1:2" x14ac:dyDescent="0.2">
      <c r="A80" t="s">
        <v>17</v>
      </c>
      <c r="B80">
        <v>86.5</v>
      </c>
    </row>
    <row r="81" spans="1:2" x14ac:dyDescent="0.2">
      <c r="A81" t="s">
        <v>17</v>
      </c>
      <c r="B81">
        <v>12.475</v>
      </c>
    </row>
    <row r="82" spans="1:2" x14ac:dyDescent="0.2">
      <c r="A82" t="s">
        <v>17</v>
      </c>
      <c r="B82">
        <v>65</v>
      </c>
    </row>
    <row r="83" spans="1:2" x14ac:dyDescent="0.2">
      <c r="A83" t="s">
        <v>17</v>
      </c>
      <c r="B83">
        <v>23</v>
      </c>
    </row>
    <row r="84" spans="1:2" x14ac:dyDescent="0.2">
      <c r="A84" t="s">
        <v>17</v>
      </c>
      <c r="B84">
        <v>7.7874999999999996</v>
      </c>
    </row>
    <row r="85" spans="1:2" x14ac:dyDescent="0.2">
      <c r="A85" t="s">
        <v>17</v>
      </c>
      <c r="B85">
        <v>13</v>
      </c>
    </row>
    <row r="86" spans="1:2" x14ac:dyDescent="0.2">
      <c r="A86" t="s">
        <v>17</v>
      </c>
      <c r="B86">
        <v>10.5</v>
      </c>
    </row>
    <row r="87" spans="1:2" x14ac:dyDescent="0.2">
      <c r="A87" t="s">
        <v>17</v>
      </c>
      <c r="B87">
        <v>15.85</v>
      </c>
    </row>
    <row r="88" spans="1:2" x14ac:dyDescent="0.2">
      <c r="A88" t="s">
        <v>17</v>
      </c>
      <c r="B88">
        <v>262.375</v>
      </c>
    </row>
    <row r="89" spans="1:2" x14ac:dyDescent="0.2">
      <c r="A89" t="s">
        <v>17</v>
      </c>
      <c r="B89">
        <v>34.375</v>
      </c>
    </row>
    <row r="90" spans="1:2" x14ac:dyDescent="0.2">
      <c r="A90" t="s">
        <v>17</v>
      </c>
      <c r="B90">
        <v>263</v>
      </c>
    </row>
    <row r="91" spans="1:2" x14ac:dyDescent="0.2">
      <c r="A91" t="s">
        <v>17</v>
      </c>
      <c r="B91">
        <v>211.33750000000001</v>
      </c>
    </row>
    <row r="92" spans="1:2" x14ac:dyDescent="0.2">
      <c r="A92" t="s">
        <v>17</v>
      </c>
      <c r="B92">
        <v>7.9249999999999998</v>
      </c>
    </row>
    <row r="93" spans="1:2" x14ac:dyDescent="0.2">
      <c r="A93" t="s">
        <v>17</v>
      </c>
      <c r="B93">
        <v>7.7374999999999998</v>
      </c>
    </row>
    <row r="94" spans="1:2" x14ac:dyDescent="0.2">
      <c r="A94" t="s">
        <v>17</v>
      </c>
      <c r="B94">
        <v>21</v>
      </c>
    </row>
    <row r="95" spans="1:2" x14ac:dyDescent="0.2">
      <c r="A95" t="s">
        <v>17</v>
      </c>
      <c r="B95">
        <v>33</v>
      </c>
    </row>
    <row r="96" spans="1:2" x14ac:dyDescent="0.2">
      <c r="A96" t="s">
        <v>17</v>
      </c>
      <c r="B96">
        <v>10.5</v>
      </c>
    </row>
    <row r="97" spans="1:2" x14ac:dyDescent="0.2">
      <c r="A97" t="s">
        <v>17</v>
      </c>
      <c r="B97">
        <v>227.52500000000001</v>
      </c>
    </row>
    <row r="98" spans="1:2" x14ac:dyDescent="0.2">
      <c r="A98" t="s">
        <v>17</v>
      </c>
      <c r="B98">
        <v>49.504199999999997</v>
      </c>
    </row>
    <row r="99" spans="1:2" x14ac:dyDescent="0.2">
      <c r="A99" t="s">
        <v>17</v>
      </c>
      <c r="B99">
        <v>151.55000000000001</v>
      </c>
    </row>
    <row r="100" spans="1:2" x14ac:dyDescent="0.2">
      <c r="A100" t="s">
        <v>17</v>
      </c>
      <c r="B100">
        <v>23</v>
      </c>
    </row>
    <row r="101" spans="1:2" x14ac:dyDescent="0.2">
      <c r="A101" t="s">
        <v>17</v>
      </c>
      <c r="B101">
        <v>13.5</v>
      </c>
    </row>
    <row r="102" spans="1:2" x14ac:dyDescent="0.2">
      <c r="A102" t="s">
        <v>17</v>
      </c>
      <c r="B102">
        <v>7.8958000000000004</v>
      </c>
    </row>
    <row r="103" spans="1:2" x14ac:dyDescent="0.2">
      <c r="A103" t="s">
        <v>17</v>
      </c>
      <c r="B103">
        <v>14.4542</v>
      </c>
    </row>
    <row r="104" spans="1:2" x14ac:dyDescent="0.2">
      <c r="A104" t="s">
        <v>17</v>
      </c>
      <c r="B104">
        <v>227.52500000000001</v>
      </c>
    </row>
    <row r="105" spans="1:2" x14ac:dyDescent="0.2">
      <c r="A105" t="s">
        <v>17</v>
      </c>
      <c r="B105">
        <v>7.7332999999999998</v>
      </c>
    </row>
    <row r="106" spans="1:2" x14ac:dyDescent="0.2">
      <c r="A106" t="s">
        <v>17</v>
      </c>
      <c r="B106">
        <v>13.416700000000001</v>
      </c>
    </row>
    <row r="107" spans="1:2" x14ac:dyDescent="0.2">
      <c r="A107" t="s">
        <v>17</v>
      </c>
      <c r="B107">
        <v>211.33750000000001</v>
      </c>
    </row>
    <row r="108" spans="1:2" x14ac:dyDescent="0.2">
      <c r="A108" t="s">
        <v>17</v>
      </c>
      <c r="B108">
        <v>7.65</v>
      </c>
    </row>
    <row r="109" spans="1:2" x14ac:dyDescent="0.2">
      <c r="A109" t="s">
        <v>17</v>
      </c>
      <c r="B109">
        <v>8.1374999999999993</v>
      </c>
    </row>
    <row r="110" spans="1:2" x14ac:dyDescent="0.2">
      <c r="A110" t="s">
        <v>17</v>
      </c>
      <c r="B110">
        <v>46.9</v>
      </c>
    </row>
    <row r="111" spans="1:2" x14ac:dyDescent="0.2">
      <c r="A111" t="s">
        <v>17</v>
      </c>
      <c r="B111">
        <v>24.15</v>
      </c>
    </row>
    <row r="112" spans="1:2" x14ac:dyDescent="0.2">
      <c r="A112" t="s">
        <v>17</v>
      </c>
      <c r="B112">
        <v>9.8416999999999994</v>
      </c>
    </row>
    <row r="113" spans="1:2" x14ac:dyDescent="0.2">
      <c r="A113" t="s">
        <v>17</v>
      </c>
      <c r="B113">
        <v>14.4542</v>
      </c>
    </row>
    <row r="114" spans="1:2" x14ac:dyDescent="0.2">
      <c r="A114" t="s">
        <v>17</v>
      </c>
      <c r="B114">
        <v>39</v>
      </c>
    </row>
    <row r="115" spans="1:2" x14ac:dyDescent="0.2">
      <c r="A115" t="s">
        <v>17</v>
      </c>
      <c r="B115">
        <v>9.8249999999999993</v>
      </c>
    </row>
    <row r="116" spans="1:2" x14ac:dyDescent="0.2">
      <c r="A116" t="s">
        <v>17</v>
      </c>
      <c r="B116">
        <v>14.458299999999999</v>
      </c>
    </row>
    <row r="117" spans="1:2" x14ac:dyDescent="0.2">
      <c r="A117" t="s">
        <v>17</v>
      </c>
      <c r="B117">
        <v>52</v>
      </c>
    </row>
    <row r="118" spans="1:2" x14ac:dyDescent="0.2">
      <c r="A118" t="s">
        <v>17</v>
      </c>
      <c r="B118">
        <v>15.5</v>
      </c>
    </row>
    <row r="119" spans="1:2" x14ac:dyDescent="0.2">
      <c r="A119" t="s">
        <v>17</v>
      </c>
      <c r="B119">
        <v>6.75</v>
      </c>
    </row>
    <row r="120" spans="1:2" x14ac:dyDescent="0.2">
      <c r="A120" t="s">
        <v>17</v>
      </c>
      <c r="B120">
        <v>7.8292000000000002</v>
      </c>
    </row>
    <row r="121" spans="1:2" x14ac:dyDescent="0.2">
      <c r="A121" t="s">
        <v>17</v>
      </c>
      <c r="B121">
        <v>31.274999999999999</v>
      </c>
    </row>
    <row r="122" spans="1:2" x14ac:dyDescent="0.2">
      <c r="A122" t="s">
        <v>17</v>
      </c>
      <c r="B122">
        <v>23</v>
      </c>
    </row>
    <row r="123" spans="1:2" x14ac:dyDescent="0.2">
      <c r="A123" t="s">
        <v>17</v>
      </c>
      <c r="B123">
        <v>7.55</v>
      </c>
    </row>
    <row r="124" spans="1:2" x14ac:dyDescent="0.2">
      <c r="A124" t="s">
        <v>17</v>
      </c>
      <c r="B124">
        <v>19.258299999999998</v>
      </c>
    </row>
    <row r="125" spans="1:2" x14ac:dyDescent="0.2">
      <c r="A125" t="s">
        <v>17</v>
      </c>
      <c r="B125">
        <v>13</v>
      </c>
    </row>
    <row r="126" spans="1:2" x14ac:dyDescent="0.2">
      <c r="A126" t="s">
        <v>17</v>
      </c>
      <c r="B126">
        <v>27.9</v>
      </c>
    </row>
    <row r="127" spans="1:2" x14ac:dyDescent="0.2">
      <c r="A127" t="s">
        <v>17</v>
      </c>
      <c r="B127">
        <v>69.3</v>
      </c>
    </row>
    <row r="128" spans="1:2" x14ac:dyDescent="0.2">
      <c r="A128" t="s">
        <v>17</v>
      </c>
      <c r="B128">
        <v>39.6875</v>
      </c>
    </row>
    <row r="129" spans="1:2" x14ac:dyDescent="0.2">
      <c r="A129" t="s">
        <v>17</v>
      </c>
      <c r="B129">
        <v>13</v>
      </c>
    </row>
    <row r="130" spans="1:2" x14ac:dyDescent="0.2">
      <c r="A130" t="s">
        <v>17</v>
      </c>
      <c r="B130">
        <v>22.3583</v>
      </c>
    </row>
    <row r="131" spans="1:2" x14ac:dyDescent="0.2">
      <c r="A131" t="s">
        <v>17</v>
      </c>
      <c r="B131">
        <v>27.9</v>
      </c>
    </row>
    <row r="132" spans="1:2" x14ac:dyDescent="0.2">
      <c r="A132" t="s">
        <v>17</v>
      </c>
      <c r="B132">
        <v>77.958299999999994</v>
      </c>
    </row>
    <row r="133" spans="1:2" x14ac:dyDescent="0.2">
      <c r="A133" t="s">
        <v>17</v>
      </c>
      <c r="B133">
        <v>39</v>
      </c>
    </row>
    <row r="134" spans="1:2" x14ac:dyDescent="0.2">
      <c r="A134" t="s">
        <v>17</v>
      </c>
      <c r="B134">
        <v>14.5</v>
      </c>
    </row>
    <row r="135" spans="1:2" x14ac:dyDescent="0.2">
      <c r="A135" t="s">
        <v>17</v>
      </c>
      <c r="B135">
        <v>26</v>
      </c>
    </row>
    <row r="136" spans="1:2" x14ac:dyDescent="0.2">
      <c r="A136" t="s">
        <v>17</v>
      </c>
      <c r="B136">
        <v>16.100000000000001</v>
      </c>
    </row>
    <row r="137" spans="1:2" x14ac:dyDescent="0.2">
      <c r="A137" t="s">
        <v>17</v>
      </c>
      <c r="B137">
        <v>65</v>
      </c>
    </row>
    <row r="138" spans="1:2" x14ac:dyDescent="0.2">
      <c r="A138" t="s">
        <v>17</v>
      </c>
      <c r="B138">
        <v>26.283300000000001</v>
      </c>
    </row>
    <row r="139" spans="1:2" x14ac:dyDescent="0.2">
      <c r="A139" t="s">
        <v>17</v>
      </c>
      <c r="B139">
        <v>15.5</v>
      </c>
    </row>
    <row r="140" spans="1:2" x14ac:dyDescent="0.2">
      <c r="A140" t="s">
        <v>17</v>
      </c>
      <c r="B140">
        <v>31.274999999999999</v>
      </c>
    </row>
    <row r="141" spans="1:2" x14ac:dyDescent="0.2">
      <c r="A141" t="s">
        <v>17</v>
      </c>
      <c r="B141">
        <v>153.46250000000001</v>
      </c>
    </row>
    <row r="142" spans="1:2" x14ac:dyDescent="0.2">
      <c r="A142" t="s">
        <v>17</v>
      </c>
      <c r="B142">
        <v>15.245799999999999</v>
      </c>
    </row>
    <row r="143" spans="1:2" x14ac:dyDescent="0.2">
      <c r="A143" t="s">
        <v>17</v>
      </c>
      <c r="B143">
        <v>7.75</v>
      </c>
    </row>
    <row r="144" spans="1:2" x14ac:dyDescent="0.2">
      <c r="A144" t="s">
        <v>17</v>
      </c>
      <c r="B144">
        <v>15.85</v>
      </c>
    </row>
    <row r="145" spans="1:2" x14ac:dyDescent="0.2">
      <c r="A145" t="s">
        <v>17</v>
      </c>
      <c r="B145">
        <v>41.5792</v>
      </c>
    </row>
    <row r="146" spans="1:2" x14ac:dyDescent="0.2">
      <c r="A146" t="s">
        <v>17</v>
      </c>
      <c r="B146">
        <v>27</v>
      </c>
    </row>
    <row r="147" spans="1:2" x14ac:dyDescent="0.2">
      <c r="A147" t="s">
        <v>17</v>
      </c>
      <c r="B147">
        <v>33</v>
      </c>
    </row>
    <row r="148" spans="1:2" x14ac:dyDescent="0.2">
      <c r="A148" t="s">
        <v>17</v>
      </c>
      <c r="B148">
        <v>7.75</v>
      </c>
    </row>
    <row r="149" spans="1:2" x14ac:dyDescent="0.2">
      <c r="A149" t="s">
        <v>17</v>
      </c>
      <c r="B149">
        <v>34.375</v>
      </c>
    </row>
    <row r="150" spans="1:2" x14ac:dyDescent="0.2">
      <c r="A150" t="s">
        <v>17</v>
      </c>
      <c r="B150">
        <v>78.2667</v>
      </c>
    </row>
    <row r="151" spans="1:2" x14ac:dyDescent="0.2">
      <c r="A151" t="s">
        <v>17</v>
      </c>
      <c r="B151">
        <v>79.650000000000006</v>
      </c>
    </row>
    <row r="152" spans="1:2" x14ac:dyDescent="0.2">
      <c r="A152" t="s">
        <v>17</v>
      </c>
      <c r="B152">
        <v>110.88330000000001</v>
      </c>
    </row>
    <row r="153" spans="1:2" x14ac:dyDescent="0.2">
      <c r="A153" t="s">
        <v>17</v>
      </c>
      <c r="B153">
        <v>66.599999999999994</v>
      </c>
    </row>
    <row r="154" spans="1:2" x14ac:dyDescent="0.2">
      <c r="A154" t="s">
        <v>17</v>
      </c>
      <c r="B154">
        <v>30</v>
      </c>
    </row>
    <row r="155" spans="1:2" x14ac:dyDescent="0.2">
      <c r="A155" t="s">
        <v>17</v>
      </c>
      <c r="B155">
        <v>14.458299999999999</v>
      </c>
    </row>
    <row r="156" spans="1:2" x14ac:dyDescent="0.2">
      <c r="A156" t="s">
        <v>17</v>
      </c>
      <c r="B156">
        <v>55.9</v>
      </c>
    </row>
    <row r="157" spans="1:2" x14ac:dyDescent="0.2">
      <c r="A157" t="s">
        <v>17</v>
      </c>
      <c r="B157">
        <v>13</v>
      </c>
    </row>
    <row r="158" spans="1:2" x14ac:dyDescent="0.2">
      <c r="A158" t="s">
        <v>17</v>
      </c>
      <c r="B158">
        <v>7.7332999999999998</v>
      </c>
    </row>
    <row r="159" spans="1:2" x14ac:dyDescent="0.2">
      <c r="A159" t="s">
        <v>17</v>
      </c>
      <c r="B159">
        <v>7.75</v>
      </c>
    </row>
    <row r="160" spans="1:2" x14ac:dyDescent="0.2">
      <c r="A160" t="s">
        <v>17</v>
      </c>
      <c r="B160">
        <v>51.479199999999999</v>
      </c>
    </row>
    <row r="161" spans="1:2" x14ac:dyDescent="0.2">
      <c r="A161" t="s">
        <v>17</v>
      </c>
      <c r="B161">
        <v>21.074999999999999</v>
      </c>
    </row>
    <row r="162" spans="1:2" x14ac:dyDescent="0.2">
      <c r="A162" t="s">
        <v>17</v>
      </c>
      <c r="B162">
        <v>8.0500000000000007</v>
      </c>
    </row>
    <row r="163" spans="1:2" x14ac:dyDescent="0.2">
      <c r="A163" t="s">
        <v>17</v>
      </c>
      <c r="B163">
        <v>15.75</v>
      </c>
    </row>
    <row r="164" spans="1:2" x14ac:dyDescent="0.2">
      <c r="A164" t="s">
        <v>17</v>
      </c>
      <c r="B164">
        <v>17.399999999999999</v>
      </c>
    </row>
    <row r="165" spans="1:2" x14ac:dyDescent="0.2">
      <c r="A165" t="s">
        <v>17</v>
      </c>
      <c r="B165">
        <v>79.650000000000006</v>
      </c>
    </row>
    <row r="166" spans="1:2" x14ac:dyDescent="0.2">
      <c r="A166" t="s">
        <v>17</v>
      </c>
      <c r="B166">
        <v>39.6</v>
      </c>
    </row>
    <row r="167" spans="1:2" x14ac:dyDescent="0.2">
      <c r="A167" t="s">
        <v>17</v>
      </c>
      <c r="B167">
        <v>7.7750000000000004</v>
      </c>
    </row>
    <row r="168" spans="1:2" x14ac:dyDescent="0.2">
      <c r="A168" t="s">
        <v>17</v>
      </c>
      <c r="B168">
        <v>55</v>
      </c>
    </row>
    <row r="169" spans="1:2" x14ac:dyDescent="0.2">
      <c r="A169" t="s">
        <v>17</v>
      </c>
      <c r="B169">
        <v>27.9</v>
      </c>
    </row>
    <row r="170" spans="1:2" x14ac:dyDescent="0.2">
      <c r="A170" t="s">
        <v>17</v>
      </c>
      <c r="B170">
        <v>26</v>
      </c>
    </row>
    <row r="171" spans="1:2" x14ac:dyDescent="0.2">
      <c r="A171" t="s">
        <v>17</v>
      </c>
      <c r="B171">
        <v>31.274999999999999</v>
      </c>
    </row>
    <row r="172" spans="1:2" x14ac:dyDescent="0.2">
      <c r="A172" t="s">
        <v>17</v>
      </c>
      <c r="B172">
        <v>31.274999999999999</v>
      </c>
    </row>
    <row r="173" spans="1:2" x14ac:dyDescent="0.2">
      <c r="A173" t="s">
        <v>17</v>
      </c>
      <c r="B173">
        <v>71</v>
      </c>
    </row>
    <row r="174" spans="1:2" x14ac:dyDescent="0.2">
      <c r="A174" t="s">
        <v>17</v>
      </c>
      <c r="B174">
        <v>11.1333</v>
      </c>
    </row>
    <row r="175" spans="1:2" x14ac:dyDescent="0.2">
      <c r="A175" t="s">
        <v>17</v>
      </c>
      <c r="B175">
        <v>49.5</v>
      </c>
    </row>
    <row r="176" spans="1:2" x14ac:dyDescent="0.2">
      <c r="A176" t="s">
        <v>17</v>
      </c>
      <c r="B176">
        <v>106.425</v>
      </c>
    </row>
    <row r="177" spans="1:2" x14ac:dyDescent="0.2">
      <c r="A177" t="s">
        <v>17</v>
      </c>
      <c r="B177">
        <v>26.25</v>
      </c>
    </row>
    <row r="178" spans="1:2" x14ac:dyDescent="0.2">
      <c r="A178" t="s">
        <v>17</v>
      </c>
      <c r="B178">
        <v>8.6624999999999996</v>
      </c>
    </row>
    <row r="179" spans="1:2" x14ac:dyDescent="0.2">
      <c r="A179" t="s">
        <v>17</v>
      </c>
      <c r="B179">
        <v>28.712499999999999</v>
      </c>
    </row>
    <row r="180" spans="1:2" x14ac:dyDescent="0.2">
      <c r="A180" t="s">
        <v>17</v>
      </c>
      <c r="B180">
        <v>22.3583</v>
      </c>
    </row>
    <row r="181" spans="1:2" x14ac:dyDescent="0.2">
      <c r="A181" t="s">
        <v>17</v>
      </c>
      <c r="B181">
        <v>26</v>
      </c>
    </row>
    <row r="182" spans="1:2" x14ac:dyDescent="0.2">
      <c r="A182" t="s">
        <v>17</v>
      </c>
      <c r="B182">
        <v>69.55</v>
      </c>
    </row>
    <row r="183" spans="1:2" x14ac:dyDescent="0.2">
      <c r="A183" t="s">
        <v>17</v>
      </c>
      <c r="B183">
        <v>10.5</v>
      </c>
    </row>
    <row r="184" spans="1:2" x14ac:dyDescent="0.2">
      <c r="A184" t="s">
        <v>17</v>
      </c>
      <c r="B184">
        <v>57.979199999999999</v>
      </c>
    </row>
    <row r="185" spans="1:2" x14ac:dyDescent="0.2">
      <c r="A185" t="s">
        <v>17</v>
      </c>
      <c r="B185">
        <v>93.5</v>
      </c>
    </row>
    <row r="186" spans="1:2" x14ac:dyDescent="0.2">
      <c r="A186" t="s">
        <v>17</v>
      </c>
      <c r="B186">
        <v>22.024999999999999</v>
      </c>
    </row>
    <row r="187" spans="1:2" x14ac:dyDescent="0.2">
      <c r="A187" t="s">
        <v>17</v>
      </c>
      <c r="B187">
        <v>26</v>
      </c>
    </row>
    <row r="188" spans="1:2" x14ac:dyDescent="0.2">
      <c r="A188" t="s">
        <v>17</v>
      </c>
      <c r="B188">
        <v>15.5</v>
      </c>
    </row>
    <row r="189" spans="1:2" x14ac:dyDescent="0.2">
      <c r="A189" t="s">
        <v>17</v>
      </c>
      <c r="B189">
        <v>10.5</v>
      </c>
    </row>
    <row r="190" spans="1:2" x14ac:dyDescent="0.2">
      <c r="A190" t="s">
        <v>17</v>
      </c>
      <c r="B190">
        <v>59.4</v>
      </c>
    </row>
    <row r="191" spans="1:2" x14ac:dyDescent="0.2">
      <c r="A191" t="s">
        <v>17</v>
      </c>
      <c r="B191">
        <v>26</v>
      </c>
    </row>
    <row r="192" spans="1:2" x14ac:dyDescent="0.2">
      <c r="A192" t="s">
        <v>17</v>
      </c>
      <c r="B192">
        <v>13</v>
      </c>
    </row>
    <row r="193" spans="1:2" x14ac:dyDescent="0.2">
      <c r="A193" t="s">
        <v>17</v>
      </c>
      <c r="B193">
        <v>86.5</v>
      </c>
    </row>
    <row r="194" spans="1:2" x14ac:dyDescent="0.2">
      <c r="A194" t="s">
        <v>17</v>
      </c>
      <c r="B194">
        <v>7.8541999999999996</v>
      </c>
    </row>
    <row r="195" spans="1:2" x14ac:dyDescent="0.2">
      <c r="A195" t="s">
        <v>17</v>
      </c>
      <c r="B195">
        <v>9.5875000000000004</v>
      </c>
    </row>
    <row r="196" spans="1:2" x14ac:dyDescent="0.2">
      <c r="A196" t="s">
        <v>17</v>
      </c>
      <c r="B196">
        <v>27.720800000000001</v>
      </c>
    </row>
    <row r="197" spans="1:2" x14ac:dyDescent="0.2">
      <c r="A197" t="s">
        <v>17</v>
      </c>
      <c r="B197">
        <v>146.52080000000001</v>
      </c>
    </row>
    <row r="198" spans="1:2" x14ac:dyDescent="0.2">
      <c r="A198" t="s">
        <v>17</v>
      </c>
      <c r="B198">
        <v>7.6292</v>
      </c>
    </row>
    <row r="199" spans="1:2" x14ac:dyDescent="0.2">
      <c r="A199" t="s">
        <v>17</v>
      </c>
      <c r="B199">
        <v>7.75</v>
      </c>
    </row>
    <row r="200" spans="1:2" x14ac:dyDescent="0.2">
      <c r="A200" t="s">
        <v>17</v>
      </c>
      <c r="B200">
        <v>7.75</v>
      </c>
    </row>
    <row r="201" spans="1:2" x14ac:dyDescent="0.2">
      <c r="A201" t="s">
        <v>17</v>
      </c>
      <c r="B201">
        <v>13</v>
      </c>
    </row>
    <row r="202" spans="1:2" x14ac:dyDescent="0.2">
      <c r="A202" t="s">
        <v>17</v>
      </c>
      <c r="B202">
        <v>151.55000000000001</v>
      </c>
    </row>
    <row r="203" spans="1:2" x14ac:dyDescent="0.2">
      <c r="A203" t="s">
        <v>17</v>
      </c>
      <c r="B203">
        <v>78.2667</v>
      </c>
    </row>
    <row r="204" spans="1:2" x14ac:dyDescent="0.2">
      <c r="A204" t="s">
        <v>17</v>
      </c>
      <c r="B204">
        <v>90</v>
      </c>
    </row>
    <row r="205" spans="1:2" x14ac:dyDescent="0.2">
      <c r="A205" t="s">
        <v>17</v>
      </c>
      <c r="B205">
        <v>25.466699999999999</v>
      </c>
    </row>
    <row r="206" spans="1:2" x14ac:dyDescent="0.2">
      <c r="A206" t="s">
        <v>17</v>
      </c>
      <c r="B206">
        <v>9.5875000000000004</v>
      </c>
    </row>
    <row r="207" spans="1:2" x14ac:dyDescent="0.2">
      <c r="A207" t="s">
        <v>17</v>
      </c>
      <c r="B207">
        <v>10.4625</v>
      </c>
    </row>
    <row r="208" spans="1:2" x14ac:dyDescent="0.2">
      <c r="A208" t="s">
        <v>17</v>
      </c>
      <c r="B208">
        <v>12.2875</v>
      </c>
    </row>
    <row r="209" spans="1:2" x14ac:dyDescent="0.2">
      <c r="A209" t="s">
        <v>17</v>
      </c>
      <c r="B209">
        <v>9.8375000000000004</v>
      </c>
    </row>
    <row r="210" spans="1:2" x14ac:dyDescent="0.2">
      <c r="A210" t="s">
        <v>17</v>
      </c>
      <c r="B210">
        <v>7.75</v>
      </c>
    </row>
    <row r="211" spans="1:2" x14ac:dyDescent="0.2">
      <c r="A211" t="s">
        <v>17</v>
      </c>
      <c r="B211">
        <v>13.791700000000001</v>
      </c>
    </row>
    <row r="212" spans="1:2" x14ac:dyDescent="0.2">
      <c r="A212" t="s">
        <v>17</v>
      </c>
      <c r="B212">
        <v>27.75</v>
      </c>
    </row>
    <row r="213" spans="1:2" x14ac:dyDescent="0.2">
      <c r="A213" t="s">
        <v>17</v>
      </c>
      <c r="B213">
        <v>21</v>
      </c>
    </row>
    <row r="214" spans="1:2" x14ac:dyDescent="0.2">
      <c r="A214" t="s">
        <v>17</v>
      </c>
      <c r="B214">
        <v>19.258299999999998</v>
      </c>
    </row>
    <row r="215" spans="1:2" x14ac:dyDescent="0.2">
      <c r="A215" t="s">
        <v>17</v>
      </c>
      <c r="B215">
        <v>10.5</v>
      </c>
    </row>
    <row r="216" spans="1:2" x14ac:dyDescent="0.2">
      <c r="A216" t="s">
        <v>17</v>
      </c>
      <c r="B216">
        <v>51.862499999999997</v>
      </c>
    </row>
    <row r="217" spans="1:2" x14ac:dyDescent="0.2">
      <c r="A217" t="s">
        <v>17</v>
      </c>
      <c r="B217">
        <v>113.27500000000001</v>
      </c>
    </row>
    <row r="218" spans="1:2" x14ac:dyDescent="0.2">
      <c r="A218" t="s">
        <v>17</v>
      </c>
      <c r="B218">
        <v>7.9249999999999998</v>
      </c>
    </row>
    <row r="219" spans="1:2" x14ac:dyDescent="0.2">
      <c r="A219" t="s">
        <v>17</v>
      </c>
      <c r="B219">
        <v>19.258299999999998</v>
      </c>
    </row>
    <row r="220" spans="1:2" x14ac:dyDescent="0.2">
      <c r="A220" t="s">
        <v>17</v>
      </c>
      <c r="B220">
        <v>76.291700000000006</v>
      </c>
    </row>
    <row r="221" spans="1:2" x14ac:dyDescent="0.2">
      <c r="A221" t="s">
        <v>17</v>
      </c>
      <c r="B221">
        <v>19.5</v>
      </c>
    </row>
    <row r="222" spans="1:2" x14ac:dyDescent="0.2">
      <c r="A222" t="s">
        <v>17</v>
      </c>
      <c r="B222">
        <v>13</v>
      </c>
    </row>
    <row r="223" spans="1:2" x14ac:dyDescent="0.2">
      <c r="A223" t="s">
        <v>17</v>
      </c>
      <c r="B223">
        <v>26.25</v>
      </c>
    </row>
    <row r="224" spans="1:2" x14ac:dyDescent="0.2">
      <c r="A224" t="s">
        <v>17</v>
      </c>
      <c r="B224">
        <v>18.75</v>
      </c>
    </row>
    <row r="225" spans="1:2" x14ac:dyDescent="0.2">
      <c r="A225" t="s">
        <v>17</v>
      </c>
      <c r="B225">
        <v>34.375</v>
      </c>
    </row>
    <row r="226" spans="1:2" x14ac:dyDescent="0.2">
      <c r="A226" t="s">
        <v>17</v>
      </c>
      <c r="B226">
        <v>120</v>
      </c>
    </row>
    <row r="227" spans="1:2" x14ac:dyDescent="0.2">
      <c r="A227" t="s">
        <v>17</v>
      </c>
      <c r="B227">
        <v>26</v>
      </c>
    </row>
    <row r="228" spans="1:2" x14ac:dyDescent="0.2">
      <c r="A228" t="s">
        <v>17</v>
      </c>
      <c r="B228">
        <v>16.100000000000001</v>
      </c>
    </row>
    <row r="229" spans="1:2" x14ac:dyDescent="0.2">
      <c r="A229" t="s">
        <v>17</v>
      </c>
      <c r="B229">
        <v>26</v>
      </c>
    </row>
    <row r="230" spans="1:2" x14ac:dyDescent="0.2">
      <c r="A230" t="s">
        <v>17</v>
      </c>
      <c r="B230">
        <v>26</v>
      </c>
    </row>
    <row r="231" spans="1:2" x14ac:dyDescent="0.2">
      <c r="A231" t="s">
        <v>17</v>
      </c>
      <c r="B231">
        <v>25.466699999999999</v>
      </c>
    </row>
    <row r="232" spans="1:2" x14ac:dyDescent="0.2">
      <c r="A232" t="s">
        <v>17</v>
      </c>
      <c r="B232">
        <v>83.474999999999994</v>
      </c>
    </row>
    <row r="233" spans="1:2" x14ac:dyDescent="0.2">
      <c r="A233" t="s">
        <v>17</v>
      </c>
      <c r="B233">
        <v>14.4</v>
      </c>
    </row>
    <row r="234" spans="1:2" x14ac:dyDescent="0.2">
      <c r="A234" t="s">
        <v>17</v>
      </c>
      <c r="B234">
        <v>24.15</v>
      </c>
    </row>
    <row r="235" spans="1:2" x14ac:dyDescent="0.2">
      <c r="A235" t="s">
        <v>17</v>
      </c>
      <c r="B235">
        <v>31.387499999999999</v>
      </c>
    </row>
    <row r="236" spans="1:2" x14ac:dyDescent="0.2">
      <c r="A236" t="s">
        <v>17</v>
      </c>
      <c r="B236">
        <v>13</v>
      </c>
    </row>
    <row r="237" spans="1:2" x14ac:dyDescent="0.2">
      <c r="A237" t="s">
        <v>17</v>
      </c>
      <c r="B237">
        <v>7.55</v>
      </c>
    </row>
    <row r="238" spans="1:2" x14ac:dyDescent="0.2">
      <c r="A238" t="s">
        <v>17</v>
      </c>
      <c r="B238">
        <v>32.5</v>
      </c>
    </row>
    <row r="239" spans="1:2" x14ac:dyDescent="0.2">
      <c r="A239" t="s">
        <v>17</v>
      </c>
      <c r="B239">
        <v>26.25</v>
      </c>
    </row>
    <row r="240" spans="1:2" x14ac:dyDescent="0.2">
      <c r="A240" t="s">
        <v>17</v>
      </c>
      <c r="B240">
        <v>8.0500000000000007</v>
      </c>
    </row>
    <row r="241" spans="1:2" x14ac:dyDescent="0.2">
      <c r="A241" t="s">
        <v>17</v>
      </c>
      <c r="B241">
        <v>90</v>
      </c>
    </row>
    <row r="242" spans="1:2" x14ac:dyDescent="0.2">
      <c r="A242" t="s">
        <v>17</v>
      </c>
      <c r="B242">
        <v>14.4542</v>
      </c>
    </row>
    <row r="243" spans="1:2" x14ac:dyDescent="0.2">
      <c r="A243" t="s">
        <v>17</v>
      </c>
      <c r="B243">
        <v>15.5</v>
      </c>
    </row>
    <row r="244" spans="1:2" x14ac:dyDescent="0.2">
      <c r="A244" t="s">
        <v>17</v>
      </c>
      <c r="B244">
        <v>25.466699999999999</v>
      </c>
    </row>
    <row r="245" spans="1:2" x14ac:dyDescent="0.2">
      <c r="A245" t="s">
        <v>17</v>
      </c>
      <c r="B245">
        <v>8.6624999999999996</v>
      </c>
    </row>
    <row r="246" spans="1:2" x14ac:dyDescent="0.2">
      <c r="A246" t="s">
        <v>17</v>
      </c>
      <c r="B246">
        <v>9.8249999999999993</v>
      </c>
    </row>
    <row r="247" spans="1:2" x14ac:dyDescent="0.2">
      <c r="A247" t="s">
        <v>17</v>
      </c>
      <c r="B247">
        <v>12.65</v>
      </c>
    </row>
    <row r="248" spans="1:2" x14ac:dyDescent="0.2">
      <c r="A248" t="s">
        <v>17</v>
      </c>
      <c r="B248">
        <v>7.7750000000000004</v>
      </c>
    </row>
    <row r="249" spans="1:2" x14ac:dyDescent="0.2">
      <c r="A249" t="s">
        <v>17</v>
      </c>
      <c r="B249">
        <v>14.5</v>
      </c>
    </row>
    <row r="250" spans="1:2" x14ac:dyDescent="0.2">
      <c r="A250" t="s">
        <v>17</v>
      </c>
      <c r="B250">
        <v>7.8541999999999996</v>
      </c>
    </row>
    <row r="251" spans="1:2" x14ac:dyDescent="0.2">
      <c r="A251" t="s">
        <v>17</v>
      </c>
      <c r="B251">
        <v>16.7</v>
      </c>
    </row>
    <row r="252" spans="1:2" x14ac:dyDescent="0.2">
      <c r="A252" t="s">
        <v>17</v>
      </c>
      <c r="B252">
        <v>113.27500000000001</v>
      </c>
    </row>
    <row r="253" spans="1:2" x14ac:dyDescent="0.2">
      <c r="A253" t="s">
        <v>17</v>
      </c>
      <c r="B253">
        <v>10.4625</v>
      </c>
    </row>
    <row r="254" spans="1:2" x14ac:dyDescent="0.2">
      <c r="A254" t="s">
        <v>17</v>
      </c>
      <c r="B254">
        <v>12</v>
      </c>
    </row>
    <row r="255" spans="1:2" x14ac:dyDescent="0.2">
      <c r="A255" t="s">
        <v>17</v>
      </c>
      <c r="B255">
        <v>13</v>
      </c>
    </row>
    <row r="256" spans="1:2" x14ac:dyDescent="0.2">
      <c r="A256" t="s">
        <v>17</v>
      </c>
      <c r="B256">
        <v>20.212499999999999</v>
      </c>
    </row>
    <row r="257" spans="1:2" x14ac:dyDescent="0.2">
      <c r="A257" t="s">
        <v>17</v>
      </c>
      <c r="B257">
        <v>15.245799999999999</v>
      </c>
    </row>
    <row r="258" spans="1:2" x14ac:dyDescent="0.2">
      <c r="A258" t="s">
        <v>17</v>
      </c>
      <c r="B258">
        <v>79.2</v>
      </c>
    </row>
    <row r="259" spans="1:2" x14ac:dyDescent="0.2">
      <c r="A259" t="s">
        <v>17</v>
      </c>
      <c r="B259">
        <v>86.5</v>
      </c>
    </row>
    <row r="260" spans="1:2" x14ac:dyDescent="0.2">
      <c r="A260" t="s">
        <v>17</v>
      </c>
      <c r="B260">
        <v>512.32920000000001</v>
      </c>
    </row>
    <row r="261" spans="1:2" x14ac:dyDescent="0.2">
      <c r="A261" t="s">
        <v>17</v>
      </c>
      <c r="B261">
        <v>26</v>
      </c>
    </row>
    <row r="262" spans="1:2" x14ac:dyDescent="0.2">
      <c r="A262" t="s">
        <v>17</v>
      </c>
      <c r="B262">
        <v>52</v>
      </c>
    </row>
    <row r="263" spans="1:2" x14ac:dyDescent="0.2">
      <c r="A263" t="s">
        <v>17</v>
      </c>
      <c r="B263">
        <v>15.7417</v>
      </c>
    </row>
    <row r="264" spans="1:2" x14ac:dyDescent="0.2">
      <c r="A264" t="s">
        <v>17</v>
      </c>
      <c r="B264">
        <v>227.52500000000001</v>
      </c>
    </row>
    <row r="265" spans="1:2" x14ac:dyDescent="0.2">
      <c r="A265" t="s">
        <v>17</v>
      </c>
      <c r="B265">
        <v>7.25</v>
      </c>
    </row>
    <row r="266" spans="1:2" x14ac:dyDescent="0.2">
      <c r="A266" t="s">
        <v>17</v>
      </c>
      <c r="B266">
        <v>7.75</v>
      </c>
    </row>
    <row r="267" spans="1:2" x14ac:dyDescent="0.2">
      <c r="A267" t="s">
        <v>17</v>
      </c>
      <c r="B267">
        <v>82.1708</v>
      </c>
    </row>
    <row r="268" spans="1:2" x14ac:dyDescent="0.2">
      <c r="A268" t="s">
        <v>17</v>
      </c>
      <c r="B268">
        <v>21.074999999999999</v>
      </c>
    </row>
    <row r="269" spans="1:2" x14ac:dyDescent="0.2">
      <c r="A269" t="s">
        <v>17</v>
      </c>
      <c r="B269">
        <v>69.3</v>
      </c>
    </row>
    <row r="270" spans="1:2" x14ac:dyDescent="0.2">
      <c r="A270" t="s">
        <v>17</v>
      </c>
      <c r="B270">
        <v>153.46250000000001</v>
      </c>
    </row>
    <row r="271" spans="1:2" x14ac:dyDescent="0.2">
      <c r="A271" t="s">
        <v>17</v>
      </c>
      <c r="B271">
        <v>135.63329999999999</v>
      </c>
    </row>
    <row r="272" spans="1:2" x14ac:dyDescent="0.2">
      <c r="A272" t="s">
        <v>17</v>
      </c>
      <c r="B272">
        <v>7.75</v>
      </c>
    </row>
    <row r="273" spans="1:2" x14ac:dyDescent="0.2">
      <c r="A273" t="s">
        <v>17</v>
      </c>
      <c r="B273">
        <v>7.2291999999999996</v>
      </c>
    </row>
    <row r="274" spans="1:2" x14ac:dyDescent="0.2">
      <c r="A274" t="s">
        <v>17</v>
      </c>
      <c r="B274">
        <v>19.5</v>
      </c>
    </row>
    <row r="275" spans="1:2" x14ac:dyDescent="0.2">
      <c r="A275" t="s">
        <v>17</v>
      </c>
      <c r="B275">
        <v>75.25</v>
      </c>
    </row>
    <row r="276" spans="1:2" x14ac:dyDescent="0.2">
      <c r="A276" t="s">
        <v>17</v>
      </c>
      <c r="B276">
        <v>7.75</v>
      </c>
    </row>
    <row r="277" spans="1:2" x14ac:dyDescent="0.2">
      <c r="A277" t="s">
        <v>17</v>
      </c>
      <c r="B277">
        <v>77.958299999999994</v>
      </c>
    </row>
    <row r="278" spans="1:2" x14ac:dyDescent="0.2">
      <c r="A278" t="s">
        <v>17</v>
      </c>
      <c r="B278">
        <v>7.75</v>
      </c>
    </row>
    <row r="279" spans="1:2" x14ac:dyDescent="0.2">
      <c r="A279" t="s">
        <v>17</v>
      </c>
      <c r="B279">
        <v>14.4542</v>
      </c>
    </row>
    <row r="280" spans="1:2" x14ac:dyDescent="0.2">
      <c r="A280" t="s">
        <v>17</v>
      </c>
      <c r="B280">
        <v>7.8792</v>
      </c>
    </row>
    <row r="281" spans="1:2" x14ac:dyDescent="0.2">
      <c r="A281" t="s">
        <v>17</v>
      </c>
      <c r="B281">
        <v>20.25</v>
      </c>
    </row>
    <row r="282" spans="1:2" x14ac:dyDescent="0.2">
      <c r="A282" t="s">
        <v>17</v>
      </c>
      <c r="B282">
        <v>7.8792</v>
      </c>
    </row>
    <row r="283" spans="1:2" x14ac:dyDescent="0.2">
      <c r="A283" t="s">
        <v>17</v>
      </c>
      <c r="B283">
        <v>13</v>
      </c>
    </row>
    <row r="284" spans="1:2" x14ac:dyDescent="0.2">
      <c r="A284" t="s">
        <v>17</v>
      </c>
      <c r="B284">
        <v>55</v>
      </c>
    </row>
    <row r="285" spans="1:2" x14ac:dyDescent="0.2">
      <c r="A285" t="s">
        <v>17</v>
      </c>
      <c r="B285">
        <v>16.100000000000001</v>
      </c>
    </row>
    <row r="286" spans="1:2" x14ac:dyDescent="0.2">
      <c r="A286" t="s">
        <v>17</v>
      </c>
      <c r="B286">
        <v>13</v>
      </c>
    </row>
    <row r="287" spans="1:2" x14ac:dyDescent="0.2">
      <c r="A287" t="s">
        <v>17</v>
      </c>
      <c r="B287">
        <v>13</v>
      </c>
    </row>
    <row r="288" spans="1:2" x14ac:dyDescent="0.2">
      <c r="A288" t="s">
        <v>17</v>
      </c>
      <c r="B288">
        <v>263</v>
      </c>
    </row>
    <row r="289" spans="1:2" x14ac:dyDescent="0.2">
      <c r="A289" t="s">
        <v>17</v>
      </c>
      <c r="B289">
        <v>134.5</v>
      </c>
    </row>
    <row r="290" spans="1:2" x14ac:dyDescent="0.2">
      <c r="A290" t="s">
        <v>17</v>
      </c>
      <c r="B290">
        <v>133.65</v>
      </c>
    </row>
    <row r="291" spans="1:2" x14ac:dyDescent="0.2">
      <c r="A291" t="s">
        <v>17</v>
      </c>
      <c r="B291">
        <v>7.75</v>
      </c>
    </row>
    <row r="292" spans="1:2" x14ac:dyDescent="0.2">
      <c r="A292" t="s">
        <v>17</v>
      </c>
      <c r="B292">
        <v>78.849999999999994</v>
      </c>
    </row>
    <row r="293" spans="1:2" x14ac:dyDescent="0.2">
      <c r="A293" t="s">
        <v>17</v>
      </c>
      <c r="B293">
        <v>91.0792</v>
      </c>
    </row>
    <row r="294" spans="1:2" x14ac:dyDescent="0.2">
      <c r="A294" t="s">
        <v>17</v>
      </c>
      <c r="B294">
        <v>23.25</v>
      </c>
    </row>
    <row r="295" spans="1:2" x14ac:dyDescent="0.2">
      <c r="A295" t="s">
        <v>17</v>
      </c>
      <c r="B295">
        <v>8.85</v>
      </c>
    </row>
    <row r="296" spans="1:2" x14ac:dyDescent="0.2">
      <c r="A296" t="s">
        <v>17</v>
      </c>
      <c r="B296">
        <v>57.979199999999999</v>
      </c>
    </row>
    <row r="297" spans="1:2" x14ac:dyDescent="0.2">
      <c r="A297" t="s">
        <v>17</v>
      </c>
      <c r="B297">
        <v>20.524999999999999</v>
      </c>
    </row>
    <row r="298" spans="1:2" x14ac:dyDescent="0.2">
      <c r="A298" t="s">
        <v>17</v>
      </c>
      <c r="B298">
        <v>13</v>
      </c>
    </row>
    <row r="299" spans="1:2" x14ac:dyDescent="0.2">
      <c r="A299" t="s">
        <v>17</v>
      </c>
      <c r="B299">
        <v>151.55000000000001</v>
      </c>
    </row>
    <row r="300" spans="1:2" x14ac:dyDescent="0.2">
      <c r="A300" t="s">
        <v>17</v>
      </c>
      <c r="B300">
        <v>135.63329999999999</v>
      </c>
    </row>
    <row r="301" spans="1:2" x14ac:dyDescent="0.2">
      <c r="A301" t="s">
        <v>17</v>
      </c>
      <c r="B301">
        <v>247.52080000000001</v>
      </c>
    </row>
    <row r="302" spans="1:2" x14ac:dyDescent="0.2">
      <c r="A302" t="s">
        <v>17</v>
      </c>
      <c r="B302">
        <v>7.75</v>
      </c>
    </row>
    <row r="303" spans="1:2" x14ac:dyDescent="0.2">
      <c r="A303" t="s">
        <v>17</v>
      </c>
      <c r="B303">
        <v>29</v>
      </c>
    </row>
    <row r="304" spans="1:2" x14ac:dyDescent="0.2">
      <c r="A304" t="s">
        <v>17</v>
      </c>
      <c r="B304">
        <v>12.35</v>
      </c>
    </row>
    <row r="305" spans="1:2" x14ac:dyDescent="0.2">
      <c r="A305" t="s">
        <v>17</v>
      </c>
      <c r="B305">
        <v>12.35</v>
      </c>
    </row>
    <row r="306" spans="1:2" x14ac:dyDescent="0.2">
      <c r="A306" t="s">
        <v>17</v>
      </c>
      <c r="B306">
        <v>134.5</v>
      </c>
    </row>
    <row r="307" spans="1:2" x14ac:dyDescent="0.2">
      <c r="A307" t="s">
        <v>17</v>
      </c>
      <c r="B307">
        <v>164.86670000000001</v>
      </c>
    </row>
    <row r="308" spans="1:2" x14ac:dyDescent="0.2">
      <c r="A308" t="s">
        <v>17</v>
      </c>
      <c r="B308">
        <v>110.88330000000001</v>
      </c>
    </row>
    <row r="309" spans="1:2" x14ac:dyDescent="0.2">
      <c r="A309" t="s">
        <v>17</v>
      </c>
      <c r="B309">
        <v>108.9</v>
      </c>
    </row>
    <row r="310" spans="1:2" x14ac:dyDescent="0.2">
      <c r="A310" t="s">
        <v>17</v>
      </c>
      <c r="B310">
        <v>26</v>
      </c>
    </row>
    <row r="311" spans="1:2" x14ac:dyDescent="0.2">
      <c r="A311" t="s">
        <v>17</v>
      </c>
      <c r="B311">
        <v>56.929200000000002</v>
      </c>
    </row>
    <row r="312" spans="1:2" x14ac:dyDescent="0.2">
      <c r="A312" t="s">
        <v>17</v>
      </c>
      <c r="B312">
        <v>83.158299999999997</v>
      </c>
    </row>
    <row r="313" spans="1:2" x14ac:dyDescent="0.2">
      <c r="A313" t="s">
        <v>17</v>
      </c>
      <c r="B313">
        <v>262.375</v>
      </c>
    </row>
    <row r="314" spans="1:2" x14ac:dyDescent="0.2">
      <c r="A314" t="s">
        <v>17</v>
      </c>
      <c r="B314">
        <v>26</v>
      </c>
    </row>
    <row r="315" spans="1:2" x14ac:dyDescent="0.2">
      <c r="A315" t="s">
        <v>17</v>
      </c>
      <c r="B315">
        <v>7.8541999999999996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26D43-6BFB-1941-96FE-434F46D26021}">
  <dimension ref="A1:B315"/>
  <sheetViews>
    <sheetView topLeftCell="A266" workbookViewId="0">
      <selection sqref="A1:B315"/>
    </sheetView>
  </sheetViews>
  <sheetFormatPr baseColWidth="10" defaultRowHeight="16" x14ac:dyDescent="0.2"/>
  <sheetData>
    <row r="1" spans="1:2" x14ac:dyDescent="0.2">
      <c r="A1" t="s">
        <v>4</v>
      </c>
      <c r="B1" t="s">
        <v>9</v>
      </c>
    </row>
    <row r="2" spans="1:2" x14ac:dyDescent="0.2">
      <c r="A2" t="s">
        <v>17</v>
      </c>
      <c r="B2">
        <v>23.45</v>
      </c>
    </row>
    <row r="3" spans="1:2" x14ac:dyDescent="0.2">
      <c r="A3" t="s">
        <v>17</v>
      </c>
      <c r="B3">
        <v>71.283299999999997</v>
      </c>
    </row>
    <row r="4" spans="1:2" x14ac:dyDescent="0.2">
      <c r="A4" t="s">
        <v>17</v>
      </c>
      <c r="B4">
        <v>7.9249999999999998</v>
      </c>
    </row>
    <row r="5" spans="1:2" x14ac:dyDescent="0.2">
      <c r="A5" t="s">
        <v>17</v>
      </c>
      <c r="B5">
        <v>53.1</v>
      </c>
    </row>
    <row r="6" spans="1:2" x14ac:dyDescent="0.2">
      <c r="A6" t="s">
        <v>17</v>
      </c>
      <c r="B6">
        <v>30</v>
      </c>
    </row>
    <row r="7" spans="1:2" x14ac:dyDescent="0.2">
      <c r="A7" t="s">
        <v>17</v>
      </c>
      <c r="B7">
        <v>29.125</v>
      </c>
    </row>
    <row r="8" spans="1:2" x14ac:dyDescent="0.2">
      <c r="A8" t="s">
        <v>17</v>
      </c>
      <c r="B8">
        <v>10.5167</v>
      </c>
    </row>
    <row r="9" spans="1:2" x14ac:dyDescent="0.2">
      <c r="A9" t="s">
        <v>17</v>
      </c>
      <c r="B9">
        <v>26</v>
      </c>
    </row>
    <row r="10" spans="1:2" x14ac:dyDescent="0.2">
      <c r="A10" t="s">
        <v>17</v>
      </c>
      <c r="B10">
        <v>11.1333</v>
      </c>
    </row>
    <row r="11" spans="1:2" x14ac:dyDescent="0.2">
      <c r="A11" t="s">
        <v>17</v>
      </c>
      <c r="B11">
        <v>30.070799999999998</v>
      </c>
    </row>
    <row r="12" spans="1:2" x14ac:dyDescent="0.2">
      <c r="A12" t="s">
        <v>17</v>
      </c>
      <c r="B12">
        <v>16.7</v>
      </c>
    </row>
    <row r="13" spans="1:2" x14ac:dyDescent="0.2">
      <c r="A13" t="s">
        <v>17</v>
      </c>
      <c r="B13">
        <v>26.55</v>
      </c>
    </row>
    <row r="14" spans="1:2" x14ac:dyDescent="0.2">
      <c r="A14" t="s">
        <v>17</v>
      </c>
      <c r="B14">
        <v>83.158299999999997</v>
      </c>
    </row>
    <row r="15" spans="1:2" x14ac:dyDescent="0.2">
      <c r="A15" t="s">
        <v>17</v>
      </c>
      <c r="B15">
        <v>7.2249999999999996</v>
      </c>
    </row>
    <row r="16" spans="1:2" x14ac:dyDescent="0.2">
      <c r="A16" t="s">
        <v>17</v>
      </c>
      <c r="B16">
        <v>7.8541999999999996</v>
      </c>
    </row>
    <row r="17" spans="1:2" x14ac:dyDescent="0.2">
      <c r="A17" t="s">
        <v>17</v>
      </c>
      <c r="B17">
        <v>16</v>
      </c>
    </row>
    <row r="18" spans="1:2" x14ac:dyDescent="0.2">
      <c r="A18" t="s">
        <v>17</v>
      </c>
      <c r="B18">
        <v>24</v>
      </c>
    </row>
    <row r="19" spans="1:2" x14ac:dyDescent="0.2">
      <c r="A19" t="s">
        <v>17</v>
      </c>
      <c r="B19">
        <v>52.554200000000002</v>
      </c>
    </row>
    <row r="20" spans="1:2" x14ac:dyDescent="0.2">
      <c r="A20" t="s">
        <v>17</v>
      </c>
      <c r="B20">
        <v>18</v>
      </c>
    </row>
    <row r="21" spans="1:2" x14ac:dyDescent="0.2">
      <c r="A21" t="s">
        <v>17</v>
      </c>
      <c r="B21">
        <v>7.2249999999999996</v>
      </c>
    </row>
    <row r="22" spans="1:2" x14ac:dyDescent="0.2">
      <c r="A22" t="s">
        <v>17</v>
      </c>
      <c r="B22">
        <v>13.8583</v>
      </c>
    </row>
    <row r="23" spans="1:2" x14ac:dyDescent="0.2">
      <c r="A23" t="s">
        <v>17</v>
      </c>
      <c r="B23">
        <v>13</v>
      </c>
    </row>
    <row r="24" spans="1:2" x14ac:dyDescent="0.2">
      <c r="A24" t="s">
        <v>17</v>
      </c>
      <c r="B24">
        <v>8.0291999999999994</v>
      </c>
    </row>
    <row r="25" spans="1:2" x14ac:dyDescent="0.2">
      <c r="A25" t="s">
        <v>17</v>
      </c>
      <c r="B25">
        <v>69.55</v>
      </c>
    </row>
    <row r="26" spans="1:2" x14ac:dyDescent="0.2">
      <c r="A26" t="s">
        <v>17</v>
      </c>
      <c r="B26">
        <v>21.074999999999999</v>
      </c>
    </row>
    <row r="27" spans="1:2" x14ac:dyDescent="0.2">
      <c r="A27" t="s">
        <v>17</v>
      </c>
      <c r="B27">
        <v>31.387499999999999</v>
      </c>
    </row>
    <row r="28" spans="1:2" x14ac:dyDescent="0.2">
      <c r="A28" t="s">
        <v>17</v>
      </c>
      <c r="B28">
        <v>25.929200000000002</v>
      </c>
    </row>
    <row r="29" spans="1:2" x14ac:dyDescent="0.2">
      <c r="A29" t="s">
        <v>17</v>
      </c>
      <c r="B29">
        <v>19.258299999999998</v>
      </c>
    </row>
    <row r="30" spans="1:2" x14ac:dyDescent="0.2">
      <c r="A30" t="s">
        <v>17</v>
      </c>
      <c r="B30">
        <v>7.8792</v>
      </c>
    </row>
    <row r="31" spans="1:2" x14ac:dyDescent="0.2">
      <c r="A31" t="s">
        <v>17</v>
      </c>
      <c r="B31">
        <v>164.86670000000001</v>
      </c>
    </row>
    <row r="32" spans="1:2" x14ac:dyDescent="0.2">
      <c r="A32" t="s">
        <v>17</v>
      </c>
      <c r="B32">
        <v>9.35</v>
      </c>
    </row>
    <row r="33" spans="1:2" x14ac:dyDescent="0.2">
      <c r="A33" t="s">
        <v>17</v>
      </c>
      <c r="B33">
        <v>146.52080000000001</v>
      </c>
    </row>
    <row r="34" spans="1:2" x14ac:dyDescent="0.2">
      <c r="A34" t="s">
        <v>17</v>
      </c>
      <c r="B34">
        <v>7.75</v>
      </c>
    </row>
    <row r="35" spans="1:2" x14ac:dyDescent="0.2">
      <c r="A35" t="s">
        <v>17</v>
      </c>
      <c r="B35">
        <v>26</v>
      </c>
    </row>
    <row r="36" spans="1:2" x14ac:dyDescent="0.2">
      <c r="A36" t="s">
        <v>17</v>
      </c>
      <c r="B36">
        <v>39.4</v>
      </c>
    </row>
    <row r="37" spans="1:2" x14ac:dyDescent="0.2">
      <c r="A37" t="s">
        <v>17</v>
      </c>
      <c r="B37">
        <v>15.245799999999999</v>
      </c>
    </row>
    <row r="38" spans="1:2" x14ac:dyDescent="0.2">
      <c r="A38" t="s">
        <v>17</v>
      </c>
      <c r="B38">
        <v>89.104200000000006</v>
      </c>
    </row>
    <row r="39" spans="1:2" x14ac:dyDescent="0.2">
      <c r="A39" t="s">
        <v>17</v>
      </c>
      <c r="B39">
        <v>31</v>
      </c>
    </row>
    <row r="40" spans="1:2" x14ac:dyDescent="0.2">
      <c r="A40" t="s">
        <v>17</v>
      </c>
      <c r="B40">
        <v>18</v>
      </c>
    </row>
    <row r="41" spans="1:2" x14ac:dyDescent="0.2">
      <c r="A41" t="s">
        <v>17</v>
      </c>
      <c r="B41">
        <v>11.2417</v>
      </c>
    </row>
    <row r="42" spans="1:2" x14ac:dyDescent="0.2">
      <c r="A42" t="s">
        <v>17</v>
      </c>
      <c r="B42">
        <v>9.4749999999999996</v>
      </c>
    </row>
    <row r="43" spans="1:2" x14ac:dyDescent="0.2">
      <c r="A43" t="s">
        <v>17</v>
      </c>
      <c r="B43">
        <v>21</v>
      </c>
    </row>
    <row r="44" spans="1:2" x14ac:dyDescent="0.2">
      <c r="A44" t="s">
        <v>17</v>
      </c>
      <c r="B44">
        <v>83.158299999999997</v>
      </c>
    </row>
    <row r="45" spans="1:2" x14ac:dyDescent="0.2">
      <c r="A45" t="s">
        <v>17</v>
      </c>
      <c r="B45">
        <v>41.5792</v>
      </c>
    </row>
    <row r="46" spans="1:2" x14ac:dyDescent="0.2">
      <c r="A46" t="s">
        <v>17</v>
      </c>
      <c r="B46">
        <v>7.8792</v>
      </c>
    </row>
    <row r="47" spans="1:2" x14ac:dyDescent="0.2">
      <c r="A47" t="s">
        <v>17</v>
      </c>
      <c r="B47">
        <v>14.4542</v>
      </c>
    </row>
    <row r="48" spans="1:2" x14ac:dyDescent="0.2">
      <c r="A48" t="s">
        <v>17</v>
      </c>
      <c r="B48">
        <v>80</v>
      </c>
    </row>
    <row r="49" spans="1:2" x14ac:dyDescent="0.2">
      <c r="A49" t="s">
        <v>17</v>
      </c>
      <c r="B49">
        <v>7.75</v>
      </c>
    </row>
    <row r="50" spans="1:2" x14ac:dyDescent="0.2">
      <c r="A50" t="s">
        <v>17</v>
      </c>
      <c r="B50">
        <v>12.475</v>
      </c>
    </row>
    <row r="51" spans="1:2" x14ac:dyDescent="0.2">
      <c r="A51" t="s">
        <v>17</v>
      </c>
      <c r="B51">
        <v>17.8</v>
      </c>
    </row>
    <row r="52" spans="1:2" x14ac:dyDescent="0.2">
      <c r="A52" t="s">
        <v>17</v>
      </c>
      <c r="B52">
        <v>93.5</v>
      </c>
    </row>
    <row r="53" spans="1:2" x14ac:dyDescent="0.2">
      <c r="A53" t="s">
        <v>17</v>
      </c>
      <c r="B53">
        <v>7.9249999999999998</v>
      </c>
    </row>
    <row r="54" spans="1:2" x14ac:dyDescent="0.2">
      <c r="A54" t="s">
        <v>17</v>
      </c>
      <c r="B54">
        <v>76.729200000000006</v>
      </c>
    </row>
    <row r="55" spans="1:2" x14ac:dyDescent="0.2">
      <c r="A55" t="s">
        <v>17</v>
      </c>
      <c r="B55">
        <v>26</v>
      </c>
    </row>
    <row r="56" spans="1:2" x14ac:dyDescent="0.2">
      <c r="A56" t="s">
        <v>17</v>
      </c>
      <c r="B56">
        <v>31.274999999999999</v>
      </c>
    </row>
    <row r="57" spans="1:2" x14ac:dyDescent="0.2">
      <c r="A57" t="s">
        <v>17</v>
      </c>
      <c r="B57">
        <v>53.1</v>
      </c>
    </row>
    <row r="58" spans="1:2" x14ac:dyDescent="0.2">
      <c r="A58" t="s">
        <v>17</v>
      </c>
      <c r="B58">
        <v>10.5</v>
      </c>
    </row>
    <row r="59" spans="1:2" x14ac:dyDescent="0.2">
      <c r="A59" t="s">
        <v>17</v>
      </c>
      <c r="B59">
        <v>7.7750000000000004</v>
      </c>
    </row>
    <row r="60" spans="1:2" x14ac:dyDescent="0.2">
      <c r="A60" t="s">
        <v>17</v>
      </c>
      <c r="B60">
        <v>27.75</v>
      </c>
    </row>
    <row r="61" spans="1:2" x14ac:dyDescent="0.2">
      <c r="A61" t="s">
        <v>17</v>
      </c>
      <c r="B61">
        <v>26.25</v>
      </c>
    </row>
    <row r="62" spans="1:2" x14ac:dyDescent="0.2">
      <c r="A62" t="s">
        <v>17</v>
      </c>
      <c r="B62">
        <v>24.15</v>
      </c>
    </row>
    <row r="63" spans="1:2" x14ac:dyDescent="0.2">
      <c r="A63" t="s">
        <v>17</v>
      </c>
      <c r="B63">
        <v>80</v>
      </c>
    </row>
    <row r="64" spans="1:2" x14ac:dyDescent="0.2">
      <c r="A64" t="s">
        <v>17</v>
      </c>
      <c r="B64">
        <v>8.6832999999999991</v>
      </c>
    </row>
    <row r="65" spans="1:2" x14ac:dyDescent="0.2">
      <c r="A65" t="s">
        <v>17</v>
      </c>
      <c r="B65">
        <v>25.929200000000002</v>
      </c>
    </row>
    <row r="66" spans="1:2" x14ac:dyDescent="0.2">
      <c r="A66" t="s">
        <v>17</v>
      </c>
      <c r="B66">
        <v>69.55</v>
      </c>
    </row>
    <row r="67" spans="1:2" x14ac:dyDescent="0.2">
      <c r="A67" t="s">
        <v>17</v>
      </c>
      <c r="B67">
        <v>7.4958</v>
      </c>
    </row>
    <row r="68" spans="1:2" x14ac:dyDescent="0.2">
      <c r="A68" t="s">
        <v>17</v>
      </c>
      <c r="B68">
        <v>10.5</v>
      </c>
    </row>
    <row r="69" spans="1:2" x14ac:dyDescent="0.2">
      <c r="A69" t="s">
        <v>17</v>
      </c>
      <c r="B69">
        <v>57</v>
      </c>
    </row>
    <row r="70" spans="1:2" x14ac:dyDescent="0.2">
      <c r="A70" t="s">
        <v>17</v>
      </c>
      <c r="B70">
        <v>7.9249999999999998</v>
      </c>
    </row>
    <row r="71" spans="1:2" x14ac:dyDescent="0.2">
      <c r="A71" t="s">
        <v>17</v>
      </c>
      <c r="B71">
        <v>7.2291999999999996</v>
      </c>
    </row>
    <row r="72" spans="1:2" x14ac:dyDescent="0.2">
      <c r="A72" t="s">
        <v>17</v>
      </c>
      <c r="B72">
        <v>211.33750000000001</v>
      </c>
    </row>
    <row r="73" spans="1:2" x14ac:dyDescent="0.2">
      <c r="A73" t="s">
        <v>17</v>
      </c>
      <c r="B73">
        <v>46.9</v>
      </c>
    </row>
    <row r="74" spans="1:2" x14ac:dyDescent="0.2">
      <c r="A74" t="s">
        <v>17</v>
      </c>
      <c r="B74">
        <v>12.475</v>
      </c>
    </row>
    <row r="75" spans="1:2" x14ac:dyDescent="0.2">
      <c r="A75" t="s">
        <v>17</v>
      </c>
      <c r="B75">
        <v>23</v>
      </c>
    </row>
    <row r="76" spans="1:2" x14ac:dyDescent="0.2">
      <c r="A76" t="s">
        <v>17</v>
      </c>
      <c r="B76">
        <v>10.5</v>
      </c>
    </row>
    <row r="77" spans="1:2" x14ac:dyDescent="0.2">
      <c r="A77" t="s">
        <v>17</v>
      </c>
      <c r="B77">
        <v>7.75</v>
      </c>
    </row>
    <row r="78" spans="1:2" x14ac:dyDescent="0.2">
      <c r="A78" t="s">
        <v>17</v>
      </c>
      <c r="B78">
        <v>77.958299999999994</v>
      </c>
    </row>
    <row r="79" spans="1:2" x14ac:dyDescent="0.2">
      <c r="A79" t="s">
        <v>17</v>
      </c>
      <c r="B79">
        <v>120</v>
      </c>
    </row>
    <row r="80" spans="1:2" x14ac:dyDescent="0.2">
      <c r="A80" t="s">
        <v>17</v>
      </c>
      <c r="B80">
        <v>86.5</v>
      </c>
    </row>
    <row r="81" spans="1:2" x14ac:dyDescent="0.2">
      <c r="A81" t="s">
        <v>17</v>
      </c>
      <c r="B81">
        <v>12.475</v>
      </c>
    </row>
    <row r="82" spans="1:2" x14ac:dyDescent="0.2">
      <c r="A82" t="s">
        <v>17</v>
      </c>
      <c r="B82">
        <v>65</v>
      </c>
    </row>
    <row r="83" spans="1:2" x14ac:dyDescent="0.2">
      <c r="A83" t="s">
        <v>17</v>
      </c>
      <c r="B83">
        <v>23</v>
      </c>
    </row>
    <row r="84" spans="1:2" x14ac:dyDescent="0.2">
      <c r="A84" t="s">
        <v>17</v>
      </c>
      <c r="B84">
        <v>7.7874999999999996</v>
      </c>
    </row>
    <row r="85" spans="1:2" x14ac:dyDescent="0.2">
      <c r="A85" t="s">
        <v>17</v>
      </c>
      <c r="B85">
        <v>13</v>
      </c>
    </row>
    <row r="86" spans="1:2" x14ac:dyDescent="0.2">
      <c r="A86" t="s">
        <v>17</v>
      </c>
      <c r="B86">
        <v>10.5</v>
      </c>
    </row>
    <row r="87" spans="1:2" x14ac:dyDescent="0.2">
      <c r="A87" t="s">
        <v>17</v>
      </c>
      <c r="B87">
        <v>15.85</v>
      </c>
    </row>
    <row r="88" spans="1:2" x14ac:dyDescent="0.2">
      <c r="A88" t="s">
        <v>17</v>
      </c>
      <c r="B88">
        <v>262.375</v>
      </c>
    </row>
    <row r="89" spans="1:2" x14ac:dyDescent="0.2">
      <c r="A89" t="s">
        <v>17</v>
      </c>
      <c r="B89">
        <v>34.375</v>
      </c>
    </row>
    <row r="90" spans="1:2" x14ac:dyDescent="0.2">
      <c r="A90" t="s">
        <v>17</v>
      </c>
      <c r="B90">
        <v>263</v>
      </c>
    </row>
    <row r="91" spans="1:2" x14ac:dyDescent="0.2">
      <c r="A91" t="s">
        <v>17</v>
      </c>
      <c r="B91">
        <v>211.33750000000001</v>
      </c>
    </row>
    <row r="92" spans="1:2" x14ac:dyDescent="0.2">
      <c r="A92" t="s">
        <v>17</v>
      </c>
      <c r="B92">
        <v>7.9249999999999998</v>
      </c>
    </row>
    <row r="93" spans="1:2" x14ac:dyDescent="0.2">
      <c r="A93" t="s">
        <v>17</v>
      </c>
      <c r="B93">
        <v>7.7374999999999998</v>
      </c>
    </row>
    <row r="94" spans="1:2" x14ac:dyDescent="0.2">
      <c r="A94" t="s">
        <v>17</v>
      </c>
      <c r="B94">
        <v>21</v>
      </c>
    </row>
    <row r="95" spans="1:2" x14ac:dyDescent="0.2">
      <c r="A95" t="s">
        <v>17</v>
      </c>
      <c r="B95">
        <v>33</v>
      </c>
    </row>
    <row r="96" spans="1:2" x14ac:dyDescent="0.2">
      <c r="A96" t="s">
        <v>17</v>
      </c>
      <c r="B96">
        <v>10.5</v>
      </c>
    </row>
    <row r="97" spans="1:2" x14ac:dyDescent="0.2">
      <c r="A97" t="s">
        <v>17</v>
      </c>
      <c r="B97">
        <v>227.52500000000001</v>
      </c>
    </row>
    <row r="98" spans="1:2" x14ac:dyDescent="0.2">
      <c r="A98" t="s">
        <v>17</v>
      </c>
      <c r="B98">
        <v>49.504199999999997</v>
      </c>
    </row>
    <row r="99" spans="1:2" x14ac:dyDescent="0.2">
      <c r="A99" t="s">
        <v>17</v>
      </c>
      <c r="B99">
        <v>151.55000000000001</v>
      </c>
    </row>
    <row r="100" spans="1:2" x14ac:dyDescent="0.2">
      <c r="A100" t="s">
        <v>17</v>
      </c>
      <c r="B100">
        <v>23</v>
      </c>
    </row>
    <row r="101" spans="1:2" x14ac:dyDescent="0.2">
      <c r="A101" t="s">
        <v>17</v>
      </c>
      <c r="B101">
        <v>13.5</v>
      </c>
    </row>
    <row r="102" spans="1:2" x14ac:dyDescent="0.2">
      <c r="A102" t="s">
        <v>17</v>
      </c>
      <c r="B102">
        <v>7.8958000000000004</v>
      </c>
    </row>
    <row r="103" spans="1:2" x14ac:dyDescent="0.2">
      <c r="A103" t="s">
        <v>17</v>
      </c>
      <c r="B103">
        <v>14.4542</v>
      </c>
    </row>
    <row r="104" spans="1:2" x14ac:dyDescent="0.2">
      <c r="A104" t="s">
        <v>17</v>
      </c>
      <c r="B104">
        <v>227.52500000000001</v>
      </c>
    </row>
    <row r="105" spans="1:2" x14ac:dyDescent="0.2">
      <c r="A105" t="s">
        <v>17</v>
      </c>
      <c r="B105">
        <v>7.7332999999999998</v>
      </c>
    </row>
    <row r="106" spans="1:2" x14ac:dyDescent="0.2">
      <c r="A106" t="s">
        <v>17</v>
      </c>
      <c r="B106">
        <v>13.416700000000001</v>
      </c>
    </row>
    <row r="107" spans="1:2" x14ac:dyDescent="0.2">
      <c r="A107" t="s">
        <v>17</v>
      </c>
      <c r="B107">
        <v>211.33750000000001</v>
      </c>
    </row>
    <row r="108" spans="1:2" x14ac:dyDescent="0.2">
      <c r="A108" t="s">
        <v>17</v>
      </c>
      <c r="B108">
        <v>7.65</v>
      </c>
    </row>
    <row r="109" spans="1:2" x14ac:dyDescent="0.2">
      <c r="A109" t="s">
        <v>17</v>
      </c>
      <c r="B109">
        <v>8.1374999999999993</v>
      </c>
    </row>
    <row r="110" spans="1:2" x14ac:dyDescent="0.2">
      <c r="A110" t="s">
        <v>17</v>
      </c>
      <c r="B110">
        <v>46.9</v>
      </c>
    </row>
    <row r="111" spans="1:2" x14ac:dyDescent="0.2">
      <c r="A111" t="s">
        <v>17</v>
      </c>
      <c r="B111">
        <v>24.15</v>
      </c>
    </row>
    <row r="112" spans="1:2" x14ac:dyDescent="0.2">
      <c r="A112" t="s">
        <v>17</v>
      </c>
      <c r="B112">
        <v>9.8416999999999994</v>
      </c>
    </row>
    <row r="113" spans="1:2" x14ac:dyDescent="0.2">
      <c r="A113" t="s">
        <v>17</v>
      </c>
      <c r="B113">
        <v>14.4542</v>
      </c>
    </row>
    <row r="114" spans="1:2" x14ac:dyDescent="0.2">
      <c r="A114" t="s">
        <v>17</v>
      </c>
      <c r="B114">
        <v>39</v>
      </c>
    </row>
    <row r="115" spans="1:2" x14ac:dyDescent="0.2">
      <c r="A115" t="s">
        <v>17</v>
      </c>
      <c r="B115">
        <v>9.8249999999999993</v>
      </c>
    </row>
    <row r="116" spans="1:2" x14ac:dyDescent="0.2">
      <c r="A116" t="s">
        <v>17</v>
      </c>
      <c r="B116">
        <v>14.458299999999999</v>
      </c>
    </row>
    <row r="117" spans="1:2" x14ac:dyDescent="0.2">
      <c r="A117" t="s">
        <v>17</v>
      </c>
      <c r="B117">
        <v>52</v>
      </c>
    </row>
    <row r="118" spans="1:2" x14ac:dyDescent="0.2">
      <c r="A118" t="s">
        <v>17</v>
      </c>
      <c r="B118">
        <v>15.5</v>
      </c>
    </row>
    <row r="119" spans="1:2" x14ac:dyDescent="0.2">
      <c r="A119" t="s">
        <v>17</v>
      </c>
      <c r="B119">
        <v>6.75</v>
      </c>
    </row>
    <row r="120" spans="1:2" x14ac:dyDescent="0.2">
      <c r="A120" t="s">
        <v>17</v>
      </c>
      <c r="B120">
        <v>7.8292000000000002</v>
      </c>
    </row>
    <row r="121" spans="1:2" x14ac:dyDescent="0.2">
      <c r="A121" t="s">
        <v>17</v>
      </c>
      <c r="B121">
        <v>31.274999999999999</v>
      </c>
    </row>
    <row r="122" spans="1:2" x14ac:dyDescent="0.2">
      <c r="A122" t="s">
        <v>17</v>
      </c>
      <c r="B122">
        <v>23</v>
      </c>
    </row>
    <row r="123" spans="1:2" x14ac:dyDescent="0.2">
      <c r="A123" t="s">
        <v>17</v>
      </c>
      <c r="B123">
        <v>7.55</v>
      </c>
    </row>
    <row r="124" spans="1:2" x14ac:dyDescent="0.2">
      <c r="A124" t="s">
        <v>17</v>
      </c>
      <c r="B124">
        <v>19.258299999999998</v>
      </c>
    </row>
    <row r="125" spans="1:2" x14ac:dyDescent="0.2">
      <c r="A125" t="s">
        <v>17</v>
      </c>
      <c r="B125">
        <v>13</v>
      </c>
    </row>
    <row r="126" spans="1:2" x14ac:dyDescent="0.2">
      <c r="A126" t="s">
        <v>17</v>
      </c>
      <c r="B126">
        <v>27.9</v>
      </c>
    </row>
    <row r="127" spans="1:2" x14ac:dyDescent="0.2">
      <c r="A127" t="s">
        <v>17</v>
      </c>
      <c r="B127">
        <v>69.3</v>
      </c>
    </row>
    <row r="128" spans="1:2" x14ac:dyDescent="0.2">
      <c r="A128" t="s">
        <v>17</v>
      </c>
      <c r="B128">
        <v>39.6875</v>
      </c>
    </row>
    <row r="129" spans="1:2" x14ac:dyDescent="0.2">
      <c r="A129" t="s">
        <v>17</v>
      </c>
      <c r="B129">
        <v>13</v>
      </c>
    </row>
    <row r="130" spans="1:2" x14ac:dyDescent="0.2">
      <c r="A130" t="s">
        <v>17</v>
      </c>
      <c r="B130">
        <v>22.3583</v>
      </c>
    </row>
    <row r="131" spans="1:2" x14ac:dyDescent="0.2">
      <c r="A131" t="s">
        <v>17</v>
      </c>
      <c r="B131">
        <v>27.9</v>
      </c>
    </row>
    <row r="132" spans="1:2" x14ac:dyDescent="0.2">
      <c r="A132" t="s">
        <v>17</v>
      </c>
      <c r="B132">
        <v>77.958299999999994</v>
      </c>
    </row>
    <row r="133" spans="1:2" x14ac:dyDescent="0.2">
      <c r="A133" t="s">
        <v>17</v>
      </c>
      <c r="B133">
        <v>39</v>
      </c>
    </row>
    <row r="134" spans="1:2" x14ac:dyDescent="0.2">
      <c r="A134" t="s">
        <v>17</v>
      </c>
      <c r="B134">
        <v>14.5</v>
      </c>
    </row>
    <row r="135" spans="1:2" x14ac:dyDescent="0.2">
      <c r="A135" t="s">
        <v>17</v>
      </c>
      <c r="B135">
        <v>26</v>
      </c>
    </row>
    <row r="136" spans="1:2" x14ac:dyDescent="0.2">
      <c r="A136" t="s">
        <v>17</v>
      </c>
      <c r="B136">
        <v>16.100000000000001</v>
      </c>
    </row>
    <row r="137" spans="1:2" x14ac:dyDescent="0.2">
      <c r="A137" t="s">
        <v>17</v>
      </c>
      <c r="B137">
        <v>65</v>
      </c>
    </row>
    <row r="138" spans="1:2" x14ac:dyDescent="0.2">
      <c r="A138" t="s">
        <v>17</v>
      </c>
      <c r="B138">
        <v>26.283300000000001</v>
      </c>
    </row>
    <row r="139" spans="1:2" x14ac:dyDescent="0.2">
      <c r="A139" t="s">
        <v>17</v>
      </c>
      <c r="B139">
        <v>15.5</v>
      </c>
    </row>
    <row r="140" spans="1:2" x14ac:dyDescent="0.2">
      <c r="A140" t="s">
        <v>17</v>
      </c>
      <c r="B140">
        <v>31.274999999999999</v>
      </c>
    </row>
    <row r="141" spans="1:2" x14ac:dyDescent="0.2">
      <c r="A141" t="s">
        <v>17</v>
      </c>
      <c r="B141">
        <v>153.46250000000001</v>
      </c>
    </row>
    <row r="142" spans="1:2" x14ac:dyDescent="0.2">
      <c r="A142" t="s">
        <v>17</v>
      </c>
      <c r="B142">
        <v>15.245799999999999</v>
      </c>
    </row>
    <row r="143" spans="1:2" x14ac:dyDescent="0.2">
      <c r="A143" t="s">
        <v>17</v>
      </c>
      <c r="B143">
        <v>7.75</v>
      </c>
    </row>
    <row r="144" spans="1:2" x14ac:dyDescent="0.2">
      <c r="A144" t="s">
        <v>17</v>
      </c>
      <c r="B144">
        <v>15.85</v>
      </c>
    </row>
    <row r="145" spans="1:2" x14ac:dyDescent="0.2">
      <c r="A145" t="s">
        <v>17</v>
      </c>
      <c r="B145">
        <v>41.5792</v>
      </c>
    </row>
    <row r="146" spans="1:2" x14ac:dyDescent="0.2">
      <c r="A146" t="s">
        <v>17</v>
      </c>
      <c r="B146">
        <v>27</v>
      </c>
    </row>
    <row r="147" spans="1:2" x14ac:dyDescent="0.2">
      <c r="A147" t="s">
        <v>17</v>
      </c>
      <c r="B147">
        <v>33</v>
      </c>
    </row>
    <row r="148" spans="1:2" x14ac:dyDescent="0.2">
      <c r="A148" t="s">
        <v>17</v>
      </c>
      <c r="B148">
        <v>7.75</v>
      </c>
    </row>
    <row r="149" spans="1:2" x14ac:dyDescent="0.2">
      <c r="A149" t="s">
        <v>17</v>
      </c>
      <c r="B149">
        <v>34.375</v>
      </c>
    </row>
    <row r="150" spans="1:2" x14ac:dyDescent="0.2">
      <c r="A150" t="s">
        <v>17</v>
      </c>
      <c r="B150">
        <v>78.2667</v>
      </c>
    </row>
    <row r="151" spans="1:2" x14ac:dyDescent="0.2">
      <c r="A151" t="s">
        <v>17</v>
      </c>
      <c r="B151">
        <v>79.650000000000006</v>
      </c>
    </row>
    <row r="152" spans="1:2" x14ac:dyDescent="0.2">
      <c r="A152" t="s">
        <v>17</v>
      </c>
      <c r="B152">
        <v>110.88330000000001</v>
      </c>
    </row>
    <row r="153" spans="1:2" x14ac:dyDescent="0.2">
      <c r="A153" t="s">
        <v>17</v>
      </c>
      <c r="B153">
        <v>66.599999999999994</v>
      </c>
    </row>
    <row r="154" spans="1:2" x14ac:dyDescent="0.2">
      <c r="A154" t="s">
        <v>17</v>
      </c>
      <c r="B154">
        <v>30</v>
      </c>
    </row>
    <row r="155" spans="1:2" x14ac:dyDescent="0.2">
      <c r="A155" t="s">
        <v>17</v>
      </c>
      <c r="B155">
        <v>14.458299999999999</v>
      </c>
    </row>
    <row r="156" spans="1:2" x14ac:dyDescent="0.2">
      <c r="A156" t="s">
        <v>17</v>
      </c>
      <c r="B156">
        <v>55.9</v>
      </c>
    </row>
    <row r="157" spans="1:2" x14ac:dyDescent="0.2">
      <c r="A157" t="s">
        <v>17</v>
      </c>
      <c r="B157">
        <v>13</v>
      </c>
    </row>
    <row r="158" spans="1:2" x14ac:dyDescent="0.2">
      <c r="A158" t="s">
        <v>17</v>
      </c>
      <c r="B158">
        <v>7.7332999999999998</v>
      </c>
    </row>
    <row r="159" spans="1:2" x14ac:dyDescent="0.2">
      <c r="A159" t="s">
        <v>17</v>
      </c>
      <c r="B159">
        <v>7.75</v>
      </c>
    </row>
    <row r="160" spans="1:2" x14ac:dyDescent="0.2">
      <c r="A160" t="s">
        <v>17</v>
      </c>
      <c r="B160">
        <v>51.479199999999999</v>
      </c>
    </row>
    <row r="161" spans="1:2" x14ac:dyDescent="0.2">
      <c r="A161" t="s">
        <v>17</v>
      </c>
      <c r="B161">
        <v>21.074999999999999</v>
      </c>
    </row>
    <row r="162" spans="1:2" x14ac:dyDescent="0.2">
      <c r="A162" t="s">
        <v>17</v>
      </c>
      <c r="B162">
        <v>8.0500000000000007</v>
      </c>
    </row>
    <row r="163" spans="1:2" x14ac:dyDescent="0.2">
      <c r="A163" t="s">
        <v>17</v>
      </c>
      <c r="B163">
        <v>15.75</v>
      </c>
    </row>
    <row r="164" spans="1:2" x14ac:dyDescent="0.2">
      <c r="A164" t="s">
        <v>17</v>
      </c>
      <c r="B164">
        <v>17.399999999999999</v>
      </c>
    </row>
    <row r="165" spans="1:2" x14ac:dyDescent="0.2">
      <c r="A165" t="s">
        <v>17</v>
      </c>
      <c r="B165">
        <v>79.650000000000006</v>
      </c>
    </row>
    <row r="166" spans="1:2" x14ac:dyDescent="0.2">
      <c r="A166" t="s">
        <v>17</v>
      </c>
      <c r="B166">
        <v>39.6</v>
      </c>
    </row>
    <row r="167" spans="1:2" x14ac:dyDescent="0.2">
      <c r="A167" t="s">
        <v>17</v>
      </c>
      <c r="B167">
        <v>7.7750000000000004</v>
      </c>
    </row>
    <row r="168" spans="1:2" x14ac:dyDescent="0.2">
      <c r="A168" t="s">
        <v>17</v>
      </c>
      <c r="B168">
        <v>55</v>
      </c>
    </row>
    <row r="169" spans="1:2" x14ac:dyDescent="0.2">
      <c r="A169" t="s">
        <v>17</v>
      </c>
      <c r="B169">
        <v>27.9</v>
      </c>
    </row>
    <row r="170" spans="1:2" x14ac:dyDescent="0.2">
      <c r="A170" t="s">
        <v>17</v>
      </c>
      <c r="B170">
        <v>26</v>
      </c>
    </row>
    <row r="171" spans="1:2" x14ac:dyDescent="0.2">
      <c r="A171" t="s">
        <v>17</v>
      </c>
      <c r="B171">
        <v>31.274999999999999</v>
      </c>
    </row>
    <row r="172" spans="1:2" x14ac:dyDescent="0.2">
      <c r="A172" t="s">
        <v>17</v>
      </c>
      <c r="B172">
        <v>31.274999999999999</v>
      </c>
    </row>
    <row r="173" spans="1:2" x14ac:dyDescent="0.2">
      <c r="A173" t="s">
        <v>17</v>
      </c>
      <c r="B173">
        <v>71</v>
      </c>
    </row>
    <row r="174" spans="1:2" x14ac:dyDescent="0.2">
      <c r="A174" t="s">
        <v>17</v>
      </c>
      <c r="B174">
        <v>11.1333</v>
      </c>
    </row>
    <row r="175" spans="1:2" x14ac:dyDescent="0.2">
      <c r="A175" t="s">
        <v>17</v>
      </c>
      <c r="B175">
        <v>49.5</v>
      </c>
    </row>
    <row r="176" spans="1:2" x14ac:dyDescent="0.2">
      <c r="A176" t="s">
        <v>17</v>
      </c>
      <c r="B176">
        <v>106.425</v>
      </c>
    </row>
    <row r="177" spans="1:2" x14ac:dyDescent="0.2">
      <c r="A177" t="s">
        <v>17</v>
      </c>
      <c r="B177">
        <v>26.25</v>
      </c>
    </row>
    <row r="178" spans="1:2" x14ac:dyDescent="0.2">
      <c r="A178" t="s">
        <v>17</v>
      </c>
      <c r="B178">
        <v>8.6624999999999996</v>
      </c>
    </row>
    <row r="179" spans="1:2" x14ac:dyDescent="0.2">
      <c r="A179" t="s">
        <v>17</v>
      </c>
      <c r="B179">
        <v>28.712499999999999</v>
      </c>
    </row>
    <row r="180" spans="1:2" x14ac:dyDescent="0.2">
      <c r="A180" t="s">
        <v>17</v>
      </c>
      <c r="B180">
        <v>22.3583</v>
      </c>
    </row>
    <row r="181" spans="1:2" x14ac:dyDescent="0.2">
      <c r="A181" t="s">
        <v>17</v>
      </c>
      <c r="B181">
        <v>26</v>
      </c>
    </row>
    <row r="182" spans="1:2" x14ac:dyDescent="0.2">
      <c r="A182" t="s">
        <v>17</v>
      </c>
      <c r="B182">
        <v>69.55</v>
      </c>
    </row>
    <row r="183" spans="1:2" x14ac:dyDescent="0.2">
      <c r="A183" t="s">
        <v>17</v>
      </c>
      <c r="B183">
        <v>10.5</v>
      </c>
    </row>
    <row r="184" spans="1:2" x14ac:dyDescent="0.2">
      <c r="A184" t="s">
        <v>17</v>
      </c>
      <c r="B184">
        <v>57.979199999999999</v>
      </c>
    </row>
    <row r="185" spans="1:2" x14ac:dyDescent="0.2">
      <c r="A185" t="s">
        <v>17</v>
      </c>
      <c r="B185">
        <v>93.5</v>
      </c>
    </row>
    <row r="186" spans="1:2" x14ac:dyDescent="0.2">
      <c r="A186" t="s">
        <v>17</v>
      </c>
      <c r="B186">
        <v>22.024999999999999</v>
      </c>
    </row>
    <row r="187" spans="1:2" x14ac:dyDescent="0.2">
      <c r="A187" t="s">
        <v>17</v>
      </c>
      <c r="B187">
        <v>26</v>
      </c>
    </row>
    <row r="188" spans="1:2" x14ac:dyDescent="0.2">
      <c r="A188" t="s">
        <v>17</v>
      </c>
      <c r="B188">
        <v>15.5</v>
      </c>
    </row>
    <row r="189" spans="1:2" x14ac:dyDescent="0.2">
      <c r="A189" t="s">
        <v>17</v>
      </c>
      <c r="B189">
        <v>10.5</v>
      </c>
    </row>
    <row r="190" spans="1:2" x14ac:dyDescent="0.2">
      <c r="A190" t="s">
        <v>17</v>
      </c>
      <c r="B190">
        <v>59.4</v>
      </c>
    </row>
    <row r="191" spans="1:2" x14ac:dyDescent="0.2">
      <c r="A191" t="s">
        <v>17</v>
      </c>
      <c r="B191">
        <v>26</v>
      </c>
    </row>
    <row r="192" spans="1:2" x14ac:dyDescent="0.2">
      <c r="A192" t="s">
        <v>17</v>
      </c>
      <c r="B192">
        <v>13</v>
      </c>
    </row>
    <row r="193" spans="1:2" x14ac:dyDescent="0.2">
      <c r="A193" t="s">
        <v>17</v>
      </c>
      <c r="B193">
        <v>86.5</v>
      </c>
    </row>
    <row r="194" spans="1:2" x14ac:dyDescent="0.2">
      <c r="A194" t="s">
        <v>17</v>
      </c>
      <c r="B194">
        <v>7.8541999999999996</v>
      </c>
    </row>
    <row r="195" spans="1:2" x14ac:dyDescent="0.2">
      <c r="A195" t="s">
        <v>17</v>
      </c>
      <c r="B195">
        <v>9.5875000000000004</v>
      </c>
    </row>
    <row r="196" spans="1:2" x14ac:dyDescent="0.2">
      <c r="A196" t="s">
        <v>17</v>
      </c>
      <c r="B196">
        <v>27.720800000000001</v>
      </c>
    </row>
    <row r="197" spans="1:2" x14ac:dyDescent="0.2">
      <c r="A197" t="s">
        <v>17</v>
      </c>
      <c r="B197">
        <v>146.52080000000001</v>
      </c>
    </row>
    <row r="198" spans="1:2" x14ac:dyDescent="0.2">
      <c r="A198" t="s">
        <v>17</v>
      </c>
      <c r="B198">
        <v>7.6292</v>
      </c>
    </row>
    <row r="199" spans="1:2" x14ac:dyDescent="0.2">
      <c r="A199" t="s">
        <v>17</v>
      </c>
      <c r="B199">
        <v>7.75</v>
      </c>
    </row>
    <row r="200" spans="1:2" x14ac:dyDescent="0.2">
      <c r="A200" t="s">
        <v>17</v>
      </c>
      <c r="B200">
        <v>7.75</v>
      </c>
    </row>
    <row r="201" spans="1:2" x14ac:dyDescent="0.2">
      <c r="A201" t="s">
        <v>17</v>
      </c>
      <c r="B201">
        <v>13</v>
      </c>
    </row>
    <row r="202" spans="1:2" x14ac:dyDescent="0.2">
      <c r="A202" t="s">
        <v>17</v>
      </c>
      <c r="B202">
        <v>151.55000000000001</v>
      </c>
    </row>
    <row r="203" spans="1:2" x14ac:dyDescent="0.2">
      <c r="A203" t="s">
        <v>17</v>
      </c>
      <c r="B203">
        <v>78.2667</v>
      </c>
    </row>
    <row r="204" spans="1:2" x14ac:dyDescent="0.2">
      <c r="A204" t="s">
        <v>17</v>
      </c>
      <c r="B204">
        <v>90</v>
      </c>
    </row>
    <row r="205" spans="1:2" x14ac:dyDescent="0.2">
      <c r="A205" t="s">
        <v>17</v>
      </c>
      <c r="B205">
        <v>25.466699999999999</v>
      </c>
    </row>
    <row r="206" spans="1:2" x14ac:dyDescent="0.2">
      <c r="A206" t="s">
        <v>17</v>
      </c>
      <c r="B206">
        <v>9.5875000000000004</v>
      </c>
    </row>
    <row r="207" spans="1:2" x14ac:dyDescent="0.2">
      <c r="A207" t="s">
        <v>17</v>
      </c>
      <c r="B207">
        <v>10.4625</v>
      </c>
    </row>
    <row r="208" spans="1:2" x14ac:dyDescent="0.2">
      <c r="A208" t="s">
        <v>17</v>
      </c>
      <c r="B208">
        <v>12.2875</v>
      </c>
    </row>
    <row r="209" spans="1:2" x14ac:dyDescent="0.2">
      <c r="A209" t="s">
        <v>17</v>
      </c>
      <c r="B209">
        <v>9.8375000000000004</v>
      </c>
    </row>
    <row r="210" spans="1:2" x14ac:dyDescent="0.2">
      <c r="A210" t="s">
        <v>17</v>
      </c>
      <c r="B210">
        <v>7.75</v>
      </c>
    </row>
    <row r="211" spans="1:2" x14ac:dyDescent="0.2">
      <c r="A211" t="s">
        <v>17</v>
      </c>
      <c r="B211">
        <v>13.791700000000001</v>
      </c>
    </row>
    <row r="212" spans="1:2" x14ac:dyDescent="0.2">
      <c r="A212" t="s">
        <v>17</v>
      </c>
      <c r="B212">
        <v>27.75</v>
      </c>
    </row>
    <row r="213" spans="1:2" x14ac:dyDescent="0.2">
      <c r="A213" t="s">
        <v>17</v>
      </c>
      <c r="B213">
        <v>21</v>
      </c>
    </row>
    <row r="214" spans="1:2" x14ac:dyDescent="0.2">
      <c r="A214" t="s">
        <v>17</v>
      </c>
      <c r="B214">
        <v>19.258299999999998</v>
      </c>
    </row>
    <row r="215" spans="1:2" x14ac:dyDescent="0.2">
      <c r="A215" t="s">
        <v>17</v>
      </c>
      <c r="B215">
        <v>10.5</v>
      </c>
    </row>
    <row r="216" spans="1:2" x14ac:dyDescent="0.2">
      <c r="A216" t="s">
        <v>17</v>
      </c>
      <c r="B216">
        <v>51.862499999999997</v>
      </c>
    </row>
    <row r="217" spans="1:2" x14ac:dyDescent="0.2">
      <c r="A217" t="s">
        <v>17</v>
      </c>
      <c r="B217">
        <v>113.27500000000001</v>
      </c>
    </row>
    <row r="218" spans="1:2" x14ac:dyDescent="0.2">
      <c r="A218" t="s">
        <v>17</v>
      </c>
      <c r="B218">
        <v>7.9249999999999998</v>
      </c>
    </row>
    <row r="219" spans="1:2" x14ac:dyDescent="0.2">
      <c r="A219" t="s">
        <v>17</v>
      </c>
      <c r="B219">
        <v>19.258299999999998</v>
      </c>
    </row>
    <row r="220" spans="1:2" x14ac:dyDescent="0.2">
      <c r="A220" t="s">
        <v>17</v>
      </c>
      <c r="B220">
        <v>76.291700000000006</v>
      </c>
    </row>
    <row r="221" spans="1:2" x14ac:dyDescent="0.2">
      <c r="A221" t="s">
        <v>17</v>
      </c>
      <c r="B221">
        <v>19.5</v>
      </c>
    </row>
    <row r="222" spans="1:2" x14ac:dyDescent="0.2">
      <c r="A222" t="s">
        <v>17</v>
      </c>
      <c r="B222">
        <v>13</v>
      </c>
    </row>
    <row r="223" spans="1:2" x14ac:dyDescent="0.2">
      <c r="A223" t="s">
        <v>17</v>
      </c>
      <c r="B223">
        <v>26.25</v>
      </c>
    </row>
    <row r="224" spans="1:2" x14ac:dyDescent="0.2">
      <c r="A224" t="s">
        <v>17</v>
      </c>
      <c r="B224">
        <v>18.75</v>
      </c>
    </row>
    <row r="225" spans="1:2" x14ac:dyDescent="0.2">
      <c r="A225" t="s">
        <v>17</v>
      </c>
      <c r="B225">
        <v>34.375</v>
      </c>
    </row>
    <row r="226" spans="1:2" x14ac:dyDescent="0.2">
      <c r="A226" t="s">
        <v>17</v>
      </c>
      <c r="B226">
        <v>120</v>
      </c>
    </row>
    <row r="227" spans="1:2" x14ac:dyDescent="0.2">
      <c r="A227" t="s">
        <v>17</v>
      </c>
      <c r="B227">
        <v>26</v>
      </c>
    </row>
    <row r="228" spans="1:2" x14ac:dyDescent="0.2">
      <c r="A228" t="s">
        <v>17</v>
      </c>
      <c r="B228">
        <v>16.100000000000001</v>
      </c>
    </row>
    <row r="229" spans="1:2" x14ac:dyDescent="0.2">
      <c r="A229" t="s">
        <v>17</v>
      </c>
      <c r="B229">
        <v>26</v>
      </c>
    </row>
    <row r="230" spans="1:2" x14ac:dyDescent="0.2">
      <c r="A230" t="s">
        <v>17</v>
      </c>
      <c r="B230">
        <v>26</v>
      </c>
    </row>
    <row r="231" spans="1:2" x14ac:dyDescent="0.2">
      <c r="A231" t="s">
        <v>17</v>
      </c>
      <c r="B231">
        <v>25.466699999999999</v>
      </c>
    </row>
    <row r="232" spans="1:2" x14ac:dyDescent="0.2">
      <c r="A232" t="s">
        <v>17</v>
      </c>
      <c r="B232">
        <v>83.474999999999994</v>
      </c>
    </row>
    <row r="233" spans="1:2" x14ac:dyDescent="0.2">
      <c r="A233" t="s">
        <v>17</v>
      </c>
      <c r="B233">
        <v>14.4</v>
      </c>
    </row>
    <row r="234" spans="1:2" x14ac:dyDescent="0.2">
      <c r="A234" t="s">
        <v>17</v>
      </c>
      <c r="B234">
        <v>24.15</v>
      </c>
    </row>
    <row r="235" spans="1:2" x14ac:dyDescent="0.2">
      <c r="A235" t="s">
        <v>17</v>
      </c>
      <c r="B235">
        <v>31.387499999999999</v>
      </c>
    </row>
    <row r="236" spans="1:2" x14ac:dyDescent="0.2">
      <c r="A236" t="s">
        <v>17</v>
      </c>
      <c r="B236">
        <v>13</v>
      </c>
    </row>
    <row r="237" spans="1:2" x14ac:dyDescent="0.2">
      <c r="A237" t="s">
        <v>17</v>
      </c>
      <c r="B237">
        <v>7.55</v>
      </c>
    </row>
    <row r="238" spans="1:2" x14ac:dyDescent="0.2">
      <c r="A238" t="s">
        <v>17</v>
      </c>
      <c r="B238">
        <v>32.5</v>
      </c>
    </row>
    <row r="239" spans="1:2" x14ac:dyDescent="0.2">
      <c r="A239" t="s">
        <v>17</v>
      </c>
      <c r="B239">
        <v>26.25</v>
      </c>
    </row>
    <row r="240" spans="1:2" x14ac:dyDescent="0.2">
      <c r="A240" t="s">
        <v>17</v>
      </c>
      <c r="B240">
        <v>8.0500000000000007</v>
      </c>
    </row>
    <row r="241" spans="1:2" x14ac:dyDescent="0.2">
      <c r="A241" t="s">
        <v>17</v>
      </c>
      <c r="B241">
        <v>90</v>
      </c>
    </row>
    <row r="242" spans="1:2" x14ac:dyDescent="0.2">
      <c r="A242" t="s">
        <v>17</v>
      </c>
      <c r="B242">
        <v>14.4542</v>
      </c>
    </row>
    <row r="243" spans="1:2" x14ac:dyDescent="0.2">
      <c r="A243" t="s">
        <v>17</v>
      </c>
      <c r="B243">
        <v>15.5</v>
      </c>
    </row>
    <row r="244" spans="1:2" x14ac:dyDescent="0.2">
      <c r="A244" t="s">
        <v>17</v>
      </c>
      <c r="B244">
        <v>25.466699999999999</v>
      </c>
    </row>
    <row r="245" spans="1:2" x14ac:dyDescent="0.2">
      <c r="A245" t="s">
        <v>17</v>
      </c>
      <c r="B245">
        <v>8.6624999999999996</v>
      </c>
    </row>
    <row r="246" spans="1:2" x14ac:dyDescent="0.2">
      <c r="A246" t="s">
        <v>17</v>
      </c>
      <c r="B246">
        <v>9.8249999999999993</v>
      </c>
    </row>
    <row r="247" spans="1:2" x14ac:dyDescent="0.2">
      <c r="A247" t="s">
        <v>17</v>
      </c>
      <c r="B247">
        <v>12.65</v>
      </c>
    </row>
    <row r="248" spans="1:2" x14ac:dyDescent="0.2">
      <c r="A248" t="s">
        <v>17</v>
      </c>
      <c r="B248">
        <v>7.7750000000000004</v>
      </c>
    </row>
    <row r="249" spans="1:2" x14ac:dyDescent="0.2">
      <c r="A249" t="s">
        <v>17</v>
      </c>
      <c r="B249">
        <v>14.5</v>
      </c>
    </row>
    <row r="250" spans="1:2" x14ac:dyDescent="0.2">
      <c r="A250" t="s">
        <v>17</v>
      </c>
      <c r="B250">
        <v>7.8541999999999996</v>
      </c>
    </row>
    <row r="251" spans="1:2" x14ac:dyDescent="0.2">
      <c r="A251" t="s">
        <v>17</v>
      </c>
      <c r="B251">
        <v>16.7</v>
      </c>
    </row>
    <row r="252" spans="1:2" x14ac:dyDescent="0.2">
      <c r="A252" t="s">
        <v>17</v>
      </c>
      <c r="B252">
        <v>113.27500000000001</v>
      </c>
    </row>
    <row r="253" spans="1:2" x14ac:dyDescent="0.2">
      <c r="A253" t="s">
        <v>17</v>
      </c>
      <c r="B253">
        <v>10.4625</v>
      </c>
    </row>
    <row r="254" spans="1:2" x14ac:dyDescent="0.2">
      <c r="A254" t="s">
        <v>17</v>
      </c>
      <c r="B254">
        <v>12</v>
      </c>
    </row>
    <row r="255" spans="1:2" x14ac:dyDescent="0.2">
      <c r="A255" t="s">
        <v>17</v>
      </c>
      <c r="B255">
        <v>13</v>
      </c>
    </row>
    <row r="256" spans="1:2" x14ac:dyDescent="0.2">
      <c r="A256" t="s">
        <v>17</v>
      </c>
      <c r="B256">
        <v>20.212499999999999</v>
      </c>
    </row>
    <row r="257" spans="1:2" x14ac:dyDescent="0.2">
      <c r="A257" t="s">
        <v>17</v>
      </c>
      <c r="B257">
        <v>15.245799999999999</v>
      </c>
    </row>
    <row r="258" spans="1:2" x14ac:dyDescent="0.2">
      <c r="A258" t="s">
        <v>17</v>
      </c>
      <c r="B258">
        <v>79.2</v>
      </c>
    </row>
    <row r="259" spans="1:2" x14ac:dyDescent="0.2">
      <c r="A259" t="s">
        <v>17</v>
      </c>
      <c r="B259">
        <v>86.5</v>
      </c>
    </row>
    <row r="260" spans="1:2" x14ac:dyDescent="0.2">
      <c r="A260" t="s">
        <v>17</v>
      </c>
      <c r="B260">
        <v>512.32920000000001</v>
      </c>
    </row>
    <row r="261" spans="1:2" x14ac:dyDescent="0.2">
      <c r="A261" t="s">
        <v>17</v>
      </c>
      <c r="B261">
        <v>26</v>
      </c>
    </row>
    <row r="262" spans="1:2" x14ac:dyDescent="0.2">
      <c r="A262" t="s">
        <v>17</v>
      </c>
      <c r="B262">
        <v>52</v>
      </c>
    </row>
    <row r="263" spans="1:2" x14ac:dyDescent="0.2">
      <c r="A263" t="s">
        <v>17</v>
      </c>
      <c r="B263">
        <v>15.7417</v>
      </c>
    </row>
    <row r="264" spans="1:2" x14ac:dyDescent="0.2">
      <c r="A264" t="s">
        <v>17</v>
      </c>
      <c r="B264">
        <v>227.52500000000001</v>
      </c>
    </row>
    <row r="265" spans="1:2" x14ac:dyDescent="0.2">
      <c r="A265" t="s">
        <v>17</v>
      </c>
      <c r="B265">
        <v>7.25</v>
      </c>
    </row>
    <row r="266" spans="1:2" x14ac:dyDescent="0.2">
      <c r="A266" t="s">
        <v>17</v>
      </c>
      <c r="B266">
        <v>7.75</v>
      </c>
    </row>
    <row r="267" spans="1:2" x14ac:dyDescent="0.2">
      <c r="A267" t="s">
        <v>17</v>
      </c>
      <c r="B267">
        <v>82.1708</v>
      </c>
    </row>
    <row r="268" spans="1:2" x14ac:dyDescent="0.2">
      <c r="A268" t="s">
        <v>17</v>
      </c>
      <c r="B268">
        <v>21.074999999999999</v>
      </c>
    </row>
    <row r="269" spans="1:2" x14ac:dyDescent="0.2">
      <c r="A269" t="s">
        <v>17</v>
      </c>
      <c r="B269">
        <v>69.3</v>
      </c>
    </row>
    <row r="270" spans="1:2" x14ac:dyDescent="0.2">
      <c r="A270" t="s">
        <v>17</v>
      </c>
      <c r="B270">
        <v>153.46250000000001</v>
      </c>
    </row>
    <row r="271" spans="1:2" x14ac:dyDescent="0.2">
      <c r="A271" t="s">
        <v>17</v>
      </c>
      <c r="B271">
        <v>135.63329999999999</v>
      </c>
    </row>
    <row r="272" spans="1:2" x14ac:dyDescent="0.2">
      <c r="A272" t="s">
        <v>17</v>
      </c>
      <c r="B272">
        <v>7.75</v>
      </c>
    </row>
    <row r="273" spans="1:2" x14ac:dyDescent="0.2">
      <c r="A273" t="s">
        <v>17</v>
      </c>
      <c r="B273">
        <v>7.2291999999999996</v>
      </c>
    </row>
    <row r="274" spans="1:2" x14ac:dyDescent="0.2">
      <c r="A274" t="s">
        <v>17</v>
      </c>
      <c r="B274">
        <v>19.5</v>
      </c>
    </row>
    <row r="275" spans="1:2" x14ac:dyDescent="0.2">
      <c r="A275" t="s">
        <v>17</v>
      </c>
      <c r="B275">
        <v>75.25</v>
      </c>
    </row>
    <row r="276" spans="1:2" x14ac:dyDescent="0.2">
      <c r="A276" t="s">
        <v>17</v>
      </c>
      <c r="B276">
        <v>7.75</v>
      </c>
    </row>
    <row r="277" spans="1:2" x14ac:dyDescent="0.2">
      <c r="A277" t="s">
        <v>17</v>
      </c>
      <c r="B277">
        <v>77.958299999999994</v>
      </c>
    </row>
    <row r="278" spans="1:2" x14ac:dyDescent="0.2">
      <c r="A278" t="s">
        <v>17</v>
      </c>
      <c r="B278">
        <v>7.75</v>
      </c>
    </row>
    <row r="279" spans="1:2" x14ac:dyDescent="0.2">
      <c r="A279" t="s">
        <v>17</v>
      </c>
      <c r="B279">
        <v>14.4542</v>
      </c>
    </row>
    <row r="280" spans="1:2" x14ac:dyDescent="0.2">
      <c r="A280" t="s">
        <v>17</v>
      </c>
      <c r="B280">
        <v>7.8792</v>
      </c>
    </row>
    <row r="281" spans="1:2" x14ac:dyDescent="0.2">
      <c r="A281" t="s">
        <v>17</v>
      </c>
      <c r="B281">
        <v>20.25</v>
      </c>
    </row>
    <row r="282" spans="1:2" x14ac:dyDescent="0.2">
      <c r="A282" t="s">
        <v>17</v>
      </c>
      <c r="B282">
        <v>7.8792</v>
      </c>
    </row>
    <row r="283" spans="1:2" x14ac:dyDescent="0.2">
      <c r="A283" t="s">
        <v>17</v>
      </c>
      <c r="B283">
        <v>13</v>
      </c>
    </row>
    <row r="284" spans="1:2" x14ac:dyDescent="0.2">
      <c r="A284" t="s">
        <v>17</v>
      </c>
      <c r="B284">
        <v>55</v>
      </c>
    </row>
    <row r="285" spans="1:2" x14ac:dyDescent="0.2">
      <c r="A285" t="s">
        <v>17</v>
      </c>
      <c r="B285">
        <v>16.100000000000001</v>
      </c>
    </row>
    <row r="286" spans="1:2" x14ac:dyDescent="0.2">
      <c r="A286" t="s">
        <v>17</v>
      </c>
      <c r="B286">
        <v>13</v>
      </c>
    </row>
    <row r="287" spans="1:2" x14ac:dyDescent="0.2">
      <c r="A287" t="s">
        <v>17</v>
      </c>
      <c r="B287">
        <v>13</v>
      </c>
    </row>
    <row r="288" spans="1:2" x14ac:dyDescent="0.2">
      <c r="A288" t="s">
        <v>17</v>
      </c>
      <c r="B288">
        <v>263</v>
      </c>
    </row>
    <row r="289" spans="1:2" x14ac:dyDescent="0.2">
      <c r="A289" t="s">
        <v>17</v>
      </c>
      <c r="B289">
        <v>134.5</v>
      </c>
    </row>
    <row r="290" spans="1:2" x14ac:dyDescent="0.2">
      <c r="A290" t="s">
        <v>17</v>
      </c>
      <c r="B290">
        <v>133.65</v>
      </c>
    </row>
    <row r="291" spans="1:2" x14ac:dyDescent="0.2">
      <c r="A291" t="s">
        <v>17</v>
      </c>
      <c r="B291">
        <v>7.75</v>
      </c>
    </row>
    <row r="292" spans="1:2" x14ac:dyDescent="0.2">
      <c r="A292" t="s">
        <v>17</v>
      </c>
      <c r="B292">
        <v>78.849999999999994</v>
      </c>
    </row>
    <row r="293" spans="1:2" x14ac:dyDescent="0.2">
      <c r="A293" t="s">
        <v>17</v>
      </c>
      <c r="B293">
        <v>91.0792</v>
      </c>
    </row>
    <row r="294" spans="1:2" x14ac:dyDescent="0.2">
      <c r="A294" t="s">
        <v>17</v>
      </c>
      <c r="B294">
        <v>23.25</v>
      </c>
    </row>
    <row r="295" spans="1:2" x14ac:dyDescent="0.2">
      <c r="A295" t="s">
        <v>17</v>
      </c>
      <c r="B295">
        <v>8.85</v>
      </c>
    </row>
    <row r="296" spans="1:2" x14ac:dyDescent="0.2">
      <c r="A296" t="s">
        <v>17</v>
      </c>
      <c r="B296">
        <v>57.979199999999999</v>
      </c>
    </row>
    <row r="297" spans="1:2" x14ac:dyDescent="0.2">
      <c r="A297" t="s">
        <v>17</v>
      </c>
      <c r="B297">
        <v>20.524999999999999</v>
      </c>
    </row>
    <row r="298" spans="1:2" x14ac:dyDescent="0.2">
      <c r="A298" t="s">
        <v>17</v>
      </c>
      <c r="B298">
        <v>13</v>
      </c>
    </row>
    <row r="299" spans="1:2" x14ac:dyDescent="0.2">
      <c r="A299" t="s">
        <v>17</v>
      </c>
      <c r="B299">
        <v>151.55000000000001</v>
      </c>
    </row>
    <row r="300" spans="1:2" x14ac:dyDescent="0.2">
      <c r="A300" t="s">
        <v>17</v>
      </c>
      <c r="B300">
        <v>135.63329999999999</v>
      </c>
    </row>
    <row r="301" spans="1:2" x14ac:dyDescent="0.2">
      <c r="A301" t="s">
        <v>17</v>
      </c>
      <c r="B301">
        <v>247.52080000000001</v>
      </c>
    </row>
    <row r="302" spans="1:2" x14ac:dyDescent="0.2">
      <c r="A302" t="s">
        <v>17</v>
      </c>
      <c r="B302">
        <v>7.75</v>
      </c>
    </row>
    <row r="303" spans="1:2" x14ac:dyDescent="0.2">
      <c r="A303" t="s">
        <v>17</v>
      </c>
      <c r="B303">
        <v>29</v>
      </c>
    </row>
    <row r="304" spans="1:2" x14ac:dyDescent="0.2">
      <c r="A304" t="s">
        <v>17</v>
      </c>
      <c r="B304">
        <v>12.35</v>
      </c>
    </row>
    <row r="305" spans="1:2" x14ac:dyDescent="0.2">
      <c r="A305" t="s">
        <v>17</v>
      </c>
      <c r="B305">
        <v>12.35</v>
      </c>
    </row>
    <row r="306" spans="1:2" x14ac:dyDescent="0.2">
      <c r="A306" t="s">
        <v>17</v>
      </c>
      <c r="B306">
        <v>134.5</v>
      </c>
    </row>
    <row r="307" spans="1:2" x14ac:dyDescent="0.2">
      <c r="A307" t="s">
        <v>17</v>
      </c>
      <c r="B307">
        <v>164.86670000000001</v>
      </c>
    </row>
    <row r="308" spans="1:2" x14ac:dyDescent="0.2">
      <c r="A308" t="s">
        <v>17</v>
      </c>
      <c r="B308">
        <v>110.88330000000001</v>
      </c>
    </row>
    <row r="309" spans="1:2" x14ac:dyDescent="0.2">
      <c r="A309" t="s">
        <v>17</v>
      </c>
      <c r="B309">
        <v>108.9</v>
      </c>
    </row>
    <row r="310" spans="1:2" x14ac:dyDescent="0.2">
      <c r="A310" t="s">
        <v>17</v>
      </c>
      <c r="B310">
        <v>26</v>
      </c>
    </row>
    <row r="311" spans="1:2" x14ac:dyDescent="0.2">
      <c r="A311" t="s">
        <v>17</v>
      </c>
      <c r="B311">
        <v>56.929200000000002</v>
      </c>
    </row>
    <row r="312" spans="1:2" x14ac:dyDescent="0.2">
      <c r="A312" t="s">
        <v>17</v>
      </c>
      <c r="B312">
        <v>83.158299999999997</v>
      </c>
    </row>
    <row r="313" spans="1:2" x14ac:dyDescent="0.2">
      <c r="A313" t="s">
        <v>17</v>
      </c>
      <c r="B313">
        <v>262.375</v>
      </c>
    </row>
    <row r="314" spans="1:2" x14ac:dyDescent="0.2">
      <c r="A314" t="s">
        <v>17</v>
      </c>
      <c r="B314">
        <v>26</v>
      </c>
    </row>
    <row r="315" spans="1:2" x14ac:dyDescent="0.2">
      <c r="A315" t="s">
        <v>17</v>
      </c>
      <c r="B315">
        <v>7.8541999999999996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90F03-F75B-634A-99DA-1E670A33FC36}">
  <dimension ref="A3:B7"/>
  <sheetViews>
    <sheetView topLeftCell="A2" zoomScale="261" workbookViewId="0">
      <selection activeCell="B4" sqref="B4"/>
    </sheetView>
  </sheetViews>
  <sheetFormatPr baseColWidth="10" defaultRowHeight="16" x14ac:dyDescent="0.2"/>
  <cols>
    <col min="1" max="1" width="13" bestFit="1" customWidth="1"/>
    <col min="2" max="2" width="14.33203125" bestFit="1" customWidth="1"/>
  </cols>
  <sheetData>
    <row r="3" spans="1:2" x14ac:dyDescent="0.2">
      <c r="A3" s="5" t="s">
        <v>1269</v>
      </c>
      <c r="B3" t="s">
        <v>1277</v>
      </c>
    </row>
    <row r="4" spans="1:2" x14ac:dyDescent="0.2">
      <c r="A4" s="6" t="s">
        <v>17</v>
      </c>
      <c r="B4">
        <v>44.479817834394872</v>
      </c>
    </row>
    <row r="5" spans="1:2" x14ac:dyDescent="0.2">
      <c r="A5" s="6" t="s">
        <v>13</v>
      </c>
      <c r="B5">
        <v>25.523893414211418</v>
      </c>
    </row>
    <row r="6" spans="1:2" x14ac:dyDescent="0.2">
      <c r="A6" s="6" t="s">
        <v>1270</v>
      </c>
    </row>
    <row r="7" spans="1:2" x14ac:dyDescent="0.2">
      <c r="A7" s="6" t="s">
        <v>1271</v>
      </c>
      <c r="B7">
        <v>32.204207968574543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4A136-F137-B14C-A8BB-DD5F23B4F8A6}">
  <dimension ref="A1:B315"/>
  <sheetViews>
    <sheetView workbookViewId="0">
      <selection sqref="A1:B315"/>
    </sheetView>
  </sheetViews>
  <sheetFormatPr baseColWidth="10" defaultRowHeight="16" x14ac:dyDescent="0.2"/>
  <sheetData>
    <row r="1" spans="1:2" x14ac:dyDescent="0.2">
      <c r="A1" t="s">
        <v>4</v>
      </c>
      <c r="B1" t="s">
        <v>9</v>
      </c>
    </row>
    <row r="2" spans="1:2" x14ac:dyDescent="0.2">
      <c r="A2" t="s">
        <v>17</v>
      </c>
      <c r="B2">
        <v>23.45</v>
      </c>
    </row>
    <row r="3" spans="1:2" x14ac:dyDescent="0.2">
      <c r="A3" t="s">
        <v>17</v>
      </c>
      <c r="B3">
        <v>71.283299999999997</v>
      </c>
    </row>
    <row r="4" spans="1:2" x14ac:dyDescent="0.2">
      <c r="A4" t="s">
        <v>17</v>
      </c>
      <c r="B4">
        <v>7.9249999999999998</v>
      </c>
    </row>
    <row r="5" spans="1:2" x14ac:dyDescent="0.2">
      <c r="A5" t="s">
        <v>17</v>
      </c>
      <c r="B5">
        <v>53.1</v>
      </c>
    </row>
    <row r="6" spans="1:2" x14ac:dyDescent="0.2">
      <c r="A6" t="s">
        <v>17</v>
      </c>
      <c r="B6">
        <v>30</v>
      </c>
    </row>
    <row r="7" spans="1:2" x14ac:dyDescent="0.2">
      <c r="A7" t="s">
        <v>17</v>
      </c>
      <c r="B7">
        <v>29.125</v>
      </c>
    </row>
    <row r="8" spans="1:2" x14ac:dyDescent="0.2">
      <c r="A8" t="s">
        <v>17</v>
      </c>
      <c r="B8">
        <v>10.5167</v>
      </c>
    </row>
    <row r="9" spans="1:2" x14ac:dyDescent="0.2">
      <c r="A9" t="s">
        <v>17</v>
      </c>
      <c r="B9">
        <v>26</v>
      </c>
    </row>
    <row r="10" spans="1:2" x14ac:dyDescent="0.2">
      <c r="A10" t="s">
        <v>17</v>
      </c>
      <c r="B10">
        <v>11.1333</v>
      </c>
    </row>
    <row r="11" spans="1:2" x14ac:dyDescent="0.2">
      <c r="A11" t="s">
        <v>17</v>
      </c>
      <c r="B11">
        <v>30.070799999999998</v>
      </c>
    </row>
    <row r="12" spans="1:2" x14ac:dyDescent="0.2">
      <c r="A12" t="s">
        <v>17</v>
      </c>
      <c r="B12">
        <v>16.7</v>
      </c>
    </row>
    <row r="13" spans="1:2" x14ac:dyDescent="0.2">
      <c r="A13" t="s">
        <v>17</v>
      </c>
      <c r="B13">
        <v>26.55</v>
      </c>
    </row>
    <row r="14" spans="1:2" x14ac:dyDescent="0.2">
      <c r="A14" t="s">
        <v>17</v>
      </c>
      <c r="B14">
        <v>83.158299999999997</v>
      </c>
    </row>
    <row r="15" spans="1:2" x14ac:dyDescent="0.2">
      <c r="A15" t="s">
        <v>17</v>
      </c>
      <c r="B15">
        <v>7.2249999999999996</v>
      </c>
    </row>
    <row r="16" spans="1:2" x14ac:dyDescent="0.2">
      <c r="A16" t="s">
        <v>17</v>
      </c>
      <c r="B16">
        <v>7.8541999999999996</v>
      </c>
    </row>
    <row r="17" spans="1:2" x14ac:dyDescent="0.2">
      <c r="A17" t="s">
        <v>17</v>
      </c>
      <c r="B17">
        <v>16</v>
      </c>
    </row>
    <row r="18" spans="1:2" x14ac:dyDescent="0.2">
      <c r="A18" t="s">
        <v>17</v>
      </c>
      <c r="B18">
        <v>24</v>
      </c>
    </row>
    <row r="19" spans="1:2" x14ac:dyDescent="0.2">
      <c r="A19" t="s">
        <v>17</v>
      </c>
      <c r="B19">
        <v>52.554200000000002</v>
      </c>
    </row>
    <row r="20" spans="1:2" x14ac:dyDescent="0.2">
      <c r="A20" t="s">
        <v>17</v>
      </c>
      <c r="B20">
        <v>18</v>
      </c>
    </row>
    <row r="21" spans="1:2" x14ac:dyDescent="0.2">
      <c r="A21" t="s">
        <v>17</v>
      </c>
      <c r="B21">
        <v>7.2249999999999996</v>
      </c>
    </row>
    <row r="22" spans="1:2" x14ac:dyDescent="0.2">
      <c r="A22" t="s">
        <v>17</v>
      </c>
      <c r="B22">
        <v>13.8583</v>
      </c>
    </row>
    <row r="23" spans="1:2" x14ac:dyDescent="0.2">
      <c r="A23" t="s">
        <v>17</v>
      </c>
      <c r="B23">
        <v>13</v>
      </c>
    </row>
    <row r="24" spans="1:2" x14ac:dyDescent="0.2">
      <c r="A24" t="s">
        <v>17</v>
      </c>
      <c r="B24">
        <v>8.0291999999999994</v>
      </c>
    </row>
    <row r="25" spans="1:2" x14ac:dyDescent="0.2">
      <c r="A25" t="s">
        <v>17</v>
      </c>
      <c r="B25">
        <v>69.55</v>
      </c>
    </row>
    <row r="26" spans="1:2" x14ac:dyDescent="0.2">
      <c r="A26" t="s">
        <v>17</v>
      </c>
      <c r="B26">
        <v>21.074999999999999</v>
      </c>
    </row>
    <row r="27" spans="1:2" x14ac:dyDescent="0.2">
      <c r="A27" t="s">
        <v>17</v>
      </c>
      <c r="B27">
        <v>31.387499999999999</v>
      </c>
    </row>
    <row r="28" spans="1:2" x14ac:dyDescent="0.2">
      <c r="A28" t="s">
        <v>17</v>
      </c>
      <c r="B28">
        <v>25.929200000000002</v>
      </c>
    </row>
    <row r="29" spans="1:2" x14ac:dyDescent="0.2">
      <c r="A29" t="s">
        <v>17</v>
      </c>
      <c r="B29">
        <v>19.258299999999998</v>
      </c>
    </row>
    <row r="30" spans="1:2" x14ac:dyDescent="0.2">
      <c r="A30" t="s">
        <v>17</v>
      </c>
      <c r="B30">
        <v>7.8792</v>
      </c>
    </row>
    <row r="31" spans="1:2" x14ac:dyDescent="0.2">
      <c r="A31" t="s">
        <v>17</v>
      </c>
      <c r="B31">
        <v>164.86670000000001</v>
      </c>
    </row>
    <row r="32" spans="1:2" x14ac:dyDescent="0.2">
      <c r="A32" t="s">
        <v>17</v>
      </c>
      <c r="B32">
        <v>9.35</v>
      </c>
    </row>
    <row r="33" spans="1:2" x14ac:dyDescent="0.2">
      <c r="A33" t="s">
        <v>17</v>
      </c>
      <c r="B33">
        <v>146.52080000000001</v>
      </c>
    </row>
    <row r="34" spans="1:2" x14ac:dyDescent="0.2">
      <c r="A34" t="s">
        <v>17</v>
      </c>
      <c r="B34">
        <v>7.75</v>
      </c>
    </row>
    <row r="35" spans="1:2" x14ac:dyDescent="0.2">
      <c r="A35" t="s">
        <v>17</v>
      </c>
      <c r="B35">
        <v>26</v>
      </c>
    </row>
    <row r="36" spans="1:2" x14ac:dyDescent="0.2">
      <c r="A36" t="s">
        <v>17</v>
      </c>
      <c r="B36">
        <v>39.4</v>
      </c>
    </row>
    <row r="37" spans="1:2" x14ac:dyDescent="0.2">
      <c r="A37" t="s">
        <v>17</v>
      </c>
      <c r="B37">
        <v>15.245799999999999</v>
      </c>
    </row>
    <row r="38" spans="1:2" x14ac:dyDescent="0.2">
      <c r="A38" t="s">
        <v>17</v>
      </c>
      <c r="B38">
        <v>89.104200000000006</v>
      </c>
    </row>
    <row r="39" spans="1:2" x14ac:dyDescent="0.2">
      <c r="A39" t="s">
        <v>17</v>
      </c>
      <c r="B39">
        <v>31</v>
      </c>
    </row>
    <row r="40" spans="1:2" x14ac:dyDescent="0.2">
      <c r="A40" t="s">
        <v>17</v>
      </c>
      <c r="B40">
        <v>18</v>
      </c>
    </row>
    <row r="41" spans="1:2" x14ac:dyDescent="0.2">
      <c r="A41" t="s">
        <v>17</v>
      </c>
      <c r="B41">
        <v>11.2417</v>
      </c>
    </row>
    <row r="42" spans="1:2" x14ac:dyDescent="0.2">
      <c r="A42" t="s">
        <v>17</v>
      </c>
      <c r="B42">
        <v>9.4749999999999996</v>
      </c>
    </row>
    <row r="43" spans="1:2" x14ac:dyDescent="0.2">
      <c r="A43" t="s">
        <v>17</v>
      </c>
      <c r="B43">
        <v>21</v>
      </c>
    </row>
    <row r="44" spans="1:2" x14ac:dyDescent="0.2">
      <c r="A44" t="s">
        <v>17</v>
      </c>
      <c r="B44">
        <v>83.158299999999997</v>
      </c>
    </row>
    <row r="45" spans="1:2" x14ac:dyDescent="0.2">
      <c r="A45" t="s">
        <v>17</v>
      </c>
      <c r="B45">
        <v>41.5792</v>
      </c>
    </row>
    <row r="46" spans="1:2" x14ac:dyDescent="0.2">
      <c r="A46" t="s">
        <v>17</v>
      </c>
      <c r="B46">
        <v>7.8792</v>
      </c>
    </row>
    <row r="47" spans="1:2" x14ac:dyDescent="0.2">
      <c r="A47" t="s">
        <v>17</v>
      </c>
      <c r="B47">
        <v>14.4542</v>
      </c>
    </row>
    <row r="48" spans="1:2" x14ac:dyDescent="0.2">
      <c r="A48" t="s">
        <v>17</v>
      </c>
      <c r="B48">
        <v>80</v>
      </c>
    </row>
    <row r="49" spans="1:2" x14ac:dyDescent="0.2">
      <c r="A49" t="s">
        <v>17</v>
      </c>
      <c r="B49">
        <v>7.75</v>
      </c>
    </row>
    <row r="50" spans="1:2" x14ac:dyDescent="0.2">
      <c r="A50" t="s">
        <v>17</v>
      </c>
      <c r="B50">
        <v>12.475</v>
      </c>
    </row>
    <row r="51" spans="1:2" x14ac:dyDescent="0.2">
      <c r="A51" t="s">
        <v>17</v>
      </c>
      <c r="B51">
        <v>17.8</v>
      </c>
    </row>
    <row r="52" spans="1:2" x14ac:dyDescent="0.2">
      <c r="A52" t="s">
        <v>17</v>
      </c>
      <c r="B52">
        <v>93.5</v>
      </c>
    </row>
    <row r="53" spans="1:2" x14ac:dyDescent="0.2">
      <c r="A53" t="s">
        <v>17</v>
      </c>
      <c r="B53">
        <v>7.9249999999999998</v>
      </c>
    </row>
    <row r="54" spans="1:2" x14ac:dyDescent="0.2">
      <c r="A54" t="s">
        <v>17</v>
      </c>
      <c r="B54">
        <v>76.729200000000006</v>
      </c>
    </row>
    <row r="55" spans="1:2" x14ac:dyDescent="0.2">
      <c r="A55" t="s">
        <v>17</v>
      </c>
      <c r="B55">
        <v>26</v>
      </c>
    </row>
    <row r="56" spans="1:2" x14ac:dyDescent="0.2">
      <c r="A56" t="s">
        <v>17</v>
      </c>
      <c r="B56">
        <v>31.274999999999999</v>
      </c>
    </row>
    <row r="57" spans="1:2" x14ac:dyDescent="0.2">
      <c r="A57" t="s">
        <v>17</v>
      </c>
      <c r="B57">
        <v>53.1</v>
      </c>
    </row>
    <row r="58" spans="1:2" x14ac:dyDescent="0.2">
      <c r="A58" t="s">
        <v>17</v>
      </c>
      <c r="B58">
        <v>10.5</v>
      </c>
    </row>
    <row r="59" spans="1:2" x14ac:dyDescent="0.2">
      <c r="A59" t="s">
        <v>17</v>
      </c>
      <c r="B59">
        <v>7.7750000000000004</v>
      </c>
    </row>
    <row r="60" spans="1:2" x14ac:dyDescent="0.2">
      <c r="A60" t="s">
        <v>17</v>
      </c>
      <c r="B60">
        <v>27.75</v>
      </c>
    </row>
    <row r="61" spans="1:2" x14ac:dyDescent="0.2">
      <c r="A61" t="s">
        <v>17</v>
      </c>
      <c r="B61">
        <v>26.25</v>
      </c>
    </row>
    <row r="62" spans="1:2" x14ac:dyDescent="0.2">
      <c r="A62" t="s">
        <v>17</v>
      </c>
      <c r="B62">
        <v>24.15</v>
      </c>
    </row>
    <row r="63" spans="1:2" x14ac:dyDescent="0.2">
      <c r="A63" t="s">
        <v>17</v>
      </c>
      <c r="B63">
        <v>80</v>
      </c>
    </row>
    <row r="64" spans="1:2" x14ac:dyDescent="0.2">
      <c r="A64" t="s">
        <v>17</v>
      </c>
      <c r="B64">
        <v>8.6832999999999991</v>
      </c>
    </row>
    <row r="65" spans="1:2" x14ac:dyDescent="0.2">
      <c r="A65" t="s">
        <v>17</v>
      </c>
      <c r="B65">
        <v>25.929200000000002</v>
      </c>
    </row>
    <row r="66" spans="1:2" x14ac:dyDescent="0.2">
      <c r="A66" t="s">
        <v>17</v>
      </c>
      <c r="B66">
        <v>69.55</v>
      </c>
    </row>
    <row r="67" spans="1:2" x14ac:dyDescent="0.2">
      <c r="A67" t="s">
        <v>17</v>
      </c>
      <c r="B67">
        <v>7.4958</v>
      </c>
    </row>
    <row r="68" spans="1:2" x14ac:dyDescent="0.2">
      <c r="A68" t="s">
        <v>17</v>
      </c>
      <c r="B68">
        <v>10.5</v>
      </c>
    </row>
    <row r="69" spans="1:2" x14ac:dyDescent="0.2">
      <c r="A69" t="s">
        <v>17</v>
      </c>
      <c r="B69">
        <v>57</v>
      </c>
    </row>
    <row r="70" spans="1:2" x14ac:dyDescent="0.2">
      <c r="A70" t="s">
        <v>17</v>
      </c>
      <c r="B70">
        <v>7.9249999999999998</v>
      </c>
    </row>
    <row r="71" spans="1:2" x14ac:dyDescent="0.2">
      <c r="A71" t="s">
        <v>17</v>
      </c>
      <c r="B71">
        <v>7.2291999999999996</v>
      </c>
    </row>
    <row r="72" spans="1:2" x14ac:dyDescent="0.2">
      <c r="A72" t="s">
        <v>17</v>
      </c>
      <c r="B72">
        <v>211.33750000000001</v>
      </c>
    </row>
    <row r="73" spans="1:2" x14ac:dyDescent="0.2">
      <c r="A73" t="s">
        <v>17</v>
      </c>
      <c r="B73">
        <v>46.9</v>
      </c>
    </row>
    <row r="74" spans="1:2" x14ac:dyDescent="0.2">
      <c r="A74" t="s">
        <v>17</v>
      </c>
      <c r="B74">
        <v>12.475</v>
      </c>
    </row>
    <row r="75" spans="1:2" x14ac:dyDescent="0.2">
      <c r="A75" t="s">
        <v>17</v>
      </c>
      <c r="B75">
        <v>23</v>
      </c>
    </row>
    <row r="76" spans="1:2" x14ac:dyDescent="0.2">
      <c r="A76" t="s">
        <v>17</v>
      </c>
      <c r="B76">
        <v>10.5</v>
      </c>
    </row>
    <row r="77" spans="1:2" x14ac:dyDescent="0.2">
      <c r="A77" t="s">
        <v>17</v>
      </c>
      <c r="B77">
        <v>7.75</v>
      </c>
    </row>
    <row r="78" spans="1:2" x14ac:dyDescent="0.2">
      <c r="A78" t="s">
        <v>17</v>
      </c>
      <c r="B78">
        <v>77.958299999999994</v>
      </c>
    </row>
    <row r="79" spans="1:2" x14ac:dyDescent="0.2">
      <c r="A79" t="s">
        <v>17</v>
      </c>
      <c r="B79">
        <v>120</v>
      </c>
    </row>
    <row r="80" spans="1:2" x14ac:dyDescent="0.2">
      <c r="A80" t="s">
        <v>17</v>
      </c>
      <c r="B80">
        <v>86.5</v>
      </c>
    </row>
    <row r="81" spans="1:2" x14ac:dyDescent="0.2">
      <c r="A81" t="s">
        <v>17</v>
      </c>
      <c r="B81">
        <v>12.475</v>
      </c>
    </row>
    <row r="82" spans="1:2" x14ac:dyDescent="0.2">
      <c r="A82" t="s">
        <v>17</v>
      </c>
      <c r="B82">
        <v>65</v>
      </c>
    </row>
    <row r="83" spans="1:2" x14ac:dyDescent="0.2">
      <c r="A83" t="s">
        <v>17</v>
      </c>
      <c r="B83">
        <v>23</v>
      </c>
    </row>
    <row r="84" spans="1:2" x14ac:dyDescent="0.2">
      <c r="A84" t="s">
        <v>17</v>
      </c>
      <c r="B84">
        <v>7.7874999999999996</v>
      </c>
    </row>
    <row r="85" spans="1:2" x14ac:dyDescent="0.2">
      <c r="A85" t="s">
        <v>17</v>
      </c>
      <c r="B85">
        <v>13</v>
      </c>
    </row>
    <row r="86" spans="1:2" x14ac:dyDescent="0.2">
      <c r="A86" t="s">
        <v>17</v>
      </c>
      <c r="B86">
        <v>10.5</v>
      </c>
    </row>
    <row r="87" spans="1:2" x14ac:dyDescent="0.2">
      <c r="A87" t="s">
        <v>17</v>
      </c>
      <c r="B87">
        <v>15.85</v>
      </c>
    </row>
    <row r="88" spans="1:2" x14ac:dyDescent="0.2">
      <c r="A88" t="s">
        <v>17</v>
      </c>
      <c r="B88">
        <v>262.375</v>
      </c>
    </row>
    <row r="89" spans="1:2" x14ac:dyDescent="0.2">
      <c r="A89" t="s">
        <v>17</v>
      </c>
      <c r="B89">
        <v>34.375</v>
      </c>
    </row>
    <row r="90" spans="1:2" x14ac:dyDescent="0.2">
      <c r="A90" t="s">
        <v>17</v>
      </c>
      <c r="B90">
        <v>263</v>
      </c>
    </row>
    <row r="91" spans="1:2" x14ac:dyDescent="0.2">
      <c r="A91" t="s">
        <v>17</v>
      </c>
      <c r="B91">
        <v>211.33750000000001</v>
      </c>
    </row>
    <row r="92" spans="1:2" x14ac:dyDescent="0.2">
      <c r="A92" t="s">
        <v>17</v>
      </c>
      <c r="B92">
        <v>7.9249999999999998</v>
      </c>
    </row>
    <row r="93" spans="1:2" x14ac:dyDescent="0.2">
      <c r="A93" t="s">
        <v>17</v>
      </c>
      <c r="B93">
        <v>7.7374999999999998</v>
      </c>
    </row>
    <row r="94" spans="1:2" x14ac:dyDescent="0.2">
      <c r="A94" t="s">
        <v>17</v>
      </c>
      <c r="B94">
        <v>21</v>
      </c>
    </row>
    <row r="95" spans="1:2" x14ac:dyDescent="0.2">
      <c r="A95" t="s">
        <v>17</v>
      </c>
      <c r="B95">
        <v>33</v>
      </c>
    </row>
    <row r="96" spans="1:2" x14ac:dyDescent="0.2">
      <c r="A96" t="s">
        <v>17</v>
      </c>
      <c r="B96">
        <v>10.5</v>
      </c>
    </row>
    <row r="97" spans="1:2" x14ac:dyDescent="0.2">
      <c r="A97" t="s">
        <v>17</v>
      </c>
      <c r="B97">
        <v>227.52500000000001</v>
      </c>
    </row>
    <row r="98" spans="1:2" x14ac:dyDescent="0.2">
      <c r="A98" t="s">
        <v>17</v>
      </c>
      <c r="B98">
        <v>49.504199999999997</v>
      </c>
    </row>
    <row r="99" spans="1:2" x14ac:dyDescent="0.2">
      <c r="A99" t="s">
        <v>17</v>
      </c>
      <c r="B99">
        <v>151.55000000000001</v>
      </c>
    </row>
    <row r="100" spans="1:2" x14ac:dyDescent="0.2">
      <c r="A100" t="s">
        <v>17</v>
      </c>
      <c r="B100">
        <v>23</v>
      </c>
    </row>
    <row r="101" spans="1:2" x14ac:dyDescent="0.2">
      <c r="A101" t="s">
        <v>17</v>
      </c>
      <c r="B101">
        <v>13.5</v>
      </c>
    </row>
    <row r="102" spans="1:2" x14ac:dyDescent="0.2">
      <c r="A102" t="s">
        <v>17</v>
      </c>
      <c r="B102">
        <v>7.8958000000000004</v>
      </c>
    </row>
    <row r="103" spans="1:2" x14ac:dyDescent="0.2">
      <c r="A103" t="s">
        <v>17</v>
      </c>
      <c r="B103">
        <v>14.4542</v>
      </c>
    </row>
    <row r="104" spans="1:2" x14ac:dyDescent="0.2">
      <c r="A104" t="s">
        <v>17</v>
      </c>
      <c r="B104">
        <v>227.52500000000001</v>
      </c>
    </row>
    <row r="105" spans="1:2" x14ac:dyDescent="0.2">
      <c r="A105" t="s">
        <v>17</v>
      </c>
      <c r="B105">
        <v>7.7332999999999998</v>
      </c>
    </row>
    <row r="106" spans="1:2" x14ac:dyDescent="0.2">
      <c r="A106" t="s">
        <v>17</v>
      </c>
      <c r="B106">
        <v>13.416700000000001</v>
      </c>
    </row>
    <row r="107" spans="1:2" x14ac:dyDescent="0.2">
      <c r="A107" t="s">
        <v>17</v>
      </c>
      <c r="B107">
        <v>211.33750000000001</v>
      </c>
    </row>
    <row r="108" spans="1:2" x14ac:dyDescent="0.2">
      <c r="A108" t="s">
        <v>17</v>
      </c>
      <c r="B108">
        <v>7.65</v>
      </c>
    </row>
    <row r="109" spans="1:2" x14ac:dyDescent="0.2">
      <c r="A109" t="s">
        <v>17</v>
      </c>
      <c r="B109">
        <v>8.1374999999999993</v>
      </c>
    </row>
    <row r="110" spans="1:2" x14ac:dyDescent="0.2">
      <c r="A110" t="s">
        <v>17</v>
      </c>
      <c r="B110">
        <v>46.9</v>
      </c>
    </row>
    <row r="111" spans="1:2" x14ac:dyDescent="0.2">
      <c r="A111" t="s">
        <v>17</v>
      </c>
      <c r="B111">
        <v>24.15</v>
      </c>
    </row>
    <row r="112" spans="1:2" x14ac:dyDescent="0.2">
      <c r="A112" t="s">
        <v>17</v>
      </c>
      <c r="B112">
        <v>9.8416999999999994</v>
      </c>
    </row>
    <row r="113" spans="1:2" x14ac:dyDescent="0.2">
      <c r="A113" t="s">
        <v>17</v>
      </c>
      <c r="B113">
        <v>14.4542</v>
      </c>
    </row>
    <row r="114" spans="1:2" x14ac:dyDescent="0.2">
      <c r="A114" t="s">
        <v>17</v>
      </c>
      <c r="B114">
        <v>39</v>
      </c>
    </row>
    <row r="115" spans="1:2" x14ac:dyDescent="0.2">
      <c r="A115" t="s">
        <v>17</v>
      </c>
      <c r="B115">
        <v>9.8249999999999993</v>
      </c>
    </row>
    <row r="116" spans="1:2" x14ac:dyDescent="0.2">
      <c r="A116" t="s">
        <v>17</v>
      </c>
      <c r="B116">
        <v>14.458299999999999</v>
      </c>
    </row>
    <row r="117" spans="1:2" x14ac:dyDescent="0.2">
      <c r="A117" t="s">
        <v>17</v>
      </c>
      <c r="B117">
        <v>52</v>
      </c>
    </row>
    <row r="118" spans="1:2" x14ac:dyDescent="0.2">
      <c r="A118" t="s">
        <v>17</v>
      </c>
      <c r="B118">
        <v>15.5</v>
      </c>
    </row>
    <row r="119" spans="1:2" x14ac:dyDescent="0.2">
      <c r="A119" t="s">
        <v>17</v>
      </c>
      <c r="B119">
        <v>6.75</v>
      </c>
    </row>
    <row r="120" spans="1:2" x14ac:dyDescent="0.2">
      <c r="A120" t="s">
        <v>17</v>
      </c>
      <c r="B120">
        <v>7.8292000000000002</v>
      </c>
    </row>
    <row r="121" spans="1:2" x14ac:dyDescent="0.2">
      <c r="A121" t="s">
        <v>17</v>
      </c>
      <c r="B121">
        <v>31.274999999999999</v>
      </c>
    </row>
    <row r="122" spans="1:2" x14ac:dyDescent="0.2">
      <c r="A122" t="s">
        <v>17</v>
      </c>
      <c r="B122">
        <v>23</v>
      </c>
    </row>
    <row r="123" spans="1:2" x14ac:dyDescent="0.2">
      <c r="A123" t="s">
        <v>17</v>
      </c>
      <c r="B123">
        <v>7.55</v>
      </c>
    </row>
    <row r="124" spans="1:2" x14ac:dyDescent="0.2">
      <c r="A124" t="s">
        <v>17</v>
      </c>
      <c r="B124">
        <v>19.258299999999998</v>
      </c>
    </row>
    <row r="125" spans="1:2" x14ac:dyDescent="0.2">
      <c r="A125" t="s">
        <v>17</v>
      </c>
      <c r="B125">
        <v>13</v>
      </c>
    </row>
    <row r="126" spans="1:2" x14ac:dyDescent="0.2">
      <c r="A126" t="s">
        <v>17</v>
      </c>
      <c r="B126">
        <v>27.9</v>
      </c>
    </row>
    <row r="127" spans="1:2" x14ac:dyDescent="0.2">
      <c r="A127" t="s">
        <v>17</v>
      </c>
      <c r="B127">
        <v>69.3</v>
      </c>
    </row>
    <row r="128" spans="1:2" x14ac:dyDescent="0.2">
      <c r="A128" t="s">
        <v>17</v>
      </c>
      <c r="B128">
        <v>39.6875</v>
      </c>
    </row>
    <row r="129" spans="1:2" x14ac:dyDescent="0.2">
      <c r="A129" t="s">
        <v>17</v>
      </c>
      <c r="B129">
        <v>13</v>
      </c>
    </row>
    <row r="130" spans="1:2" x14ac:dyDescent="0.2">
      <c r="A130" t="s">
        <v>17</v>
      </c>
      <c r="B130">
        <v>22.3583</v>
      </c>
    </row>
    <row r="131" spans="1:2" x14ac:dyDescent="0.2">
      <c r="A131" t="s">
        <v>17</v>
      </c>
      <c r="B131">
        <v>27.9</v>
      </c>
    </row>
    <row r="132" spans="1:2" x14ac:dyDescent="0.2">
      <c r="A132" t="s">
        <v>17</v>
      </c>
      <c r="B132">
        <v>77.958299999999994</v>
      </c>
    </row>
    <row r="133" spans="1:2" x14ac:dyDescent="0.2">
      <c r="A133" t="s">
        <v>17</v>
      </c>
      <c r="B133">
        <v>39</v>
      </c>
    </row>
    <row r="134" spans="1:2" x14ac:dyDescent="0.2">
      <c r="A134" t="s">
        <v>17</v>
      </c>
      <c r="B134">
        <v>14.5</v>
      </c>
    </row>
    <row r="135" spans="1:2" x14ac:dyDescent="0.2">
      <c r="A135" t="s">
        <v>17</v>
      </c>
      <c r="B135">
        <v>26</v>
      </c>
    </row>
    <row r="136" spans="1:2" x14ac:dyDescent="0.2">
      <c r="A136" t="s">
        <v>17</v>
      </c>
      <c r="B136">
        <v>16.100000000000001</v>
      </c>
    </row>
    <row r="137" spans="1:2" x14ac:dyDescent="0.2">
      <c r="A137" t="s">
        <v>17</v>
      </c>
      <c r="B137">
        <v>65</v>
      </c>
    </row>
    <row r="138" spans="1:2" x14ac:dyDescent="0.2">
      <c r="A138" t="s">
        <v>17</v>
      </c>
      <c r="B138">
        <v>26.283300000000001</v>
      </c>
    </row>
    <row r="139" spans="1:2" x14ac:dyDescent="0.2">
      <c r="A139" t="s">
        <v>17</v>
      </c>
      <c r="B139">
        <v>15.5</v>
      </c>
    </row>
    <row r="140" spans="1:2" x14ac:dyDescent="0.2">
      <c r="A140" t="s">
        <v>17</v>
      </c>
      <c r="B140">
        <v>31.274999999999999</v>
      </c>
    </row>
    <row r="141" spans="1:2" x14ac:dyDescent="0.2">
      <c r="A141" t="s">
        <v>17</v>
      </c>
      <c r="B141">
        <v>153.46250000000001</v>
      </c>
    </row>
    <row r="142" spans="1:2" x14ac:dyDescent="0.2">
      <c r="A142" t="s">
        <v>17</v>
      </c>
      <c r="B142">
        <v>15.245799999999999</v>
      </c>
    </row>
    <row r="143" spans="1:2" x14ac:dyDescent="0.2">
      <c r="A143" t="s">
        <v>17</v>
      </c>
      <c r="B143">
        <v>7.75</v>
      </c>
    </row>
    <row r="144" spans="1:2" x14ac:dyDescent="0.2">
      <c r="A144" t="s">
        <v>17</v>
      </c>
      <c r="B144">
        <v>15.85</v>
      </c>
    </row>
    <row r="145" spans="1:2" x14ac:dyDescent="0.2">
      <c r="A145" t="s">
        <v>17</v>
      </c>
      <c r="B145">
        <v>41.5792</v>
      </c>
    </row>
    <row r="146" spans="1:2" x14ac:dyDescent="0.2">
      <c r="A146" t="s">
        <v>17</v>
      </c>
      <c r="B146">
        <v>27</v>
      </c>
    </row>
    <row r="147" spans="1:2" x14ac:dyDescent="0.2">
      <c r="A147" t="s">
        <v>17</v>
      </c>
      <c r="B147">
        <v>33</v>
      </c>
    </row>
    <row r="148" spans="1:2" x14ac:dyDescent="0.2">
      <c r="A148" t="s">
        <v>17</v>
      </c>
      <c r="B148">
        <v>7.75</v>
      </c>
    </row>
    <row r="149" spans="1:2" x14ac:dyDescent="0.2">
      <c r="A149" t="s">
        <v>17</v>
      </c>
      <c r="B149">
        <v>34.375</v>
      </c>
    </row>
    <row r="150" spans="1:2" x14ac:dyDescent="0.2">
      <c r="A150" t="s">
        <v>17</v>
      </c>
      <c r="B150">
        <v>78.2667</v>
      </c>
    </row>
    <row r="151" spans="1:2" x14ac:dyDescent="0.2">
      <c r="A151" t="s">
        <v>17</v>
      </c>
      <c r="B151">
        <v>79.650000000000006</v>
      </c>
    </row>
    <row r="152" spans="1:2" x14ac:dyDescent="0.2">
      <c r="A152" t="s">
        <v>17</v>
      </c>
      <c r="B152">
        <v>110.88330000000001</v>
      </c>
    </row>
    <row r="153" spans="1:2" x14ac:dyDescent="0.2">
      <c r="A153" t="s">
        <v>17</v>
      </c>
      <c r="B153">
        <v>66.599999999999994</v>
      </c>
    </row>
    <row r="154" spans="1:2" x14ac:dyDescent="0.2">
      <c r="A154" t="s">
        <v>17</v>
      </c>
      <c r="B154">
        <v>30</v>
      </c>
    </row>
    <row r="155" spans="1:2" x14ac:dyDescent="0.2">
      <c r="A155" t="s">
        <v>17</v>
      </c>
      <c r="B155">
        <v>14.458299999999999</v>
      </c>
    </row>
    <row r="156" spans="1:2" x14ac:dyDescent="0.2">
      <c r="A156" t="s">
        <v>17</v>
      </c>
      <c r="B156">
        <v>55.9</v>
      </c>
    </row>
    <row r="157" spans="1:2" x14ac:dyDescent="0.2">
      <c r="A157" t="s">
        <v>17</v>
      </c>
      <c r="B157">
        <v>13</v>
      </c>
    </row>
    <row r="158" spans="1:2" x14ac:dyDescent="0.2">
      <c r="A158" t="s">
        <v>17</v>
      </c>
      <c r="B158">
        <v>7.7332999999999998</v>
      </c>
    </row>
    <row r="159" spans="1:2" x14ac:dyDescent="0.2">
      <c r="A159" t="s">
        <v>17</v>
      </c>
      <c r="B159">
        <v>7.75</v>
      </c>
    </row>
    <row r="160" spans="1:2" x14ac:dyDescent="0.2">
      <c r="A160" t="s">
        <v>17</v>
      </c>
      <c r="B160">
        <v>51.479199999999999</v>
      </c>
    </row>
    <row r="161" spans="1:2" x14ac:dyDescent="0.2">
      <c r="A161" t="s">
        <v>17</v>
      </c>
      <c r="B161">
        <v>21.074999999999999</v>
      </c>
    </row>
    <row r="162" spans="1:2" x14ac:dyDescent="0.2">
      <c r="A162" t="s">
        <v>17</v>
      </c>
      <c r="B162">
        <v>8.0500000000000007</v>
      </c>
    </row>
    <row r="163" spans="1:2" x14ac:dyDescent="0.2">
      <c r="A163" t="s">
        <v>17</v>
      </c>
      <c r="B163">
        <v>15.75</v>
      </c>
    </row>
    <row r="164" spans="1:2" x14ac:dyDescent="0.2">
      <c r="A164" t="s">
        <v>17</v>
      </c>
      <c r="B164">
        <v>17.399999999999999</v>
      </c>
    </row>
    <row r="165" spans="1:2" x14ac:dyDescent="0.2">
      <c r="A165" t="s">
        <v>17</v>
      </c>
      <c r="B165">
        <v>79.650000000000006</v>
      </c>
    </row>
    <row r="166" spans="1:2" x14ac:dyDescent="0.2">
      <c r="A166" t="s">
        <v>17</v>
      </c>
      <c r="B166">
        <v>39.6</v>
      </c>
    </row>
    <row r="167" spans="1:2" x14ac:dyDescent="0.2">
      <c r="A167" t="s">
        <v>17</v>
      </c>
      <c r="B167">
        <v>7.7750000000000004</v>
      </c>
    </row>
    <row r="168" spans="1:2" x14ac:dyDescent="0.2">
      <c r="A168" t="s">
        <v>17</v>
      </c>
      <c r="B168">
        <v>55</v>
      </c>
    </row>
    <row r="169" spans="1:2" x14ac:dyDescent="0.2">
      <c r="A169" t="s">
        <v>17</v>
      </c>
      <c r="B169">
        <v>27.9</v>
      </c>
    </row>
    <row r="170" spans="1:2" x14ac:dyDescent="0.2">
      <c r="A170" t="s">
        <v>17</v>
      </c>
      <c r="B170">
        <v>26</v>
      </c>
    </row>
    <row r="171" spans="1:2" x14ac:dyDescent="0.2">
      <c r="A171" t="s">
        <v>17</v>
      </c>
      <c r="B171">
        <v>31.274999999999999</v>
      </c>
    </row>
    <row r="172" spans="1:2" x14ac:dyDescent="0.2">
      <c r="A172" t="s">
        <v>17</v>
      </c>
      <c r="B172">
        <v>31.274999999999999</v>
      </c>
    </row>
    <row r="173" spans="1:2" x14ac:dyDescent="0.2">
      <c r="A173" t="s">
        <v>17</v>
      </c>
      <c r="B173">
        <v>71</v>
      </c>
    </row>
    <row r="174" spans="1:2" x14ac:dyDescent="0.2">
      <c r="A174" t="s">
        <v>17</v>
      </c>
      <c r="B174">
        <v>11.1333</v>
      </c>
    </row>
    <row r="175" spans="1:2" x14ac:dyDescent="0.2">
      <c r="A175" t="s">
        <v>17</v>
      </c>
      <c r="B175">
        <v>49.5</v>
      </c>
    </row>
    <row r="176" spans="1:2" x14ac:dyDescent="0.2">
      <c r="A176" t="s">
        <v>17</v>
      </c>
      <c r="B176">
        <v>106.425</v>
      </c>
    </row>
    <row r="177" spans="1:2" x14ac:dyDescent="0.2">
      <c r="A177" t="s">
        <v>17</v>
      </c>
      <c r="B177">
        <v>26.25</v>
      </c>
    </row>
    <row r="178" spans="1:2" x14ac:dyDescent="0.2">
      <c r="A178" t="s">
        <v>17</v>
      </c>
      <c r="B178">
        <v>8.6624999999999996</v>
      </c>
    </row>
    <row r="179" spans="1:2" x14ac:dyDescent="0.2">
      <c r="A179" t="s">
        <v>17</v>
      </c>
      <c r="B179">
        <v>28.712499999999999</v>
      </c>
    </row>
    <row r="180" spans="1:2" x14ac:dyDescent="0.2">
      <c r="A180" t="s">
        <v>17</v>
      </c>
      <c r="B180">
        <v>22.3583</v>
      </c>
    </row>
    <row r="181" spans="1:2" x14ac:dyDescent="0.2">
      <c r="A181" t="s">
        <v>17</v>
      </c>
      <c r="B181">
        <v>26</v>
      </c>
    </row>
    <row r="182" spans="1:2" x14ac:dyDescent="0.2">
      <c r="A182" t="s">
        <v>17</v>
      </c>
      <c r="B182">
        <v>69.55</v>
      </c>
    </row>
    <row r="183" spans="1:2" x14ac:dyDescent="0.2">
      <c r="A183" t="s">
        <v>17</v>
      </c>
      <c r="B183">
        <v>10.5</v>
      </c>
    </row>
    <row r="184" spans="1:2" x14ac:dyDescent="0.2">
      <c r="A184" t="s">
        <v>17</v>
      </c>
      <c r="B184">
        <v>57.979199999999999</v>
      </c>
    </row>
    <row r="185" spans="1:2" x14ac:dyDescent="0.2">
      <c r="A185" t="s">
        <v>17</v>
      </c>
      <c r="B185">
        <v>93.5</v>
      </c>
    </row>
    <row r="186" spans="1:2" x14ac:dyDescent="0.2">
      <c r="A186" t="s">
        <v>17</v>
      </c>
      <c r="B186">
        <v>22.024999999999999</v>
      </c>
    </row>
    <row r="187" spans="1:2" x14ac:dyDescent="0.2">
      <c r="A187" t="s">
        <v>17</v>
      </c>
      <c r="B187">
        <v>26</v>
      </c>
    </row>
    <row r="188" spans="1:2" x14ac:dyDescent="0.2">
      <c r="A188" t="s">
        <v>17</v>
      </c>
      <c r="B188">
        <v>15.5</v>
      </c>
    </row>
    <row r="189" spans="1:2" x14ac:dyDescent="0.2">
      <c r="A189" t="s">
        <v>17</v>
      </c>
      <c r="B189">
        <v>10.5</v>
      </c>
    </row>
    <row r="190" spans="1:2" x14ac:dyDescent="0.2">
      <c r="A190" t="s">
        <v>17</v>
      </c>
      <c r="B190">
        <v>59.4</v>
      </c>
    </row>
    <row r="191" spans="1:2" x14ac:dyDescent="0.2">
      <c r="A191" t="s">
        <v>17</v>
      </c>
      <c r="B191">
        <v>26</v>
      </c>
    </row>
    <row r="192" spans="1:2" x14ac:dyDescent="0.2">
      <c r="A192" t="s">
        <v>17</v>
      </c>
      <c r="B192">
        <v>13</v>
      </c>
    </row>
    <row r="193" spans="1:2" x14ac:dyDescent="0.2">
      <c r="A193" t="s">
        <v>17</v>
      </c>
      <c r="B193">
        <v>86.5</v>
      </c>
    </row>
    <row r="194" spans="1:2" x14ac:dyDescent="0.2">
      <c r="A194" t="s">
        <v>17</v>
      </c>
      <c r="B194">
        <v>7.8541999999999996</v>
      </c>
    </row>
    <row r="195" spans="1:2" x14ac:dyDescent="0.2">
      <c r="A195" t="s">
        <v>17</v>
      </c>
      <c r="B195">
        <v>9.5875000000000004</v>
      </c>
    </row>
    <row r="196" spans="1:2" x14ac:dyDescent="0.2">
      <c r="A196" t="s">
        <v>17</v>
      </c>
      <c r="B196">
        <v>27.720800000000001</v>
      </c>
    </row>
    <row r="197" spans="1:2" x14ac:dyDescent="0.2">
      <c r="A197" t="s">
        <v>17</v>
      </c>
      <c r="B197">
        <v>146.52080000000001</v>
      </c>
    </row>
    <row r="198" spans="1:2" x14ac:dyDescent="0.2">
      <c r="A198" t="s">
        <v>17</v>
      </c>
      <c r="B198">
        <v>7.6292</v>
      </c>
    </row>
    <row r="199" spans="1:2" x14ac:dyDescent="0.2">
      <c r="A199" t="s">
        <v>17</v>
      </c>
      <c r="B199">
        <v>7.75</v>
      </c>
    </row>
    <row r="200" spans="1:2" x14ac:dyDescent="0.2">
      <c r="A200" t="s">
        <v>17</v>
      </c>
      <c r="B200">
        <v>7.75</v>
      </c>
    </row>
    <row r="201" spans="1:2" x14ac:dyDescent="0.2">
      <c r="A201" t="s">
        <v>17</v>
      </c>
      <c r="B201">
        <v>13</v>
      </c>
    </row>
    <row r="202" spans="1:2" x14ac:dyDescent="0.2">
      <c r="A202" t="s">
        <v>17</v>
      </c>
      <c r="B202">
        <v>151.55000000000001</v>
      </c>
    </row>
    <row r="203" spans="1:2" x14ac:dyDescent="0.2">
      <c r="A203" t="s">
        <v>17</v>
      </c>
      <c r="B203">
        <v>78.2667</v>
      </c>
    </row>
    <row r="204" spans="1:2" x14ac:dyDescent="0.2">
      <c r="A204" t="s">
        <v>17</v>
      </c>
      <c r="B204">
        <v>90</v>
      </c>
    </row>
    <row r="205" spans="1:2" x14ac:dyDescent="0.2">
      <c r="A205" t="s">
        <v>17</v>
      </c>
      <c r="B205">
        <v>25.466699999999999</v>
      </c>
    </row>
    <row r="206" spans="1:2" x14ac:dyDescent="0.2">
      <c r="A206" t="s">
        <v>17</v>
      </c>
      <c r="B206">
        <v>9.5875000000000004</v>
      </c>
    </row>
    <row r="207" spans="1:2" x14ac:dyDescent="0.2">
      <c r="A207" t="s">
        <v>17</v>
      </c>
      <c r="B207">
        <v>10.4625</v>
      </c>
    </row>
    <row r="208" spans="1:2" x14ac:dyDescent="0.2">
      <c r="A208" t="s">
        <v>17</v>
      </c>
      <c r="B208">
        <v>12.2875</v>
      </c>
    </row>
    <row r="209" spans="1:2" x14ac:dyDescent="0.2">
      <c r="A209" t="s">
        <v>17</v>
      </c>
      <c r="B209">
        <v>9.8375000000000004</v>
      </c>
    </row>
    <row r="210" spans="1:2" x14ac:dyDescent="0.2">
      <c r="A210" t="s">
        <v>17</v>
      </c>
      <c r="B210">
        <v>7.75</v>
      </c>
    </row>
    <row r="211" spans="1:2" x14ac:dyDescent="0.2">
      <c r="A211" t="s">
        <v>17</v>
      </c>
      <c r="B211">
        <v>13.791700000000001</v>
      </c>
    </row>
    <row r="212" spans="1:2" x14ac:dyDescent="0.2">
      <c r="A212" t="s">
        <v>17</v>
      </c>
      <c r="B212">
        <v>27.75</v>
      </c>
    </row>
    <row r="213" spans="1:2" x14ac:dyDescent="0.2">
      <c r="A213" t="s">
        <v>17</v>
      </c>
      <c r="B213">
        <v>21</v>
      </c>
    </row>
    <row r="214" spans="1:2" x14ac:dyDescent="0.2">
      <c r="A214" t="s">
        <v>17</v>
      </c>
      <c r="B214">
        <v>19.258299999999998</v>
      </c>
    </row>
    <row r="215" spans="1:2" x14ac:dyDescent="0.2">
      <c r="A215" t="s">
        <v>17</v>
      </c>
      <c r="B215">
        <v>10.5</v>
      </c>
    </row>
    <row r="216" spans="1:2" x14ac:dyDescent="0.2">
      <c r="A216" t="s">
        <v>17</v>
      </c>
      <c r="B216">
        <v>51.862499999999997</v>
      </c>
    </row>
    <row r="217" spans="1:2" x14ac:dyDescent="0.2">
      <c r="A217" t="s">
        <v>17</v>
      </c>
      <c r="B217">
        <v>113.27500000000001</v>
      </c>
    </row>
    <row r="218" spans="1:2" x14ac:dyDescent="0.2">
      <c r="A218" t="s">
        <v>17</v>
      </c>
      <c r="B218">
        <v>7.9249999999999998</v>
      </c>
    </row>
    <row r="219" spans="1:2" x14ac:dyDescent="0.2">
      <c r="A219" t="s">
        <v>17</v>
      </c>
      <c r="B219">
        <v>19.258299999999998</v>
      </c>
    </row>
    <row r="220" spans="1:2" x14ac:dyDescent="0.2">
      <c r="A220" t="s">
        <v>17</v>
      </c>
      <c r="B220">
        <v>76.291700000000006</v>
      </c>
    </row>
    <row r="221" spans="1:2" x14ac:dyDescent="0.2">
      <c r="A221" t="s">
        <v>17</v>
      </c>
      <c r="B221">
        <v>19.5</v>
      </c>
    </row>
    <row r="222" spans="1:2" x14ac:dyDescent="0.2">
      <c r="A222" t="s">
        <v>17</v>
      </c>
      <c r="B222">
        <v>13</v>
      </c>
    </row>
    <row r="223" spans="1:2" x14ac:dyDescent="0.2">
      <c r="A223" t="s">
        <v>17</v>
      </c>
      <c r="B223">
        <v>26.25</v>
      </c>
    </row>
    <row r="224" spans="1:2" x14ac:dyDescent="0.2">
      <c r="A224" t="s">
        <v>17</v>
      </c>
      <c r="B224">
        <v>18.75</v>
      </c>
    </row>
    <row r="225" spans="1:2" x14ac:dyDescent="0.2">
      <c r="A225" t="s">
        <v>17</v>
      </c>
      <c r="B225">
        <v>34.375</v>
      </c>
    </row>
    <row r="226" spans="1:2" x14ac:dyDescent="0.2">
      <c r="A226" t="s">
        <v>17</v>
      </c>
      <c r="B226">
        <v>120</v>
      </c>
    </row>
    <row r="227" spans="1:2" x14ac:dyDescent="0.2">
      <c r="A227" t="s">
        <v>17</v>
      </c>
      <c r="B227">
        <v>26</v>
      </c>
    </row>
    <row r="228" spans="1:2" x14ac:dyDescent="0.2">
      <c r="A228" t="s">
        <v>17</v>
      </c>
      <c r="B228">
        <v>16.100000000000001</v>
      </c>
    </row>
    <row r="229" spans="1:2" x14ac:dyDescent="0.2">
      <c r="A229" t="s">
        <v>17</v>
      </c>
      <c r="B229">
        <v>26</v>
      </c>
    </row>
    <row r="230" spans="1:2" x14ac:dyDescent="0.2">
      <c r="A230" t="s">
        <v>17</v>
      </c>
      <c r="B230">
        <v>26</v>
      </c>
    </row>
    <row r="231" spans="1:2" x14ac:dyDescent="0.2">
      <c r="A231" t="s">
        <v>17</v>
      </c>
      <c r="B231">
        <v>25.466699999999999</v>
      </c>
    </row>
    <row r="232" spans="1:2" x14ac:dyDescent="0.2">
      <c r="A232" t="s">
        <v>17</v>
      </c>
      <c r="B232">
        <v>83.474999999999994</v>
      </c>
    </row>
    <row r="233" spans="1:2" x14ac:dyDescent="0.2">
      <c r="A233" t="s">
        <v>17</v>
      </c>
      <c r="B233">
        <v>14.4</v>
      </c>
    </row>
    <row r="234" spans="1:2" x14ac:dyDescent="0.2">
      <c r="A234" t="s">
        <v>17</v>
      </c>
      <c r="B234">
        <v>24.15</v>
      </c>
    </row>
    <row r="235" spans="1:2" x14ac:dyDescent="0.2">
      <c r="A235" t="s">
        <v>17</v>
      </c>
      <c r="B235">
        <v>31.387499999999999</v>
      </c>
    </row>
    <row r="236" spans="1:2" x14ac:dyDescent="0.2">
      <c r="A236" t="s">
        <v>17</v>
      </c>
      <c r="B236">
        <v>13</v>
      </c>
    </row>
    <row r="237" spans="1:2" x14ac:dyDescent="0.2">
      <c r="A237" t="s">
        <v>17</v>
      </c>
      <c r="B237">
        <v>7.55</v>
      </c>
    </row>
    <row r="238" spans="1:2" x14ac:dyDescent="0.2">
      <c r="A238" t="s">
        <v>17</v>
      </c>
      <c r="B238">
        <v>32.5</v>
      </c>
    </row>
    <row r="239" spans="1:2" x14ac:dyDescent="0.2">
      <c r="A239" t="s">
        <v>17</v>
      </c>
      <c r="B239">
        <v>26.25</v>
      </c>
    </row>
    <row r="240" spans="1:2" x14ac:dyDescent="0.2">
      <c r="A240" t="s">
        <v>17</v>
      </c>
      <c r="B240">
        <v>8.0500000000000007</v>
      </c>
    </row>
    <row r="241" spans="1:2" x14ac:dyDescent="0.2">
      <c r="A241" t="s">
        <v>17</v>
      </c>
      <c r="B241">
        <v>90</v>
      </c>
    </row>
    <row r="242" spans="1:2" x14ac:dyDescent="0.2">
      <c r="A242" t="s">
        <v>17</v>
      </c>
      <c r="B242">
        <v>14.4542</v>
      </c>
    </row>
    <row r="243" spans="1:2" x14ac:dyDescent="0.2">
      <c r="A243" t="s">
        <v>17</v>
      </c>
      <c r="B243">
        <v>15.5</v>
      </c>
    </row>
    <row r="244" spans="1:2" x14ac:dyDescent="0.2">
      <c r="A244" t="s">
        <v>17</v>
      </c>
      <c r="B244">
        <v>25.466699999999999</v>
      </c>
    </row>
    <row r="245" spans="1:2" x14ac:dyDescent="0.2">
      <c r="A245" t="s">
        <v>17</v>
      </c>
      <c r="B245">
        <v>8.6624999999999996</v>
      </c>
    </row>
    <row r="246" spans="1:2" x14ac:dyDescent="0.2">
      <c r="A246" t="s">
        <v>17</v>
      </c>
      <c r="B246">
        <v>9.8249999999999993</v>
      </c>
    </row>
    <row r="247" spans="1:2" x14ac:dyDescent="0.2">
      <c r="A247" t="s">
        <v>17</v>
      </c>
      <c r="B247">
        <v>12.65</v>
      </c>
    </row>
    <row r="248" spans="1:2" x14ac:dyDescent="0.2">
      <c r="A248" t="s">
        <v>17</v>
      </c>
      <c r="B248">
        <v>7.7750000000000004</v>
      </c>
    </row>
    <row r="249" spans="1:2" x14ac:dyDescent="0.2">
      <c r="A249" t="s">
        <v>17</v>
      </c>
      <c r="B249">
        <v>14.5</v>
      </c>
    </row>
    <row r="250" spans="1:2" x14ac:dyDescent="0.2">
      <c r="A250" t="s">
        <v>17</v>
      </c>
      <c r="B250">
        <v>7.8541999999999996</v>
      </c>
    </row>
    <row r="251" spans="1:2" x14ac:dyDescent="0.2">
      <c r="A251" t="s">
        <v>17</v>
      </c>
      <c r="B251">
        <v>16.7</v>
      </c>
    </row>
    <row r="252" spans="1:2" x14ac:dyDescent="0.2">
      <c r="A252" t="s">
        <v>17</v>
      </c>
      <c r="B252">
        <v>113.27500000000001</v>
      </c>
    </row>
    <row r="253" spans="1:2" x14ac:dyDescent="0.2">
      <c r="A253" t="s">
        <v>17</v>
      </c>
      <c r="B253">
        <v>10.4625</v>
      </c>
    </row>
    <row r="254" spans="1:2" x14ac:dyDescent="0.2">
      <c r="A254" t="s">
        <v>17</v>
      </c>
      <c r="B254">
        <v>12</v>
      </c>
    </row>
    <row r="255" spans="1:2" x14ac:dyDescent="0.2">
      <c r="A255" t="s">
        <v>17</v>
      </c>
      <c r="B255">
        <v>13</v>
      </c>
    </row>
    <row r="256" spans="1:2" x14ac:dyDescent="0.2">
      <c r="A256" t="s">
        <v>17</v>
      </c>
      <c r="B256">
        <v>20.212499999999999</v>
      </c>
    </row>
    <row r="257" spans="1:2" x14ac:dyDescent="0.2">
      <c r="A257" t="s">
        <v>17</v>
      </c>
      <c r="B257">
        <v>15.245799999999999</v>
      </c>
    </row>
    <row r="258" spans="1:2" x14ac:dyDescent="0.2">
      <c r="A258" t="s">
        <v>17</v>
      </c>
      <c r="B258">
        <v>79.2</v>
      </c>
    </row>
    <row r="259" spans="1:2" x14ac:dyDescent="0.2">
      <c r="A259" t="s">
        <v>17</v>
      </c>
      <c r="B259">
        <v>86.5</v>
      </c>
    </row>
    <row r="260" spans="1:2" x14ac:dyDescent="0.2">
      <c r="A260" t="s">
        <v>17</v>
      </c>
      <c r="B260">
        <v>512.32920000000001</v>
      </c>
    </row>
    <row r="261" spans="1:2" x14ac:dyDescent="0.2">
      <c r="A261" t="s">
        <v>17</v>
      </c>
      <c r="B261">
        <v>26</v>
      </c>
    </row>
    <row r="262" spans="1:2" x14ac:dyDescent="0.2">
      <c r="A262" t="s">
        <v>17</v>
      </c>
      <c r="B262">
        <v>52</v>
      </c>
    </row>
    <row r="263" spans="1:2" x14ac:dyDescent="0.2">
      <c r="A263" t="s">
        <v>17</v>
      </c>
      <c r="B263">
        <v>15.7417</v>
      </c>
    </row>
    <row r="264" spans="1:2" x14ac:dyDescent="0.2">
      <c r="A264" t="s">
        <v>17</v>
      </c>
      <c r="B264">
        <v>227.52500000000001</v>
      </c>
    </row>
    <row r="265" spans="1:2" x14ac:dyDescent="0.2">
      <c r="A265" t="s">
        <v>17</v>
      </c>
      <c r="B265">
        <v>7.25</v>
      </c>
    </row>
    <row r="266" spans="1:2" x14ac:dyDescent="0.2">
      <c r="A266" t="s">
        <v>17</v>
      </c>
      <c r="B266">
        <v>7.75</v>
      </c>
    </row>
    <row r="267" spans="1:2" x14ac:dyDescent="0.2">
      <c r="A267" t="s">
        <v>17</v>
      </c>
      <c r="B267">
        <v>82.1708</v>
      </c>
    </row>
    <row r="268" spans="1:2" x14ac:dyDescent="0.2">
      <c r="A268" t="s">
        <v>17</v>
      </c>
      <c r="B268">
        <v>21.074999999999999</v>
      </c>
    </row>
    <row r="269" spans="1:2" x14ac:dyDescent="0.2">
      <c r="A269" t="s">
        <v>17</v>
      </c>
      <c r="B269">
        <v>69.3</v>
      </c>
    </row>
    <row r="270" spans="1:2" x14ac:dyDescent="0.2">
      <c r="A270" t="s">
        <v>17</v>
      </c>
      <c r="B270">
        <v>153.46250000000001</v>
      </c>
    </row>
    <row r="271" spans="1:2" x14ac:dyDescent="0.2">
      <c r="A271" t="s">
        <v>17</v>
      </c>
      <c r="B271">
        <v>135.63329999999999</v>
      </c>
    </row>
    <row r="272" spans="1:2" x14ac:dyDescent="0.2">
      <c r="A272" t="s">
        <v>17</v>
      </c>
      <c r="B272">
        <v>7.75</v>
      </c>
    </row>
    <row r="273" spans="1:2" x14ac:dyDescent="0.2">
      <c r="A273" t="s">
        <v>17</v>
      </c>
      <c r="B273">
        <v>7.2291999999999996</v>
      </c>
    </row>
    <row r="274" spans="1:2" x14ac:dyDescent="0.2">
      <c r="A274" t="s">
        <v>17</v>
      </c>
      <c r="B274">
        <v>19.5</v>
      </c>
    </row>
    <row r="275" spans="1:2" x14ac:dyDescent="0.2">
      <c r="A275" t="s">
        <v>17</v>
      </c>
      <c r="B275">
        <v>75.25</v>
      </c>
    </row>
    <row r="276" spans="1:2" x14ac:dyDescent="0.2">
      <c r="A276" t="s">
        <v>17</v>
      </c>
      <c r="B276">
        <v>7.75</v>
      </c>
    </row>
    <row r="277" spans="1:2" x14ac:dyDescent="0.2">
      <c r="A277" t="s">
        <v>17</v>
      </c>
      <c r="B277">
        <v>77.958299999999994</v>
      </c>
    </row>
    <row r="278" spans="1:2" x14ac:dyDescent="0.2">
      <c r="A278" t="s">
        <v>17</v>
      </c>
      <c r="B278">
        <v>7.75</v>
      </c>
    </row>
    <row r="279" spans="1:2" x14ac:dyDescent="0.2">
      <c r="A279" t="s">
        <v>17</v>
      </c>
      <c r="B279">
        <v>14.4542</v>
      </c>
    </row>
    <row r="280" spans="1:2" x14ac:dyDescent="0.2">
      <c r="A280" t="s">
        <v>17</v>
      </c>
      <c r="B280">
        <v>7.8792</v>
      </c>
    </row>
    <row r="281" spans="1:2" x14ac:dyDescent="0.2">
      <c r="A281" t="s">
        <v>17</v>
      </c>
      <c r="B281">
        <v>20.25</v>
      </c>
    </row>
    <row r="282" spans="1:2" x14ac:dyDescent="0.2">
      <c r="A282" t="s">
        <v>17</v>
      </c>
      <c r="B282">
        <v>7.8792</v>
      </c>
    </row>
    <row r="283" spans="1:2" x14ac:dyDescent="0.2">
      <c r="A283" t="s">
        <v>17</v>
      </c>
      <c r="B283">
        <v>13</v>
      </c>
    </row>
    <row r="284" spans="1:2" x14ac:dyDescent="0.2">
      <c r="A284" t="s">
        <v>17</v>
      </c>
      <c r="B284">
        <v>55</v>
      </c>
    </row>
    <row r="285" spans="1:2" x14ac:dyDescent="0.2">
      <c r="A285" t="s">
        <v>17</v>
      </c>
      <c r="B285">
        <v>16.100000000000001</v>
      </c>
    </row>
    <row r="286" spans="1:2" x14ac:dyDescent="0.2">
      <c r="A286" t="s">
        <v>17</v>
      </c>
      <c r="B286">
        <v>13</v>
      </c>
    </row>
    <row r="287" spans="1:2" x14ac:dyDescent="0.2">
      <c r="A287" t="s">
        <v>17</v>
      </c>
      <c r="B287">
        <v>13</v>
      </c>
    </row>
    <row r="288" spans="1:2" x14ac:dyDescent="0.2">
      <c r="A288" t="s">
        <v>17</v>
      </c>
      <c r="B288">
        <v>263</v>
      </c>
    </row>
    <row r="289" spans="1:2" x14ac:dyDescent="0.2">
      <c r="A289" t="s">
        <v>17</v>
      </c>
      <c r="B289">
        <v>134.5</v>
      </c>
    </row>
    <row r="290" spans="1:2" x14ac:dyDescent="0.2">
      <c r="A290" t="s">
        <v>17</v>
      </c>
      <c r="B290">
        <v>133.65</v>
      </c>
    </row>
    <row r="291" spans="1:2" x14ac:dyDescent="0.2">
      <c r="A291" t="s">
        <v>17</v>
      </c>
      <c r="B291">
        <v>7.75</v>
      </c>
    </row>
    <row r="292" spans="1:2" x14ac:dyDescent="0.2">
      <c r="A292" t="s">
        <v>17</v>
      </c>
      <c r="B292">
        <v>78.849999999999994</v>
      </c>
    </row>
    <row r="293" spans="1:2" x14ac:dyDescent="0.2">
      <c r="A293" t="s">
        <v>17</v>
      </c>
      <c r="B293">
        <v>91.0792</v>
      </c>
    </row>
    <row r="294" spans="1:2" x14ac:dyDescent="0.2">
      <c r="A294" t="s">
        <v>17</v>
      </c>
      <c r="B294">
        <v>23.25</v>
      </c>
    </row>
    <row r="295" spans="1:2" x14ac:dyDescent="0.2">
      <c r="A295" t="s">
        <v>17</v>
      </c>
      <c r="B295">
        <v>8.85</v>
      </c>
    </row>
    <row r="296" spans="1:2" x14ac:dyDescent="0.2">
      <c r="A296" t="s">
        <v>17</v>
      </c>
      <c r="B296">
        <v>57.979199999999999</v>
      </c>
    </row>
    <row r="297" spans="1:2" x14ac:dyDescent="0.2">
      <c r="A297" t="s">
        <v>17</v>
      </c>
      <c r="B297">
        <v>20.524999999999999</v>
      </c>
    </row>
    <row r="298" spans="1:2" x14ac:dyDescent="0.2">
      <c r="A298" t="s">
        <v>17</v>
      </c>
      <c r="B298">
        <v>13</v>
      </c>
    </row>
    <row r="299" spans="1:2" x14ac:dyDescent="0.2">
      <c r="A299" t="s">
        <v>17</v>
      </c>
      <c r="B299">
        <v>151.55000000000001</v>
      </c>
    </row>
    <row r="300" spans="1:2" x14ac:dyDescent="0.2">
      <c r="A300" t="s">
        <v>17</v>
      </c>
      <c r="B300">
        <v>135.63329999999999</v>
      </c>
    </row>
    <row r="301" spans="1:2" x14ac:dyDescent="0.2">
      <c r="A301" t="s">
        <v>17</v>
      </c>
      <c r="B301">
        <v>247.52080000000001</v>
      </c>
    </row>
    <row r="302" spans="1:2" x14ac:dyDescent="0.2">
      <c r="A302" t="s">
        <v>17</v>
      </c>
      <c r="B302">
        <v>7.75</v>
      </c>
    </row>
    <row r="303" spans="1:2" x14ac:dyDescent="0.2">
      <c r="A303" t="s">
        <v>17</v>
      </c>
      <c r="B303">
        <v>29</v>
      </c>
    </row>
    <row r="304" spans="1:2" x14ac:dyDescent="0.2">
      <c r="A304" t="s">
        <v>17</v>
      </c>
      <c r="B304">
        <v>12.35</v>
      </c>
    </row>
    <row r="305" spans="1:2" x14ac:dyDescent="0.2">
      <c r="A305" t="s">
        <v>17</v>
      </c>
      <c r="B305">
        <v>12.35</v>
      </c>
    </row>
    <row r="306" spans="1:2" x14ac:dyDescent="0.2">
      <c r="A306" t="s">
        <v>17</v>
      </c>
      <c r="B306">
        <v>134.5</v>
      </c>
    </row>
    <row r="307" spans="1:2" x14ac:dyDescent="0.2">
      <c r="A307" t="s">
        <v>17</v>
      </c>
      <c r="B307">
        <v>164.86670000000001</v>
      </c>
    </row>
    <row r="308" spans="1:2" x14ac:dyDescent="0.2">
      <c r="A308" t="s">
        <v>17</v>
      </c>
      <c r="B308">
        <v>110.88330000000001</v>
      </c>
    </row>
    <row r="309" spans="1:2" x14ac:dyDescent="0.2">
      <c r="A309" t="s">
        <v>17</v>
      </c>
      <c r="B309">
        <v>108.9</v>
      </c>
    </row>
    <row r="310" spans="1:2" x14ac:dyDescent="0.2">
      <c r="A310" t="s">
        <v>17</v>
      </c>
      <c r="B310">
        <v>26</v>
      </c>
    </row>
    <row r="311" spans="1:2" x14ac:dyDescent="0.2">
      <c r="A311" t="s">
        <v>17</v>
      </c>
      <c r="B311">
        <v>56.929200000000002</v>
      </c>
    </row>
    <row r="312" spans="1:2" x14ac:dyDescent="0.2">
      <c r="A312" t="s">
        <v>17</v>
      </c>
      <c r="B312">
        <v>83.158299999999997</v>
      </c>
    </row>
    <row r="313" spans="1:2" x14ac:dyDescent="0.2">
      <c r="A313" t="s">
        <v>17</v>
      </c>
      <c r="B313">
        <v>262.375</v>
      </c>
    </row>
    <row r="314" spans="1:2" x14ac:dyDescent="0.2">
      <c r="A314" t="s">
        <v>17</v>
      </c>
      <c r="B314">
        <v>26</v>
      </c>
    </row>
    <row r="315" spans="1:2" x14ac:dyDescent="0.2">
      <c r="A315" t="s">
        <v>17</v>
      </c>
      <c r="B315">
        <v>7.8541999999999996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D4FF-3341-4B46-AB16-4C0D5B3BA295}">
  <dimension ref="A3:I15"/>
  <sheetViews>
    <sheetView topLeftCell="A7" zoomScale="125" workbookViewId="0">
      <selection activeCell="H3" sqref="H3:I5"/>
    </sheetView>
  </sheetViews>
  <sheetFormatPr baseColWidth="10" defaultRowHeight="16" x14ac:dyDescent="0.2"/>
  <cols>
    <col min="1" max="1" width="13" bestFit="1" customWidth="1"/>
    <col min="2" max="2" width="12.1640625" bestFit="1" customWidth="1"/>
  </cols>
  <sheetData>
    <row r="3" spans="1:9" x14ac:dyDescent="0.2">
      <c r="A3" s="5" t="s">
        <v>1269</v>
      </c>
      <c r="B3" t="s">
        <v>1278</v>
      </c>
      <c r="H3" t="s">
        <v>1280</v>
      </c>
      <c r="I3" t="s">
        <v>1281</v>
      </c>
    </row>
    <row r="4" spans="1:9" x14ac:dyDescent="0.2">
      <c r="A4" s="6" t="s">
        <v>17</v>
      </c>
      <c r="B4">
        <v>314</v>
      </c>
      <c r="C4" s="12">
        <f>GETPIVOTDATA("Fare",$A$3,"Sex","female")/GETPIVOTDATA("Fare",$A$3)</f>
        <v>0.35241301907968575</v>
      </c>
      <c r="H4" s="6" t="s">
        <v>17</v>
      </c>
      <c r="I4" s="12">
        <f>GETPIVOTDATA("Fare",$A$3,"Sex","female")/GETPIVOTDATA("Fare",$A$3)</f>
        <v>0.35241301907968575</v>
      </c>
    </row>
    <row r="5" spans="1:9" x14ac:dyDescent="0.2">
      <c r="A5" s="6" t="s">
        <v>13</v>
      </c>
      <c r="B5">
        <v>577</v>
      </c>
      <c r="C5" s="12">
        <f>GETPIVOTDATA("Fare",$A$3,"Sex","male")/GETPIVOTDATA("Fare",$A$3)</f>
        <v>0.6475869809203143</v>
      </c>
      <c r="H5" s="6" t="s">
        <v>13</v>
      </c>
      <c r="I5" s="12">
        <f>GETPIVOTDATA("Fare",$A$3,"Sex","male")/GETPIVOTDATA("Fare",$A$3)</f>
        <v>0.6475869809203143</v>
      </c>
    </row>
    <row r="6" spans="1:9" x14ac:dyDescent="0.2">
      <c r="A6" s="6" t="s">
        <v>1270</v>
      </c>
    </row>
    <row r="7" spans="1:9" x14ac:dyDescent="0.2">
      <c r="A7" s="6" t="s">
        <v>1271</v>
      </c>
      <c r="B7">
        <v>891</v>
      </c>
    </row>
    <row r="12" spans="1:9" x14ac:dyDescent="0.2">
      <c r="A12" t="s">
        <v>1280</v>
      </c>
      <c r="B12" t="s">
        <v>1279</v>
      </c>
    </row>
    <row r="13" spans="1:9" x14ac:dyDescent="0.2">
      <c r="A13" t="s">
        <v>17</v>
      </c>
      <c r="B13" s="12">
        <v>0.35241301907968575</v>
      </c>
    </row>
    <row r="14" spans="1:9" x14ac:dyDescent="0.2">
      <c r="A14" t="s">
        <v>13</v>
      </c>
      <c r="B14" s="12">
        <v>0.6475869809203143</v>
      </c>
    </row>
    <row r="15" spans="1:9" x14ac:dyDescent="0.2">
      <c r="C15" s="12"/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E0A3E-7327-5044-8382-47DEA5866608}">
  <dimension ref="A1:B889"/>
  <sheetViews>
    <sheetView topLeftCell="A15" workbookViewId="0">
      <selection activeCell="A2" sqref="A2:XFD3"/>
    </sheetView>
  </sheetViews>
  <sheetFormatPr baseColWidth="10" defaultRowHeight="16" x14ac:dyDescent="0.2"/>
  <cols>
    <col min="1" max="1" width="13.83203125" customWidth="1"/>
    <col min="2" max="2" width="9.33203125" style="3" customWidth="1"/>
  </cols>
  <sheetData>
    <row r="1" spans="1:2" x14ac:dyDescent="0.2">
      <c r="A1" t="s">
        <v>4</v>
      </c>
      <c r="B1" s="3" t="s">
        <v>9</v>
      </c>
    </row>
    <row r="2" spans="1:2" x14ac:dyDescent="0.2">
      <c r="A2" t="s">
        <v>17</v>
      </c>
      <c r="B2" s="3">
        <v>263</v>
      </c>
    </row>
    <row r="3" spans="1:2" x14ac:dyDescent="0.2">
      <c r="A3" t="s">
        <v>17</v>
      </c>
      <c r="B3" s="3">
        <v>263</v>
      </c>
    </row>
    <row r="4" spans="1:2" x14ac:dyDescent="0.2">
      <c r="A4" t="s">
        <v>13</v>
      </c>
      <c r="B4" s="3">
        <v>263</v>
      </c>
    </row>
    <row r="5" spans="1:2" x14ac:dyDescent="0.2">
      <c r="A5" t="s">
        <v>13</v>
      </c>
      <c r="B5" s="3">
        <v>263</v>
      </c>
    </row>
    <row r="6" spans="1:2" x14ac:dyDescent="0.2">
      <c r="A6" t="s">
        <v>17</v>
      </c>
      <c r="B6" s="3">
        <v>262.375</v>
      </c>
    </row>
    <row r="7" spans="1:2" x14ac:dyDescent="0.2">
      <c r="A7" t="s">
        <v>17</v>
      </c>
      <c r="B7" s="3">
        <v>262.375</v>
      </c>
    </row>
    <row r="8" spans="1:2" x14ac:dyDescent="0.2">
      <c r="A8" t="s">
        <v>17</v>
      </c>
      <c r="B8" s="3">
        <v>247.52080000000001</v>
      </c>
    </row>
    <row r="9" spans="1:2" x14ac:dyDescent="0.2">
      <c r="A9" t="s">
        <v>13</v>
      </c>
      <c r="B9" s="3">
        <v>247.52080000000001</v>
      </c>
    </row>
    <row r="10" spans="1:2" x14ac:dyDescent="0.2">
      <c r="A10" t="s">
        <v>17</v>
      </c>
      <c r="B10" s="3">
        <v>227.52500000000001</v>
      </c>
    </row>
    <row r="11" spans="1:2" x14ac:dyDescent="0.2">
      <c r="A11" t="s">
        <v>17</v>
      </c>
      <c r="B11" s="3">
        <v>227.52500000000001</v>
      </c>
    </row>
    <row r="12" spans="1:2" x14ac:dyDescent="0.2">
      <c r="A12" t="s">
        <v>17</v>
      </c>
      <c r="B12" s="3">
        <v>227.52500000000001</v>
      </c>
    </row>
    <row r="13" spans="1:2" x14ac:dyDescent="0.2">
      <c r="A13" t="s">
        <v>13</v>
      </c>
      <c r="B13" s="3">
        <v>227.52500000000001</v>
      </c>
    </row>
    <row r="14" spans="1:2" x14ac:dyDescent="0.2">
      <c r="A14" t="s">
        <v>13</v>
      </c>
      <c r="B14" s="3">
        <v>221.7792</v>
      </c>
    </row>
    <row r="15" spans="1:2" x14ac:dyDescent="0.2">
      <c r="A15" t="s">
        <v>13</v>
      </c>
      <c r="B15" s="3">
        <v>211.5</v>
      </c>
    </row>
    <row r="16" spans="1:2" x14ac:dyDescent="0.2">
      <c r="A16" t="s">
        <v>17</v>
      </c>
      <c r="B16" s="3">
        <v>211.33750000000001</v>
      </c>
    </row>
    <row r="17" spans="1:2" x14ac:dyDescent="0.2">
      <c r="A17" t="s">
        <v>17</v>
      </c>
      <c r="B17" s="3">
        <v>211.33750000000001</v>
      </c>
    </row>
    <row r="18" spans="1:2" x14ac:dyDescent="0.2">
      <c r="A18" t="s">
        <v>17</v>
      </c>
      <c r="B18" s="3">
        <v>211.33750000000001</v>
      </c>
    </row>
    <row r="19" spans="1:2" x14ac:dyDescent="0.2">
      <c r="A19" t="s">
        <v>17</v>
      </c>
      <c r="B19" s="3">
        <v>164.86670000000001</v>
      </c>
    </row>
    <row r="20" spans="1:2" x14ac:dyDescent="0.2">
      <c r="A20" t="s">
        <v>17</v>
      </c>
      <c r="B20" s="3">
        <v>164.86670000000001</v>
      </c>
    </row>
    <row r="21" spans="1:2" x14ac:dyDescent="0.2">
      <c r="A21" t="s">
        <v>17</v>
      </c>
      <c r="B21" s="3">
        <v>153.46250000000001</v>
      </c>
    </row>
    <row r="22" spans="1:2" x14ac:dyDescent="0.2">
      <c r="A22" t="s">
        <v>17</v>
      </c>
      <c r="B22" s="3">
        <v>153.46250000000001</v>
      </c>
    </row>
    <row r="23" spans="1:2" x14ac:dyDescent="0.2">
      <c r="A23" t="s">
        <v>13</v>
      </c>
      <c r="B23" s="3">
        <v>153.46250000000001</v>
      </c>
    </row>
    <row r="24" spans="1:2" x14ac:dyDescent="0.2">
      <c r="A24" t="s">
        <v>17</v>
      </c>
      <c r="B24" s="3">
        <v>151.55000000000001</v>
      </c>
    </row>
    <row r="25" spans="1:2" x14ac:dyDescent="0.2">
      <c r="A25" t="s">
        <v>17</v>
      </c>
      <c r="B25" s="3">
        <v>151.55000000000001</v>
      </c>
    </row>
    <row r="26" spans="1:2" x14ac:dyDescent="0.2">
      <c r="A26" t="s">
        <v>17</v>
      </c>
      <c r="B26" s="3">
        <v>151.55000000000001</v>
      </c>
    </row>
    <row r="27" spans="1:2" x14ac:dyDescent="0.2">
      <c r="A27" t="s">
        <v>13</v>
      </c>
      <c r="B27" s="3">
        <v>151.55000000000001</v>
      </c>
    </row>
    <row r="28" spans="1:2" x14ac:dyDescent="0.2">
      <c r="A28" t="s">
        <v>17</v>
      </c>
      <c r="B28" s="3">
        <v>146.52080000000001</v>
      </c>
    </row>
    <row r="29" spans="1:2" x14ac:dyDescent="0.2">
      <c r="A29" t="s">
        <v>17</v>
      </c>
      <c r="B29" s="3">
        <v>146.52080000000001</v>
      </c>
    </row>
    <row r="30" spans="1:2" x14ac:dyDescent="0.2">
      <c r="A30" t="s">
        <v>17</v>
      </c>
      <c r="B30" s="3">
        <v>135.63329999999999</v>
      </c>
    </row>
    <row r="31" spans="1:2" x14ac:dyDescent="0.2">
      <c r="A31" t="s">
        <v>17</v>
      </c>
      <c r="B31" s="3">
        <v>135.63329999999999</v>
      </c>
    </row>
    <row r="32" spans="1:2" x14ac:dyDescent="0.2">
      <c r="A32" t="s">
        <v>13</v>
      </c>
      <c r="B32" s="3">
        <v>135.63329999999999</v>
      </c>
    </row>
    <row r="33" spans="1:2" x14ac:dyDescent="0.2">
      <c r="A33" t="s">
        <v>17</v>
      </c>
      <c r="B33" s="3">
        <v>134.5</v>
      </c>
    </row>
    <row r="34" spans="1:2" x14ac:dyDescent="0.2">
      <c r="A34" t="s">
        <v>17</v>
      </c>
      <c r="B34" s="3">
        <v>134.5</v>
      </c>
    </row>
    <row r="35" spans="1:2" x14ac:dyDescent="0.2">
      <c r="A35" t="s">
        <v>17</v>
      </c>
      <c r="B35" s="3">
        <v>133.65</v>
      </c>
    </row>
    <row r="36" spans="1:2" x14ac:dyDescent="0.2">
      <c r="A36" t="s">
        <v>13</v>
      </c>
      <c r="B36" s="3">
        <v>133.65</v>
      </c>
    </row>
    <row r="37" spans="1:2" x14ac:dyDescent="0.2">
      <c r="A37" t="s">
        <v>17</v>
      </c>
      <c r="B37" s="3">
        <v>120</v>
      </c>
    </row>
    <row r="38" spans="1:2" x14ac:dyDescent="0.2">
      <c r="A38" t="s">
        <v>17</v>
      </c>
      <c r="B38" s="3">
        <v>120</v>
      </c>
    </row>
    <row r="39" spans="1:2" x14ac:dyDescent="0.2">
      <c r="A39" t="s">
        <v>13</v>
      </c>
      <c r="B39" s="3">
        <v>120</v>
      </c>
    </row>
    <row r="40" spans="1:2" x14ac:dyDescent="0.2">
      <c r="A40" t="s">
        <v>13</v>
      </c>
      <c r="B40" s="3">
        <v>120</v>
      </c>
    </row>
    <row r="41" spans="1:2" x14ac:dyDescent="0.2">
      <c r="A41" t="s">
        <v>17</v>
      </c>
      <c r="B41" s="3">
        <v>113.27500000000001</v>
      </c>
    </row>
    <row r="42" spans="1:2" x14ac:dyDescent="0.2">
      <c r="A42" t="s">
        <v>17</v>
      </c>
      <c r="B42" s="3">
        <v>113.27500000000001</v>
      </c>
    </row>
    <row r="43" spans="1:2" x14ac:dyDescent="0.2">
      <c r="A43" t="s">
        <v>13</v>
      </c>
      <c r="B43" s="3">
        <v>113.27500000000001</v>
      </c>
    </row>
    <row r="44" spans="1:2" x14ac:dyDescent="0.2">
      <c r="A44" t="s">
        <v>17</v>
      </c>
      <c r="B44" s="3">
        <v>110.88330000000001</v>
      </c>
    </row>
    <row r="45" spans="1:2" x14ac:dyDescent="0.2">
      <c r="A45" t="s">
        <v>17</v>
      </c>
      <c r="B45" s="3">
        <v>110.88330000000001</v>
      </c>
    </row>
    <row r="46" spans="1:2" x14ac:dyDescent="0.2">
      <c r="A46" t="s">
        <v>13</v>
      </c>
      <c r="B46" s="3">
        <v>110.88330000000001</v>
      </c>
    </row>
    <row r="47" spans="1:2" x14ac:dyDescent="0.2">
      <c r="A47" t="s">
        <v>13</v>
      </c>
      <c r="B47" s="3">
        <v>110.88330000000001</v>
      </c>
    </row>
    <row r="48" spans="1:2" x14ac:dyDescent="0.2">
      <c r="A48" t="s">
        <v>17</v>
      </c>
      <c r="B48" s="3">
        <v>108.9</v>
      </c>
    </row>
    <row r="49" spans="1:2" x14ac:dyDescent="0.2">
      <c r="A49" t="s">
        <v>13</v>
      </c>
      <c r="B49" s="3">
        <v>108.9</v>
      </c>
    </row>
    <row r="50" spans="1:2" x14ac:dyDescent="0.2">
      <c r="A50" t="s">
        <v>17</v>
      </c>
      <c r="B50" s="3">
        <v>106.425</v>
      </c>
    </row>
    <row r="51" spans="1:2" x14ac:dyDescent="0.2">
      <c r="A51" t="s">
        <v>13</v>
      </c>
      <c r="B51" s="3">
        <v>106.425</v>
      </c>
    </row>
    <row r="52" spans="1:2" x14ac:dyDescent="0.2">
      <c r="A52" t="s">
        <v>17</v>
      </c>
      <c r="B52" s="3">
        <v>93.5</v>
      </c>
    </row>
    <row r="53" spans="1:2" x14ac:dyDescent="0.2">
      <c r="A53" t="s">
        <v>17</v>
      </c>
      <c r="B53" s="3">
        <v>93.5</v>
      </c>
    </row>
    <row r="54" spans="1:2" x14ac:dyDescent="0.2">
      <c r="A54" t="s">
        <v>17</v>
      </c>
      <c r="B54" s="3">
        <v>91.0792</v>
      </c>
    </row>
    <row r="55" spans="1:2" x14ac:dyDescent="0.2">
      <c r="A55" t="s">
        <v>13</v>
      </c>
      <c r="B55" s="3">
        <v>91.0792</v>
      </c>
    </row>
    <row r="56" spans="1:2" x14ac:dyDescent="0.2">
      <c r="A56" t="s">
        <v>17</v>
      </c>
      <c r="B56" s="3">
        <v>90</v>
      </c>
    </row>
    <row r="57" spans="1:2" x14ac:dyDescent="0.2">
      <c r="A57" t="s">
        <v>17</v>
      </c>
      <c r="B57" s="3">
        <v>90</v>
      </c>
    </row>
    <row r="58" spans="1:2" x14ac:dyDescent="0.2">
      <c r="A58" t="s">
        <v>13</v>
      </c>
      <c r="B58" s="3">
        <v>90</v>
      </c>
    </row>
    <row r="59" spans="1:2" x14ac:dyDescent="0.2">
      <c r="A59" t="s">
        <v>13</v>
      </c>
      <c r="B59" s="3">
        <v>90</v>
      </c>
    </row>
    <row r="60" spans="1:2" x14ac:dyDescent="0.2">
      <c r="A60" t="s">
        <v>17</v>
      </c>
      <c r="B60" s="3">
        <v>89.104200000000006</v>
      </c>
    </row>
    <row r="61" spans="1:2" x14ac:dyDescent="0.2">
      <c r="A61" t="s">
        <v>13</v>
      </c>
      <c r="B61" s="3">
        <v>89.104200000000006</v>
      </c>
    </row>
    <row r="62" spans="1:2" x14ac:dyDescent="0.2">
      <c r="A62" t="s">
        <v>17</v>
      </c>
      <c r="B62" s="3">
        <v>86.5</v>
      </c>
    </row>
    <row r="63" spans="1:2" x14ac:dyDescent="0.2">
      <c r="A63" t="s">
        <v>17</v>
      </c>
      <c r="B63" s="3">
        <v>86.5</v>
      </c>
    </row>
    <row r="64" spans="1:2" x14ac:dyDescent="0.2">
      <c r="A64" t="s">
        <v>17</v>
      </c>
      <c r="B64" s="3">
        <v>86.5</v>
      </c>
    </row>
    <row r="65" spans="1:2" x14ac:dyDescent="0.2">
      <c r="A65" t="s">
        <v>17</v>
      </c>
      <c r="B65" s="3">
        <v>83.474999999999994</v>
      </c>
    </row>
    <row r="66" spans="1:2" x14ac:dyDescent="0.2">
      <c r="A66" t="s">
        <v>13</v>
      </c>
      <c r="B66" s="3">
        <v>83.474999999999994</v>
      </c>
    </row>
    <row r="67" spans="1:2" x14ac:dyDescent="0.2">
      <c r="A67" t="s">
        <v>17</v>
      </c>
      <c r="B67" s="3">
        <v>83.158299999999997</v>
      </c>
    </row>
    <row r="68" spans="1:2" x14ac:dyDescent="0.2">
      <c r="A68" t="s">
        <v>17</v>
      </c>
      <c r="B68" s="3">
        <v>83.158299999999997</v>
      </c>
    </row>
    <row r="69" spans="1:2" x14ac:dyDescent="0.2">
      <c r="A69" t="s">
        <v>17</v>
      </c>
      <c r="B69" s="3">
        <v>83.158299999999997</v>
      </c>
    </row>
    <row r="70" spans="1:2" x14ac:dyDescent="0.2">
      <c r="A70" t="s">
        <v>17</v>
      </c>
      <c r="B70" s="3">
        <v>82.1708</v>
      </c>
    </row>
    <row r="71" spans="1:2" x14ac:dyDescent="0.2">
      <c r="A71" t="s">
        <v>13</v>
      </c>
      <c r="B71" s="3">
        <v>82.1708</v>
      </c>
    </row>
    <row r="72" spans="1:2" x14ac:dyDescent="0.2">
      <c r="A72" t="s">
        <v>13</v>
      </c>
      <c r="B72" s="3">
        <v>81.8583</v>
      </c>
    </row>
    <row r="73" spans="1:2" x14ac:dyDescent="0.2">
      <c r="A73" t="s">
        <v>17</v>
      </c>
      <c r="B73" s="3">
        <v>80</v>
      </c>
    </row>
    <row r="74" spans="1:2" x14ac:dyDescent="0.2">
      <c r="A74" t="s">
        <v>17</v>
      </c>
      <c r="B74" s="3">
        <v>80</v>
      </c>
    </row>
    <row r="75" spans="1:2" x14ac:dyDescent="0.2">
      <c r="A75" t="s">
        <v>17</v>
      </c>
      <c r="B75" s="3">
        <v>79.650000000000006</v>
      </c>
    </row>
    <row r="76" spans="1:2" x14ac:dyDescent="0.2">
      <c r="A76" t="s">
        <v>17</v>
      </c>
      <c r="B76" s="3">
        <v>79.650000000000006</v>
      </c>
    </row>
    <row r="77" spans="1:2" x14ac:dyDescent="0.2">
      <c r="A77" t="s">
        <v>13</v>
      </c>
      <c r="B77" s="3">
        <v>79.650000000000006</v>
      </c>
    </row>
    <row r="78" spans="1:2" x14ac:dyDescent="0.2">
      <c r="A78" t="s">
        <v>17</v>
      </c>
      <c r="B78" s="3">
        <v>79.2</v>
      </c>
    </row>
    <row r="79" spans="1:2" x14ac:dyDescent="0.2">
      <c r="A79" t="s">
        <v>13</v>
      </c>
      <c r="B79" s="3">
        <v>79.2</v>
      </c>
    </row>
    <row r="80" spans="1:2" x14ac:dyDescent="0.2">
      <c r="A80" t="s">
        <v>13</v>
      </c>
      <c r="B80" s="3">
        <v>79.2</v>
      </c>
    </row>
    <row r="81" spans="1:2" x14ac:dyDescent="0.2">
      <c r="A81" t="s">
        <v>13</v>
      </c>
      <c r="B81" s="3">
        <v>79.2</v>
      </c>
    </row>
    <row r="82" spans="1:2" x14ac:dyDescent="0.2">
      <c r="A82" t="s">
        <v>17</v>
      </c>
      <c r="B82" s="3">
        <v>78.849999999999994</v>
      </c>
    </row>
    <row r="83" spans="1:2" x14ac:dyDescent="0.2">
      <c r="A83" t="s">
        <v>13</v>
      </c>
      <c r="B83" s="3">
        <v>78.849999999999994</v>
      </c>
    </row>
    <row r="84" spans="1:2" x14ac:dyDescent="0.2">
      <c r="A84" t="s">
        <v>17</v>
      </c>
      <c r="B84" s="3">
        <v>78.2667</v>
      </c>
    </row>
    <row r="85" spans="1:2" x14ac:dyDescent="0.2">
      <c r="A85" t="s">
        <v>17</v>
      </c>
      <c r="B85" s="3">
        <v>78.2667</v>
      </c>
    </row>
    <row r="86" spans="1:2" x14ac:dyDescent="0.2">
      <c r="A86" t="s">
        <v>17</v>
      </c>
      <c r="B86" s="3">
        <v>77.958299999999994</v>
      </c>
    </row>
    <row r="87" spans="1:2" x14ac:dyDescent="0.2">
      <c r="A87" t="s">
        <v>17</v>
      </c>
      <c r="B87" s="3">
        <v>77.958299999999994</v>
      </c>
    </row>
    <row r="88" spans="1:2" x14ac:dyDescent="0.2">
      <c r="A88" t="s">
        <v>17</v>
      </c>
      <c r="B88" s="3">
        <v>77.958299999999994</v>
      </c>
    </row>
    <row r="89" spans="1:2" x14ac:dyDescent="0.2">
      <c r="A89" t="s">
        <v>13</v>
      </c>
      <c r="B89" s="3">
        <v>77.287499999999994</v>
      </c>
    </row>
    <row r="90" spans="1:2" x14ac:dyDescent="0.2">
      <c r="A90" t="s">
        <v>13</v>
      </c>
      <c r="B90" s="3">
        <v>77.287499999999994</v>
      </c>
    </row>
    <row r="91" spans="1:2" x14ac:dyDescent="0.2">
      <c r="A91" t="s">
        <v>17</v>
      </c>
      <c r="B91" s="3">
        <v>76.729200000000006</v>
      </c>
    </row>
    <row r="92" spans="1:2" x14ac:dyDescent="0.2">
      <c r="A92" t="s">
        <v>13</v>
      </c>
      <c r="B92" s="3">
        <v>76.729200000000006</v>
      </c>
    </row>
    <row r="93" spans="1:2" x14ac:dyDescent="0.2">
      <c r="A93" t="s">
        <v>13</v>
      </c>
      <c r="B93" s="3">
        <v>76.729200000000006</v>
      </c>
    </row>
    <row r="94" spans="1:2" x14ac:dyDescent="0.2">
      <c r="A94" t="s">
        <v>17</v>
      </c>
      <c r="B94" s="3">
        <v>76.291700000000006</v>
      </c>
    </row>
    <row r="95" spans="1:2" x14ac:dyDescent="0.2">
      <c r="A95" t="s">
        <v>17</v>
      </c>
      <c r="B95" s="3">
        <v>75.25</v>
      </c>
    </row>
    <row r="96" spans="1:2" x14ac:dyDescent="0.2">
      <c r="A96" t="s">
        <v>13</v>
      </c>
      <c r="B96" s="3">
        <v>73.5</v>
      </c>
    </row>
    <row r="97" spans="1:2" x14ac:dyDescent="0.2">
      <c r="A97" t="s">
        <v>13</v>
      </c>
      <c r="B97" s="3">
        <v>73.5</v>
      </c>
    </row>
    <row r="98" spans="1:2" x14ac:dyDescent="0.2">
      <c r="A98" t="s">
        <v>13</v>
      </c>
      <c r="B98" s="3">
        <v>73.5</v>
      </c>
    </row>
    <row r="99" spans="1:2" x14ac:dyDescent="0.2">
      <c r="A99" t="s">
        <v>13</v>
      </c>
      <c r="B99" s="3">
        <v>73.5</v>
      </c>
    </row>
    <row r="100" spans="1:2" x14ac:dyDescent="0.2">
      <c r="A100" t="s">
        <v>13</v>
      </c>
      <c r="B100" s="3">
        <v>73.5</v>
      </c>
    </row>
    <row r="101" spans="1:2" x14ac:dyDescent="0.2">
      <c r="A101" t="s">
        <v>17</v>
      </c>
      <c r="B101" s="3">
        <v>71.283299999999997</v>
      </c>
    </row>
    <row r="102" spans="1:2" x14ac:dyDescent="0.2">
      <c r="A102" t="s">
        <v>17</v>
      </c>
      <c r="B102" s="3">
        <v>71</v>
      </c>
    </row>
    <row r="103" spans="1:2" x14ac:dyDescent="0.2">
      <c r="A103" t="s">
        <v>13</v>
      </c>
      <c r="B103" s="3">
        <v>71</v>
      </c>
    </row>
    <row r="104" spans="1:2" x14ac:dyDescent="0.2">
      <c r="A104" t="s">
        <v>17</v>
      </c>
      <c r="B104" s="3">
        <v>69.55</v>
      </c>
    </row>
    <row r="105" spans="1:2" x14ac:dyDescent="0.2">
      <c r="A105" t="s">
        <v>17</v>
      </c>
      <c r="B105" s="3">
        <v>69.55</v>
      </c>
    </row>
    <row r="106" spans="1:2" x14ac:dyDescent="0.2">
      <c r="A106" t="s">
        <v>17</v>
      </c>
      <c r="B106" s="3">
        <v>69.55</v>
      </c>
    </row>
    <row r="107" spans="1:2" x14ac:dyDescent="0.2">
      <c r="A107" t="s">
        <v>13</v>
      </c>
      <c r="B107" s="3">
        <v>69.55</v>
      </c>
    </row>
    <row r="108" spans="1:2" x14ac:dyDescent="0.2">
      <c r="A108" t="s">
        <v>13</v>
      </c>
      <c r="B108" s="3">
        <v>69.55</v>
      </c>
    </row>
    <row r="109" spans="1:2" x14ac:dyDescent="0.2">
      <c r="A109" t="s">
        <v>13</v>
      </c>
      <c r="B109" s="3">
        <v>69.55</v>
      </c>
    </row>
    <row r="110" spans="1:2" x14ac:dyDescent="0.2">
      <c r="A110" t="s">
        <v>13</v>
      </c>
      <c r="B110" s="3">
        <v>69.55</v>
      </c>
    </row>
    <row r="111" spans="1:2" x14ac:dyDescent="0.2">
      <c r="A111" t="s">
        <v>17</v>
      </c>
      <c r="B111" s="3">
        <v>69.3</v>
      </c>
    </row>
    <row r="112" spans="1:2" x14ac:dyDescent="0.2">
      <c r="A112" t="s">
        <v>17</v>
      </c>
      <c r="B112" s="3">
        <v>69.3</v>
      </c>
    </row>
    <row r="113" spans="1:2" x14ac:dyDescent="0.2">
      <c r="A113" t="s">
        <v>17</v>
      </c>
      <c r="B113" s="3">
        <v>66.599999999999994</v>
      </c>
    </row>
    <row r="114" spans="1:2" x14ac:dyDescent="0.2">
      <c r="A114" t="s">
        <v>13</v>
      </c>
      <c r="B114" s="3">
        <v>66.599999999999994</v>
      </c>
    </row>
    <row r="115" spans="1:2" x14ac:dyDescent="0.2">
      <c r="A115" t="s">
        <v>17</v>
      </c>
      <c r="B115" s="3">
        <v>65</v>
      </c>
    </row>
    <row r="116" spans="1:2" x14ac:dyDescent="0.2">
      <c r="A116" t="s">
        <v>17</v>
      </c>
      <c r="B116" s="3">
        <v>65</v>
      </c>
    </row>
    <row r="117" spans="1:2" x14ac:dyDescent="0.2">
      <c r="A117" t="s">
        <v>13</v>
      </c>
      <c r="B117" s="3">
        <v>63.3583</v>
      </c>
    </row>
    <row r="118" spans="1:2" x14ac:dyDescent="0.2">
      <c r="A118" t="s">
        <v>13</v>
      </c>
      <c r="B118" s="3">
        <v>61.979199999999999</v>
      </c>
    </row>
    <row r="119" spans="1:2" x14ac:dyDescent="0.2">
      <c r="A119" t="s">
        <v>13</v>
      </c>
      <c r="B119" s="3">
        <v>61.379199999999997</v>
      </c>
    </row>
    <row r="120" spans="1:2" x14ac:dyDescent="0.2">
      <c r="A120" t="s">
        <v>13</v>
      </c>
      <c r="B120" s="3">
        <v>61.174999999999997</v>
      </c>
    </row>
    <row r="121" spans="1:2" x14ac:dyDescent="0.2">
      <c r="A121" t="s">
        <v>17</v>
      </c>
      <c r="B121" s="3">
        <v>59.4</v>
      </c>
    </row>
    <row r="122" spans="1:2" x14ac:dyDescent="0.2">
      <c r="A122" t="s">
        <v>17</v>
      </c>
      <c r="B122" s="3">
        <v>57.979199999999999</v>
      </c>
    </row>
    <row r="123" spans="1:2" x14ac:dyDescent="0.2">
      <c r="A123" t="s">
        <v>17</v>
      </c>
      <c r="B123" s="3">
        <v>57.979199999999999</v>
      </c>
    </row>
    <row r="124" spans="1:2" x14ac:dyDescent="0.2">
      <c r="A124" t="s">
        <v>17</v>
      </c>
      <c r="B124" s="3">
        <v>57</v>
      </c>
    </row>
    <row r="125" spans="1:2" x14ac:dyDescent="0.2">
      <c r="A125" t="s">
        <v>13</v>
      </c>
      <c r="B125" s="3">
        <v>57</v>
      </c>
    </row>
    <row r="126" spans="1:2" x14ac:dyDescent="0.2">
      <c r="A126" t="s">
        <v>17</v>
      </c>
      <c r="B126" s="3">
        <v>56.929200000000002</v>
      </c>
    </row>
    <row r="127" spans="1:2" x14ac:dyDescent="0.2">
      <c r="A127" t="s">
        <v>13</v>
      </c>
      <c r="B127" s="3">
        <v>56.929200000000002</v>
      </c>
    </row>
    <row r="128" spans="1:2" x14ac:dyDescent="0.2">
      <c r="A128" t="s">
        <v>13</v>
      </c>
      <c r="B128" s="3">
        <v>56.495800000000003</v>
      </c>
    </row>
    <row r="129" spans="1:2" x14ac:dyDescent="0.2">
      <c r="A129" t="s">
        <v>13</v>
      </c>
      <c r="B129" s="3">
        <v>56.495800000000003</v>
      </c>
    </row>
    <row r="130" spans="1:2" x14ac:dyDescent="0.2">
      <c r="A130" t="s">
        <v>13</v>
      </c>
      <c r="B130" s="3">
        <v>56.495800000000003</v>
      </c>
    </row>
    <row r="131" spans="1:2" x14ac:dyDescent="0.2">
      <c r="A131" t="s">
        <v>13</v>
      </c>
      <c r="B131" s="3">
        <v>56.495800000000003</v>
      </c>
    </row>
    <row r="132" spans="1:2" x14ac:dyDescent="0.2">
      <c r="A132" t="s">
        <v>13</v>
      </c>
      <c r="B132" s="3">
        <v>56.495800000000003</v>
      </c>
    </row>
    <row r="133" spans="1:2" x14ac:dyDescent="0.2">
      <c r="A133" t="s">
        <v>13</v>
      </c>
      <c r="B133" s="3">
        <v>56.495800000000003</v>
      </c>
    </row>
    <row r="134" spans="1:2" x14ac:dyDescent="0.2">
      <c r="A134" t="s">
        <v>13</v>
      </c>
      <c r="B134" s="3">
        <v>56.495800000000003</v>
      </c>
    </row>
    <row r="135" spans="1:2" x14ac:dyDescent="0.2">
      <c r="A135" t="s">
        <v>17</v>
      </c>
      <c r="B135" s="3">
        <v>55.9</v>
      </c>
    </row>
    <row r="136" spans="1:2" x14ac:dyDescent="0.2">
      <c r="A136" t="s">
        <v>13</v>
      </c>
      <c r="B136" s="3">
        <v>55.9</v>
      </c>
    </row>
    <row r="137" spans="1:2" x14ac:dyDescent="0.2">
      <c r="A137" t="s">
        <v>13</v>
      </c>
      <c r="B137" s="3">
        <v>55.441699999999997</v>
      </c>
    </row>
    <row r="138" spans="1:2" x14ac:dyDescent="0.2">
      <c r="A138" t="s">
        <v>17</v>
      </c>
      <c r="B138" s="3">
        <v>55</v>
      </c>
    </row>
    <row r="139" spans="1:2" x14ac:dyDescent="0.2">
      <c r="A139" t="s">
        <v>17</v>
      </c>
      <c r="B139" s="3">
        <v>55</v>
      </c>
    </row>
    <row r="140" spans="1:2" x14ac:dyDescent="0.2">
      <c r="A140" t="s">
        <v>17</v>
      </c>
      <c r="B140" s="3">
        <v>53.1</v>
      </c>
    </row>
    <row r="141" spans="1:2" x14ac:dyDescent="0.2">
      <c r="A141" t="s">
        <v>17</v>
      </c>
      <c r="B141" s="3">
        <v>53.1</v>
      </c>
    </row>
    <row r="142" spans="1:2" x14ac:dyDescent="0.2">
      <c r="A142" t="s">
        <v>13</v>
      </c>
      <c r="B142" s="3">
        <v>53.1</v>
      </c>
    </row>
    <row r="143" spans="1:2" x14ac:dyDescent="0.2">
      <c r="A143" t="s">
        <v>13</v>
      </c>
      <c r="B143" s="3">
        <v>53.1</v>
      </c>
    </row>
    <row r="144" spans="1:2" x14ac:dyDescent="0.2">
      <c r="A144" t="s">
        <v>13</v>
      </c>
      <c r="B144" s="3">
        <v>53.1</v>
      </c>
    </row>
    <row r="145" spans="1:2" x14ac:dyDescent="0.2">
      <c r="A145" t="s">
        <v>17</v>
      </c>
      <c r="B145" s="3">
        <v>52.554200000000002</v>
      </c>
    </row>
    <row r="146" spans="1:2" x14ac:dyDescent="0.2">
      <c r="A146" t="s">
        <v>13</v>
      </c>
      <c r="B146" s="3">
        <v>52.554200000000002</v>
      </c>
    </row>
    <row r="147" spans="1:2" x14ac:dyDescent="0.2">
      <c r="A147" t="s">
        <v>13</v>
      </c>
      <c r="B147" s="3">
        <v>52.554200000000002</v>
      </c>
    </row>
    <row r="148" spans="1:2" x14ac:dyDescent="0.2">
      <c r="A148" t="s">
        <v>17</v>
      </c>
      <c r="B148" s="3">
        <v>52</v>
      </c>
    </row>
    <row r="149" spans="1:2" x14ac:dyDescent="0.2">
      <c r="A149" t="s">
        <v>17</v>
      </c>
      <c r="B149" s="3">
        <v>52</v>
      </c>
    </row>
    <row r="150" spans="1:2" x14ac:dyDescent="0.2">
      <c r="A150" t="s">
        <v>13</v>
      </c>
      <c r="B150" s="3">
        <v>52</v>
      </c>
    </row>
    <row r="151" spans="1:2" x14ac:dyDescent="0.2">
      <c r="A151" t="s">
        <v>13</v>
      </c>
      <c r="B151" s="3">
        <v>52</v>
      </c>
    </row>
    <row r="152" spans="1:2" x14ac:dyDescent="0.2">
      <c r="A152" t="s">
        <v>13</v>
      </c>
      <c r="B152" s="3">
        <v>52</v>
      </c>
    </row>
    <row r="153" spans="1:2" x14ac:dyDescent="0.2">
      <c r="A153" t="s">
        <v>13</v>
      </c>
      <c r="B153" s="3">
        <v>52</v>
      </c>
    </row>
    <row r="154" spans="1:2" x14ac:dyDescent="0.2">
      <c r="A154" t="s">
        <v>13</v>
      </c>
      <c r="B154" s="3">
        <v>52</v>
      </c>
    </row>
    <row r="155" spans="1:2" x14ac:dyDescent="0.2">
      <c r="A155" t="s">
        <v>17</v>
      </c>
      <c r="B155" s="3">
        <v>51.862499999999997</v>
      </c>
    </row>
    <row r="156" spans="1:2" x14ac:dyDescent="0.2">
      <c r="A156" t="s">
        <v>13</v>
      </c>
      <c r="B156" s="3">
        <v>51.862499999999997</v>
      </c>
    </row>
    <row r="157" spans="1:2" x14ac:dyDescent="0.2">
      <c r="A157" t="s">
        <v>17</v>
      </c>
      <c r="B157" s="3">
        <v>51.479199999999999</v>
      </c>
    </row>
    <row r="158" spans="1:2" x14ac:dyDescent="0.2">
      <c r="A158" t="s">
        <v>13</v>
      </c>
      <c r="B158" s="3">
        <v>50.495800000000003</v>
      </c>
    </row>
    <row r="159" spans="1:2" x14ac:dyDescent="0.2">
      <c r="A159" t="s">
        <v>13</v>
      </c>
      <c r="B159" s="3">
        <v>50</v>
      </c>
    </row>
    <row r="160" spans="1:2" x14ac:dyDescent="0.2">
      <c r="A160" t="s">
        <v>17</v>
      </c>
      <c r="B160" s="3">
        <v>49.504199999999997</v>
      </c>
    </row>
    <row r="161" spans="1:2" x14ac:dyDescent="0.2">
      <c r="A161" t="s">
        <v>13</v>
      </c>
      <c r="B161" s="3">
        <v>49.504199999999997</v>
      </c>
    </row>
    <row r="162" spans="1:2" x14ac:dyDescent="0.2">
      <c r="A162" t="s">
        <v>17</v>
      </c>
      <c r="B162" s="3">
        <v>49.5</v>
      </c>
    </row>
    <row r="163" spans="1:2" x14ac:dyDescent="0.2">
      <c r="A163" t="s">
        <v>13</v>
      </c>
      <c r="B163" s="3">
        <v>47.1</v>
      </c>
    </row>
    <row r="164" spans="1:2" x14ac:dyDescent="0.2">
      <c r="A164" t="s">
        <v>17</v>
      </c>
      <c r="B164" s="3">
        <v>46.9</v>
      </c>
    </row>
    <row r="165" spans="1:2" x14ac:dyDescent="0.2">
      <c r="A165" t="s">
        <v>17</v>
      </c>
      <c r="B165" s="3">
        <v>46.9</v>
      </c>
    </row>
    <row r="166" spans="1:2" x14ac:dyDescent="0.2">
      <c r="A166" t="s">
        <v>13</v>
      </c>
      <c r="B166" s="3">
        <v>46.9</v>
      </c>
    </row>
    <row r="167" spans="1:2" x14ac:dyDescent="0.2">
      <c r="A167" t="s">
        <v>13</v>
      </c>
      <c r="B167" s="3">
        <v>46.9</v>
      </c>
    </row>
    <row r="168" spans="1:2" x14ac:dyDescent="0.2">
      <c r="A168" t="s">
        <v>13</v>
      </c>
      <c r="B168" s="3">
        <v>46.9</v>
      </c>
    </row>
    <row r="169" spans="1:2" x14ac:dyDescent="0.2">
      <c r="A169" t="s">
        <v>13</v>
      </c>
      <c r="B169" s="3">
        <v>46.9</v>
      </c>
    </row>
    <row r="170" spans="1:2" x14ac:dyDescent="0.2">
      <c r="A170" t="s">
        <v>13</v>
      </c>
      <c r="B170" s="3">
        <v>42.4</v>
      </c>
    </row>
    <row r="171" spans="1:2" x14ac:dyDescent="0.2">
      <c r="A171" t="s">
        <v>17</v>
      </c>
      <c r="B171" s="3">
        <v>41.5792</v>
      </c>
    </row>
    <row r="172" spans="1:2" x14ac:dyDescent="0.2">
      <c r="A172" t="s">
        <v>17</v>
      </c>
      <c r="B172" s="3">
        <v>41.5792</v>
      </c>
    </row>
    <row r="173" spans="1:2" x14ac:dyDescent="0.2">
      <c r="A173" t="s">
        <v>13</v>
      </c>
      <c r="B173" s="3">
        <v>41.5792</v>
      </c>
    </row>
    <row r="174" spans="1:2" x14ac:dyDescent="0.2">
      <c r="A174" t="s">
        <v>13</v>
      </c>
      <c r="B174" s="3">
        <v>40.125</v>
      </c>
    </row>
    <row r="175" spans="1:2" x14ac:dyDescent="0.2">
      <c r="A175" t="s">
        <v>17</v>
      </c>
      <c r="B175" s="3">
        <v>39.6875</v>
      </c>
    </row>
    <row r="176" spans="1:2" x14ac:dyDescent="0.2">
      <c r="A176" t="s">
        <v>13</v>
      </c>
      <c r="B176" s="3">
        <v>39.6875</v>
      </c>
    </row>
    <row r="177" spans="1:2" x14ac:dyDescent="0.2">
      <c r="A177" t="s">
        <v>13</v>
      </c>
      <c r="B177" s="3">
        <v>39.6875</v>
      </c>
    </row>
    <row r="178" spans="1:2" x14ac:dyDescent="0.2">
      <c r="A178" t="s">
        <v>13</v>
      </c>
      <c r="B178" s="3">
        <v>39.6875</v>
      </c>
    </row>
    <row r="179" spans="1:2" x14ac:dyDescent="0.2">
      <c r="A179" t="s">
        <v>13</v>
      </c>
      <c r="B179" s="3">
        <v>39.6875</v>
      </c>
    </row>
    <row r="180" spans="1:2" x14ac:dyDescent="0.2">
      <c r="A180" t="s">
        <v>13</v>
      </c>
      <c r="B180" s="3">
        <v>39.6875</v>
      </c>
    </row>
    <row r="181" spans="1:2" x14ac:dyDescent="0.2">
      <c r="A181" t="s">
        <v>17</v>
      </c>
      <c r="B181" s="3">
        <v>39.6</v>
      </c>
    </row>
    <row r="182" spans="1:2" x14ac:dyDescent="0.2">
      <c r="A182" t="s">
        <v>13</v>
      </c>
      <c r="B182" s="3">
        <v>39.6</v>
      </c>
    </row>
    <row r="183" spans="1:2" x14ac:dyDescent="0.2">
      <c r="A183" t="s">
        <v>17</v>
      </c>
      <c r="B183" s="3">
        <v>39.4</v>
      </c>
    </row>
    <row r="184" spans="1:2" x14ac:dyDescent="0.2">
      <c r="A184" t="s">
        <v>17</v>
      </c>
      <c r="B184" s="3">
        <v>39</v>
      </c>
    </row>
    <row r="185" spans="1:2" x14ac:dyDescent="0.2">
      <c r="A185" t="s">
        <v>17</v>
      </c>
      <c r="B185" s="3">
        <v>39</v>
      </c>
    </row>
    <row r="186" spans="1:2" x14ac:dyDescent="0.2">
      <c r="A186" t="s">
        <v>13</v>
      </c>
      <c r="B186" s="3">
        <v>39</v>
      </c>
    </row>
    <row r="187" spans="1:2" x14ac:dyDescent="0.2">
      <c r="A187" t="s">
        <v>13</v>
      </c>
      <c r="B187" s="3">
        <v>39</v>
      </c>
    </row>
    <row r="188" spans="1:2" x14ac:dyDescent="0.2">
      <c r="A188" t="s">
        <v>13</v>
      </c>
      <c r="B188" s="3">
        <v>38.5</v>
      </c>
    </row>
    <row r="189" spans="1:2" x14ac:dyDescent="0.2">
      <c r="A189" t="s">
        <v>13</v>
      </c>
      <c r="B189" s="3">
        <v>37.004199999999997</v>
      </c>
    </row>
    <row r="190" spans="1:2" x14ac:dyDescent="0.2">
      <c r="A190" t="s">
        <v>13</v>
      </c>
      <c r="B190" s="3">
        <v>37.004199999999997</v>
      </c>
    </row>
    <row r="191" spans="1:2" x14ac:dyDescent="0.2">
      <c r="A191" t="s">
        <v>13</v>
      </c>
      <c r="B191" s="3">
        <v>36.75</v>
      </c>
    </row>
    <row r="192" spans="1:2" x14ac:dyDescent="0.2">
      <c r="A192" t="s">
        <v>13</v>
      </c>
      <c r="B192" s="3">
        <v>36.75</v>
      </c>
    </row>
    <row r="193" spans="1:2" x14ac:dyDescent="0.2">
      <c r="A193" t="s">
        <v>13</v>
      </c>
      <c r="B193" s="3">
        <v>35.5</v>
      </c>
    </row>
    <row r="194" spans="1:2" x14ac:dyDescent="0.2">
      <c r="A194" t="s">
        <v>13</v>
      </c>
      <c r="B194" s="3">
        <v>35.5</v>
      </c>
    </row>
    <row r="195" spans="1:2" x14ac:dyDescent="0.2">
      <c r="A195" t="s">
        <v>13</v>
      </c>
      <c r="B195" s="3">
        <v>35.5</v>
      </c>
    </row>
    <row r="196" spans="1:2" x14ac:dyDescent="0.2">
      <c r="A196" t="s">
        <v>13</v>
      </c>
      <c r="B196" s="3">
        <v>35.5</v>
      </c>
    </row>
    <row r="197" spans="1:2" x14ac:dyDescent="0.2">
      <c r="A197" t="s">
        <v>13</v>
      </c>
      <c r="B197" s="3">
        <v>35</v>
      </c>
    </row>
    <row r="198" spans="1:2" x14ac:dyDescent="0.2">
      <c r="A198" t="s">
        <v>13</v>
      </c>
      <c r="B198" s="3">
        <v>34.654200000000003</v>
      </c>
    </row>
    <row r="199" spans="1:2" x14ac:dyDescent="0.2">
      <c r="A199" t="s">
        <v>17</v>
      </c>
      <c r="B199" s="3">
        <v>34.375</v>
      </c>
    </row>
    <row r="200" spans="1:2" x14ac:dyDescent="0.2">
      <c r="A200" t="s">
        <v>17</v>
      </c>
      <c r="B200" s="3">
        <v>34.375</v>
      </c>
    </row>
    <row r="201" spans="1:2" x14ac:dyDescent="0.2">
      <c r="A201" t="s">
        <v>17</v>
      </c>
      <c r="B201" s="3">
        <v>34.375</v>
      </c>
    </row>
    <row r="202" spans="1:2" x14ac:dyDescent="0.2">
      <c r="A202" t="s">
        <v>13</v>
      </c>
      <c r="B202" s="3">
        <v>34.375</v>
      </c>
    </row>
    <row r="203" spans="1:2" x14ac:dyDescent="0.2">
      <c r="A203" t="s">
        <v>13</v>
      </c>
      <c r="B203" s="3">
        <v>34.020800000000001</v>
      </c>
    </row>
    <row r="204" spans="1:2" x14ac:dyDescent="0.2">
      <c r="A204" t="s">
        <v>13</v>
      </c>
      <c r="B204" s="3">
        <v>33.5</v>
      </c>
    </row>
    <row r="205" spans="1:2" x14ac:dyDescent="0.2">
      <c r="A205" t="s">
        <v>17</v>
      </c>
      <c r="B205" s="3">
        <v>33</v>
      </c>
    </row>
    <row r="206" spans="1:2" x14ac:dyDescent="0.2">
      <c r="A206" t="s">
        <v>17</v>
      </c>
      <c r="B206" s="3">
        <v>33</v>
      </c>
    </row>
    <row r="207" spans="1:2" x14ac:dyDescent="0.2">
      <c r="A207" t="s">
        <v>13</v>
      </c>
      <c r="B207" s="3">
        <v>33</v>
      </c>
    </row>
    <row r="208" spans="1:2" x14ac:dyDescent="0.2">
      <c r="A208" t="s">
        <v>17</v>
      </c>
      <c r="B208" s="3">
        <v>32.5</v>
      </c>
    </row>
    <row r="209" spans="1:2" x14ac:dyDescent="0.2">
      <c r="A209" t="s">
        <v>13</v>
      </c>
      <c r="B209" s="3">
        <v>32.320799999999998</v>
      </c>
    </row>
    <row r="210" spans="1:2" x14ac:dyDescent="0.2">
      <c r="A210" t="s">
        <v>17</v>
      </c>
      <c r="B210" s="3">
        <v>31.387499999999999</v>
      </c>
    </row>
    <row r="211" spans="1:2" x14ac:dyDescent="0.2">
      <c r="A211" t="s">
        <v>17</v>
      </c>
      <c r="B211" s="3">
        <v>31.387499999999999</v>
      </c>
    </row>
    <row r="212" spans="1:2" x14ac:dyDescent="0.2">
      <c r="A212" t="s">
        <v>13</v>
      </c>
      <c r="B212" s="3">
        <v>31.387499999999999</v>
      </c>
    </row>
    <row r="213" spans="1:2" x14ac:dyDescent="0.2">
      <c r="A213" t="s">
        <v>13</v>
      </c>
      <c r="B213" s="3">
        <v>31.387499999999999</v>
      </c>
    </row>
    <row r="214" spans="1:2" x14ac:dyDescent="0.2">
      <c r="A214" t="s">
        <v>17</v>
      </c>
      <c r="B214" s="3">
        <v>31.274999999999999</v>
      </c>
    </row>
    <row r="215" spans="1:2" x14ac:dyDescent="0.2">
      <c r="A215" t="s">
        <v>17</v>
      </c>
      <c r="B215" s="3">
        <v>31.274999999999999</v>
      </c>
    </row>
    <row r="216" spans="1:2" x14ac:dyDescent="0.2">
      <c r="A216" t="s">
        <v>17</v>
      </c>
      <c r="B216" s="3">
        <v>31.274999999999999</v>
      </c>
    </row>
    <row r="217" spans="1:2" x14ac:dyDescent="0.2">
      <c r="A217" t="s">
        <v>17</v>
      </c>
      <c r="B217" s="3">
        <v>31.274999999999999</v>
      </c>
    </row>
    <row r="218" spans="1:2" x14ac:dyDescent="0.2">
      <c r="A218" t="s">
        <v>17</v>
      </c>
      <c r="B218" s="3">
        <v>31.274999999999999</v>
      </c>
    </row>
    <row r="219" spans="1:2" x14ac:dyDescent="0.2">
      <c r="A219" t="s">
        <v>13</v>
      </c>
      <c r="B219" s="3">
        <v>31.274999999999999</v>
      </c>
    </row>
    <row r="220" spans="1:2" x14ac:dyDescent="0.2">
      <c r="A220" t="s">
        <v>13</v>
      </c>
      <c r="B220" s="3">
        <v>31.274999999999999</v>
      </c>
    </row>
    <row r="221" spans="1:2" x14ac:dyDescent="0.2">
      <c r="A221" t="s">
        <v>17</v>
      </c>
      <c r="B221" s="3">
        <v>31</v>
      </c>
    </row>
    <row r="222" spans="1:2" x14ac:dyDescent="0.2">
      <c r="A222" t="s">
        <v>13</v>
      </c>
      <c r="B222" s="3">
        <v>31</v>
      </c>
    </row>
    <row r="223" spans="1:2" x14ac:dyDescent="0.2">
      <c r="A223" t="s">
        <v>13</v>
      </c>
      <c r="B223" s="3">
        <v>31</v>
      </c>
    </row>
    <row r="224" spans="1:2" x14ac:dyDescent="0.2">
      <c r="A224" t="s">
        <v>13</v>
      </c>
      <c r="B224" s="3">
        <v>30.695799999999998</v>
      </c>
    </row>
    <row r="225" spans="1:2" x14ac:dyDescent="0.2">
      <c r="A225" t="s">
        <v>13</v>
      </c>
      <c r="B225" s="3">
        <v>30.695799999999998</v>
      </c>
    </row>
    <row r="226" spans="1:2" x14ac:dyDescent="0.2">
      <c r="A226" t="s">
        <v>13</v>
      </c>
      <c r="B226" s="3">
        <v>30.5</v>
      </c>
    </row>
    <row r="227" spans="1:2" x14ac:dyDescent="0.2">
      <c r="A227" t="s">
        <v>13</v>
      </c>
      <c r="B227" s="3">
        <v>30.5</v>
      </c>
    </row>
    <row r="228" spans="1:2" x14ac:dyDescent="0.2">
      <c r="A228" t="s">
        <v>13</v>
      </c>
      <c r="B228" s="3">
        <v>30.5</v>
      </c>
    </row>
    <row r="229" spans="1:2" x14ac:dyDescent="0.2">
      <c r="A229" t="s">
        <v>13</v>
      </c>
      <c r="B229" s="3">
        <v>30.5</v>
      </c>
    </row>
    <row r="230" spans="1:2" x14ac:dyDescent="0.2">
      <c r="A230" t="s">
        <v>13</v>
      </c>
      <c r="B230" s="3">
        <v>30.5</v>
      </c>
    </row>
    <row r="231" spans="1:2" x14ac:dyDescent="0.2">
      <c r="A231" t="s">
        <v>17</v>
      </c>
      <c r="B231" s="3">
        <v>30.070799999999998</v>
      </c>
    </row>
    <row r="232" spans="1:2" x14ac:dyDescent="0.2">
      <c r="A232" t="s">
        <v>13</v>
      </c>
      <c r="B232" s="3">
        <v>30.070799999999998</v>
      </c>
    </row>
    <row r="233" spans="1:2" x14ac:dyDescent="0.2">
      <c r="A233" t="s">
        <v>17</v>
      </c>
      <c r="B233" s="3">
        <v>30</v>
      </c>
    </row>
    <row r="234" spans="1:2" x14ac:dyDescent="0.2">
      <c r="A234" t="s">
        <v>17</v>
      </c>
      <c r="B234" s="3">
        <v>30</v>
      </c>
    </row>
    <row r="235" spans="1:2" x14ac:dyDescent="0.2">
      <c r="A235" t="s">
        <v>13</v>
      </c>
      <c r="B235" s="3">
        <v>30</v>
      </c>
    </row>
    <row r="236" spans="1:2" x14ac:dyDescent="0.2">
      <c r="A236" t="s">
        <v>13</v>
      </c>
      <c r="B236" s="3">
        <v>30</v>
      </c>
    </row>
    <row r="237" spans="1:2" x14ac:dyDescent="0.2">
      <c r="A237" t="s">
        <v>13</v>
      </c>
      <c r="B237" s="3">
        <v>30</v>
      </c>
    </row>
    <row r="238" spans="1:2" x14ac:dyDescent="0.2">
      <c r="A238" t="s">
        <v>13</v>
      </c>
      <c r="B238" s="3">
        <v>30</v>
      </c>
    </row>
    <row r="239" spans="1:2" x14ac:dyDescent="0.2">
      <c r="A239" t="s">
        <v>13</v>
      </c>
      <c r="B239" s="3">
        <v>29.7</v>
      </c>
    </row>
    <row r="240" spans="1:2" x14ac:dyDescent="0.2">
      <c r="A240" t="s">
        <v>13</v>
      </c>
      <c r="B240" s="3">
        <v>29.7</v>
      </c>
    </row>
    <row r="241" spans="1:2" x14ac:dyDescent="0.2">
      <c r="A241" t="s">
        <v>13</v>
      </c>
      <c r="B241" s="3">
        <v>29.7</v>
      </c>
    </row>
    <row r="242" spans="1:2" x14ac:dyDescent="0.2">
      <c r="A242" t="s">
        <v>17</v>
      </c>
      <c r="B242" s="3">
        <v>29.125</v>
      </c>
    </row>
    <row r="243" spans="1:2" x14ac:dyDescent="0.2">
      <c r="A243" t="s">
        <v>13</v>
      </c>
      <c r="B243" s="3">
        <v>29.125</v>
      </c>
    </row>
    <row r="244" spans="1:2" x14ac:dyDescent="0.2">
      <c r="A244" t="s">
        <v>13</v>
      </c>
      <c r="B244" s="3">
        <v>29.125</v>
      </c>
    </row>
    <row r="245" spans="1:2" x14ac:dyDescent="0.2">
      <c r="A245" t="s">
        <v>13</v>
      </c>
      <c r="B245" s="3">
        <v>29.125</v>
      </c>
    </row>
    <row r="246" spans="1:2" x14ac:dyDescent="0.2">
      <c r="A246" t="s">
        <v>13</v>
      </c>
      <c r="B246" s="3">
        <v>29.125</v>
      </c>
    </row>
    <row r="247" spans="1:2" x14ac:dyDescent="0.2">
      <c r="A247" t="s">
        <v>17</v>
      </c>
      <c r="B247" s="3">
        <v>29</v>
      </c>
    </row>
    <row r="248" spans="1:2" x14ac:dyDescent="0.2">
      <c r="A248" t="s">
        <v>13</v>
      </c>
      <c r="B248" s="3">
        <v>29</v>
      </c>
    </row>
    <row r="249" spans="1:2" x14ac:dyDescent="0.2">
      <c r="A249" t="s">
        <v>17</v>
      </c>
      <c r="B249" s="3">
        <v>28.712499999999999</v>
      </c>
    </row>
    <row r="250" spans="1:2" x14ac:dyDescent="0.2">
      <c r="A250" t="s">
        <v>13</v>
      </c>
      <c r="B250" s="3">
        <v>28.5</v>
      </c>
    </row>
    <row r="251" spans="1:2" x14ac:dyDescent="0.2">
      <c r="A251" t="s">
        <v>17</v>
      </c>
      <c r="B251" s="3">
        <v>27.9</v>
      </c>
    </row>
    <row r="252" spans="1:2" x14ac:dyDescent="0.2">
      <c r="A252" t="s">
        <v>17</v>
      </c>
      <c r="B252" s="3">
        <v>27.9</v>
      </c>
    </row>
    <row r="253" spans="1:2" x14ac:dyDescent="0.2">
      <c r="A253" t="s">
        <v>17</v>
      </c>
      <c r="B253" s="3">
        <v>27.9</v>
      </c>
    </row>
    <row r="254" spans="1:2" x14ac:dyDescent="0.2">
      <c r="A254" t="s">
        <v>13</v>
      </c>
      <c r="B254" s="3">
        <v>27.9</v>
      </c>
    </row>
    <row r="255" spans="1:2" x14ac:dyDescent="0.2">
      <c r="A255" t="s">
        <v>13</v>
      </c>
      <c r="B255" s="3">
        <v>27.9</v>
      </c>
    </row>
    <row r="256" spans="1:2" x14ac:dyDescent="0.2">
      <c r="A256" t="s">
        <v>13</v>
      </c>
      <c r="B256" s="3">
        <v>27.9</v>
      </c>
    </row>
    <row r="257" spans="1:2" x14ac:dyDescent="0.2">
      <c r="A257" t="s">
        <v>17</v>
      </c>
      <c r="B257" s="3">
        <v>27.75</v>
      </c>
    </row>
    <row r="258" spans="1:2" x14ac:dyDescent="0.2">
      <c r="A258" t="s">
        <v>17</v>
      </c>
      <c r="B258" s="3">
        <v>27.75</v>
      </c>
    </row>
    <row r="259" spans="1:2" x14ac:dyDescent="0.2">
      <c r="A259" t="s">
        <v>13</v>
      </c>
      <c r="B259" s="3">
        <v>27.75</v>
      </c>
    </row>
    <row r="260" spans="1:2" x14ac:dyDescent="0.2">
      <c r="A260" t="s">
        <v>13</v>
      </c>
      <c r="B260" s="3">
        <v>27.75</v>
      </c>
    </row>
    <row r="261" spans="1:2" x14ac:dyDescent="0.2">
      <c r="A261" t="s">
        <v>17</v>
      </c>
      <c r="B261" s="3">
        <v>27.720800000000001</v>
      </c>
    </row>
    <row r="262" spans="1:2" x14ac:dyDescent="0.2">
      <c r="A262" t="s">
        <v>13</v>
      </c>
      <c r="B262" s="3">
        <v>27.720800000000001</v>
      </c>
    </row>
    <row r="263" spans="1:2" x14ac:dyDescent="0.2">
      <c r="A263" t="s">
        <v>13</v>
      </c>
      <c r="B263" s="3">
        <v>27.720800000000001</v>
      </c>
    </row>
    <row r="264" spans="1:2" x14ac:dyDescent="0.2">
      <c r="A264" t="s">
        <v>13</v>
      </c>
      <c r="B264" s="3">
        <v>27.720800000000001</v>
      </c>
    </row>
    <row r="265" spans="1:2" x14ac:dyDescent="0.2">
      <c r="A265" t="s">
        <v>13</v>
      </c>
      <c r="B265" s="3">
        <v>27.720800000000001</v>
      </c>
    </row>
    <row r="266" spans="1:2" x14ac:dyDescent="0.2">
      <c r="A266" t="s">
        <v>17</v>
      </c>
      <c r="B266" s="3">
        <v>27</v>
      </c>
    </row>
    <row r="267" spans="1:2" x14ac:dyDescent="0.2">
      <c r="A267" t="s">
        <v>13</v>
      </c>
      <c r="B267" s="3">
        <v>27</v>
      </c>
    </row>
    <row r="268" spans="1:2" x14ac:dyDescent="0.2">
      <c r="A268" t="s">
        <v>17</v>
      </c>
      <c r="B268" s="3">
        <v>26.55</v>
      </c>
    </row>
    <row r="269" spans="1:2" x14ac:dyDescent="0.2">
      <c r="A269" t="s">
        <v>13</v>
      </c>
      <c r="B269" s="3">
        <v>26.55</v>
      </c>
    </row>
    <row r="270" spans="1:2" x14ac:dyDescent="0.2">
      <c r="A270" t="s">
        <v>13</v>
      </c>
      <c r="B270" s="3">
        <v>26.55</v>
      </c>
    </row>
    <row r="271" spans="1:2" x14ac:dyDescent="0.2">
      <c r="A271" t="s">
        <v>13</v>
      </c>
      <c r="B271" s="3">
        <v>26.55</v>
      </c>
    </row>
    <row r="272" spans="1:2" x14ac:dyDescent="0.2">
      <c r="A272" t="s">
        <v>13</v>
      </c>
      <c r="B272" s="3">
        <v>26.55</v>
      </c>
    </row>
    <row r="273" spans="1:2" x14ac:dyDescent="0.2">
      <c r="A273" t="s">
        <v>13</v>
      </c>
      <c r="B273" s="3">
        <v>26.55</v>
      </c>
    </row>
    <row r="274" spans="1:2" x14ac:dyDescent="0.2">
      <c r="A274" t="s">
        <v>13</v>
      </c>
      <c r="B274" s="3">
        <v>26.55</v>
      </c>
    </row>
    <row r="275" spans="1:2" x14ac:dyDescent="0.2">
      <c r="A275" t="s">
        <v>13</v>
      </c>
      <c r="B275" s="3">
        <v>26.55</v>
      </c>
    </row>
    <row r="276" spans="1:2" x14ac:dyDescent="0.2">
      <c r="A276" t="s">
        <v>13</v>
      </c>
      <c r="B276" s="3">
        <v>26.55</v>
      </c>
    </row>
    <row r="277" spans="1:2" x14ac:dyDescent="0.2">
      <c r="A277" t="s">
        <v>13</v>
      </c>
      <c r="B277" s="3">
        <v>26.55</v>
      </c>
    </row>
    <row r="278" spans="1:2" x14ac:dyDescent="0.2">
      <c r="A278" t="s">
        <v>13</v>
      </c>
      <c r="B278" s="3">
        <v>26.55</v>
      </c>
    </row>
    <row r="279" spans="1:2" x14ac:dyDescent="0.2">
      <c r="A279" t="s">
        <v>13</v>
      </c>
      <c r="B279" s="3">
        <v>26.55</v>
      </c>
    </row>
    <row r="280" spans="1:2" x14ac:dyDescent="0.2">
      <c r="A280" t="s">
        <v>13</v>
      </c>
      <c r="B280" s="3">
        <v>26.55</v>
      </c>
    </row>
    <row r="281" spans="1:2" x14ac:dyDescent="0.2">
      <c r="A281" t="s">
        <v>13</v>
      </c>
      <c r="B281" s="3">
        <v>26.55</v>
      </c>
    </row>
    <row r="282" spans="1:2" x14ac:dyDescent="0.2">
      <c r="A282" t="s">
        <v>13</v>
      </c>
      <c r="B282" s="3">
        <v>26.55</v>
      </c>
    </row>
    <row r="283" spans="1:2" x14ac:dyDescent="0.2">
      <c r="A283" t="s">
        <v>13</v>
      </c>
      <c r="B283" s="3">
        <v>26.387499999999999</v>
      </c>
    </row>
    <row r="284" spans="1:2" x14ac:dyDescent="0.2">
      <c r="A284" t="s">
        <v>13</v>
      </c>
      <c r="B284" s="3">
        <v>26.287500000000001</v>
      </c>
    </row>
    <row r="285" spans="1:2" x14ac:dyDescent="0.2">
      <c r="A285" t="s">
        <v>13</v>
      </c>
      <c r="B285" s="3">
        <v>26.287500000000001</v>
      </c>
    </row>
    <row r="286" spans="1:2" x14ac:dyDescent="0.2">
      <c r="A286" t="s">
        <v>13</v>
      </c>
      <c r="B286" s="3">
        <v>26.287500000000001</v>
      </c>
    </row>
    <row r="287" spans="1:2" x14ac:dyDescent="0.2">
      <c r="A287" t="s">
        <v>17</v>
      </c>
      <c r="B287" s="3">
        <v>26.283300000000001</v>
      </c>
    </row>
    <row r="288" spans="1:2" x14ac:dyDescent="0.2">
      <c r="A288" t="s">
        <v>17</v>
      </c>
      <c r="B288" s="3">
        <v>26.25</v>
      </c>
    </row>
    <row r="289" spans="1:2" x14ac:dyDescent="0.2">
      <c r="A289" t="s">
        <v>17</v>
      </c>
      <c r="B289" s="3">
        <v>26.25</v>
      </c>
    </row>
    <row r="290" spans="1:2" x14ac:dyDescent="0.2">
      <c r="A290" t="s">
        <v>17</v>
      </c>
      <c r="B290" s="3">
        <v>26.25</v>
      </c>
    </row>
    <row r="291" spans="1:2" x14ac:dyDescent="0.2">
      <c r="A291" t="s">
        <v>17</v>
      </c>
      <c r="B291" s="3">
        <v>26.25</v>
      </c>
    </row>
    <row r="292" spans="1:2" x14ac:dyDescent="0.2">
      <c r="A292" t="s">
        <v>13</v>
      </c>
      <c r="B292" s="3">
        <v>26.25</v>
      </c>
    </row>
    <row r="293" spans="1:2" x14ac:dyDescent="0.2">
      <c r="A293" t="s">
        <v>13</v>
      </c>
      <c r="B293" s="3">
        <v>26.25</v>
      </c>
    </row>
    <row r="294" spans="1:2" x14ac:dyDescent="0.2">
      <c r="A294" t="s">
        <v>17</v>
      </c>
      <c r="B294" s="3">
        <v>26</v>
      </c>
    </row>
    <row r="295" spans="1:2" x14ac:dyDescent="0.2">
      <c r="A295" t="s">
        <v>17</v>
      </c>
      <c r="B295" s="3">
        <v>26</v>
      </c>
    </row>
    <row r="296" spans="1:2" x14ac:dyDescent="0.2">
      <c r="A296" t="s">
        <v>17</v>
      </c>
      <c r="B296" s="3">
        <v>26</v>
      </c>
    </row>
    <row r="297" spans="1:2" x14ac:dyDescent="0.2">
      <c r="A297" t="s">
        <v>17</v>
      </c>
      <c r="B297" s="3">
        <v>26</v>
      </c>
    </row>
    <row r="298" spans="1:2" x14ac:dyDescent="0.2">
      <c r="A298" t="s">
        <v>17</v>
      </c>
      <c r="B298" s="3">
        <v>26</v>
      </c>
    </row>
    <row r="299" spans="1:2" x14ac:dyDescent="0.2">
      <c r="A299" t="s">
        <v>17</v>
      </c>
      <c r="B299" s="3">
        <v>26</v>
      </c>
    </row>
    <row r="300" spans="1:2" x14ac:dyDescent="0.2">
      <c r="A300" t="s">
        <v>17</v>
      </c>
      <c r="B300" s="3">
        <v>26</v>
      </c>
    </row>
    <row r="301" spans="1:2" x14ac:dyDescent="0.2">
      <c r="A301" t="s">
        <v>17</v>
      </c>
      <c r="B301" s="3">
        <v>26</v>
      </c>
    </row>
    <row r="302" spans="1:2" x14ac:dyDescent="0.2">
      <c r="A302" t="s">
        <v>17</v>
      </c>
      <c r="B302" s="3">
        <v>26</v>
      </c>
    </row>
    <row r="303" spans="1:2" x14ac:dyDescent="0.2">
      <c r="A303" t="s">
        <v>17</v>
      </c>
      <c r="B303" s="3">
        <v>26</v>
      </c>
    </row>
    <row r="304" spans="1:2" x14ac:dyDescent="0.2">
      <c r="A304" t="s">
        <v>17</v>
      </c>
      <c r="B304" s="3">
        <v>26</v>
      </c>
    </row>
    <row r="305" spans="1:2" x14ac:dyDescent="0.2">
      <c r="A305" t="s">
        <v>17</v>
      </c>
      <c r="B305" s="3">
        <v>26</v>
      </c>
    </row>
    <row r="306" spans="1:2" x14ac:dyDescent="0.2">
      <c r="A306" t="s">
        <v>17</v>
      </c>
      <c r="B306" s="3">
        <v>26</v>
      </c>
    </row>
    <row r="307" spans="1:2" x14ac:dyDescent="0.2">
      <c r="A307" t="s">
        <v>17</v>
      </c>
      <c r="B307" s="3">
        <v>26</v>
      </c>
    </row>
    <row r="308" spans="1:2" x14ac:dyDescent="0.2">
      <c r="A308" t="s">
        <v>13</v>
      </c>
      <c r="B308" s="3">
        <v>26</v>
      </c>
    </row>
    <row r="309" spans="1:2" x14ac:dyDescent="0.2">
      <c r="A309" t="s">
        <v>13</v>
      </c>
      <c r="B309" s="3">
        <v>26</v>
      </c>
    </row>
    <row r="310" spans="1:2" x14ac:dyDescent="0.2">
      <c r="A310" t="s">
        <v>13</v>
      </c>
      <c r="B310" s="3">
        <v>26</v>
      </c>
    </row>
    <row r="311" spans="1:2" x14ac:dyDescent="0.2">
      <c r="A311" t="s">
        <v>13</v>
      </c>
      <c r="B311" s="3">
        <v>26</v>
      </c>
    </row>
    <row r="312" spans="1:2" x14ac:dyDescent="0.2">
      <c r="A312" t="s">
        <v>13</v>
      </c>
      <c r="B312" s="3">
        <v>26</v>
      </c>
    </row>
    <row r="313" spans="1:2" x14ac:dyDescent="0.2">
      <c r="A313" t="s">
        <v>13</v>
      </c>
      <c r="B313" s="3">
        <v>26</v>
      </c>
    </row>
    <row r="314" spans="1:2" x14ac:dyDescent="0.2">
      <c r="A314" t="s">
        <v>13</v>
      </c>
      <c r="B314" s="3">
        <v>26</v>
      </c>
    </row>
    <row r="315" spans="1:2" x14ac:dyDescent="0.2">
      <c r="A315" t="s">
        <v>13</v>
      </c>
      <c r="B315" s="3">
        <v>26</v>
      </c>
    </row>
    <row r="316" spans="1:2" x14ac:dyDescent="0.2">
      <c r="A316" t="s">
        <v>13</v>
      </c>
      <c r="B316" s="3">
        <v>26</v>
      </c>
    </row>
    <row r="317" spans="1:2" x14ac:dyDescent="0.2">
      <c r="A317" t="s">
        <v>13</v>
      </c>
      <c r="B317" s="3">
        <v>26</v>
      </c>
    </row>
    <row r="318" spans="1:2" x14ac:dyDescent="0.2">
      <c r="A318" t="s">
        <v>13</v>
      </c>
      <c r="B318" s="3">
        <v>26</v>
      </c>
    </row>
    <row r="319" spans="1:2" x14ac:dyDescent="0.2">
      <c r="A319" t="s">
        <v>13</v>
      </c>
      <c r="B319" s="3">
        <v>26</v>
      </c>
    </row>
    <row r="320" spans="1:2" x14ac:dyDescent="0.2">
      <c r="A320" t="s">
        <v>13</v>
      </c>
      <c r="B320" s="3">
        <v>26</v>
      </c>
    </row>
    <row r="321" spans="1:2" x14ac:dyDescent="0.2">
      <c r="A321" t="s">
        <v>13</v>
      </c>
      <c r="B321" s="3">
        <v>26</v>
      </c>
    </row>
    <row r="322" spans="1:2" x14ac:dyDescent="0.2">
      <c r="A322" t="s">
        <v>13</v>
      </c>
      <c r="B322" s="3">
        <v>26</v>
      </c>
    </row>
    <row r="323" spans="1:2" x14ac:dyDescent="0.2">
      <c r="A323" t="s">
        <v>13</v>
      </c>
      <c r="B323" s="3">
        <v>26</v>
      </c>
    </row>
    <row r="324" spans="1:2" x14ac:dyDescent="0.2">
      <c r="A324" t="s">
        <v>13</v>
      </c>
      <c r="B324" s="3">
        <v>26</v>
      </c>
    </row>
    <row r="325" spans="1:2" x14ac:dyDescent="0.2">
      <c r="A325" t="s">
        <v>17</v>
      </c>
      <c r="B325" s="3">
        <v>25.929200000000002</v>
      </c>
    </row>
    <row r="326" spans="1:2" x14ac:dyDescent="0.2">
      <c r="A326" t="s">
        <v>17</v>
      </c>
      <c r="B326" s="3">
        <v>25.929200000000002</v>
      </c>
    </row>
    <row r="327" spans="1:2" x14ac:dyDescent="0.2">
      <c r="A327" t="s">
        <v>13</v>
      </c>
      <c r="B327" s="3">
        <v>25.925000000000001</v>
      </c>
    </row>
    <row r="328" spans="1:2" x14ac:dyDescent="0.2">
      <c r="A328" t="s">
        <v>13</v>
      </c>
      <c r="B328" s="3">
        <v>25.587499999999999</v>
      </c>
    </row>
    <row r="329" spans="1:2" x14ac:dyDescent="0.2">
      <c r="A329" t="s">
        <v>17</v>
      </c>
      <c r="B329" s="3">
        <v>25.466699999999999</v>
      </c>
    </row>
    <row r="330" spans="1:2" x14ac:dyDescent="0.2">
      <c r="A330" t="s">
        <v>17</v>
      </c>
      <c r="B330" s="3">
        <v>25.466699999999999</v>
      </c>
    </row>
    <row r="331" spans="1:2" x14ac:dyDescent="0.2">
      <c r="A331" t="s">
        <v>17</v>
      </c>
      <c r="B331" s="3">
        <v>25.466699999999999</v>
      </c>
    </row>
    <row r="332" spans="1:2" x14ac:dyDescent="0.2">
      <c r="A332" t="s">
        <v>13</v>
      </c>
      <c r="B332" s="3">
        <v>25.466699999999999</v>
      </c>
    </row>
    <row r="333" spans="1:2" x14ac:dyDescent="0.2">
      <c r="A333" t="s">
        <v>17</v>
      </c>
      <c r="B333" s="3">
        <v>24.15</v>
      </c>
    </row>
    <row r="334" spans="1:2" x14ac:dyDescent="0.2">
      <c r="A334" t="s">
        <v>17</v>
      </c>
      <c r="B334" s="3">
        <v>24.15</v>
      </c>
    </row>
    <row r="335" spans="1:2" x14ac:dyDescent="0.2">
      <c r="A335" t="s">
        <v>17</v>
      </c>
      <c r="B335" s="3">
        <v>24.15</v>
      </c>
    </row>
    <row r="336" spans="1:2" x14ac:dyDescent="0.2">
      <c r="A336" t="s">
        <v>13</v>
      </c>
      <c r="B336" s="3">
        <v>24.15</v>
      </c>
    </row>
    <row r="337" spans="1:2" x14ac:dyDescent="0.2">
      <c r="A337" t="s">
        <v>13</v>
      </c>
      <c r="B337" s="3">
        <v>24.15</v>
      </c>
    </row>
    <row r="338" spans="1:2" x14ac:dyDescent="0.2">
      <c r="A338" t="s">
        <v>13</v>
      </c>
      <c r="B338" s="3">
        <v>24.15</v>
      </c>
    </row>
    <row r="339" spans="1:2" x14ac:dyDescent="0.2">
      <c r="A339" t="s">
        <v>13</v>
      </c>
      <c r="B339" s="3">
        <v>24.15</v>
      </c>
    </row>
    <row r="340" spans="1:2" x14ac:dyDescent="0.2">
      <c r="A340" t="s">
        <v>13</v>
      </c>
      <c r="B340" s="3">
        <v>24.15</v>
      </c>
    </row>
    <row r="341" spans="1:2" x14ac:dyDescent="0.2">
      <c r="A341" t="s">
        <v>17</v>
      </c>
      <c r="B341" s="3">
        <v>24</v>
      </c>
    </row>
    <row r="342" spans="1:2" x14ac:dyDescent="0.2">
      <c r="A342" t="s">
        <v>13</v>
      </c>
      <c r="B342" s="3">
        <v>24</v>
      </c>
    </row>
    <row r="343" spans="1:2" x14ac:dyDescent="0.2">
      <c r="A343" t="s">
        <v>17</v>
      </c>
      <c r="B343" s="3">
        <v>23.45</v>
      </c>
    </row>
    <row r="344" spans="1:2" x14ac:dyDescent="0.2">
      <c r="A344" t="s">
        <v>13</v>
      </c>
      <c r="B344" s="3">
        <v>23.45</v>
      </c>
    </row>
    <row r="345" spans="1:2" x14ac:dyDescent="0.2">
      <c r="A345" t="s">
        <v>17</v>
      </c>
      <c r="B345" s="3">
        <v>23.25</v>
      </c>
    </row>
    <row r="346" spans="1:2" x14ac:dyDescent="0.2">
      <c r="A346" t="s">
        <v>13</v>
      </c>
      <c r="B346" s="3">
        <v>23.25</v>
      </c>
    </row>
    <row r="347" spans="1:2" x14ac:dyDescent="0.2">
      <c r="A347" t="s">
        <v>17</v>
      </c>
      <c r="B347" s="3">
        <v>23</v>
      </c>
    </row>
    <row r="348" spans="1:2" x14ac:dyDescent="0.2">
      <c r="A348" t="s">
        <v>17</v>
      </c>
      <c r="B348" s="3">
        <v>23</v>
      </c>
    </row>
    <row r="349" spans="1:2" x14ac:dyDescent="0.2">
      <c r="A349" t="s">
        <v>17</v>
      </c>
      <c r="B349" s="3">
        <v>23</v>
      </c>
    </row>
    <row r="350" spans="1:2" x14ac:dyDescent="0.2">
      <c r="A350" t="s">
        <v>17</v>
      </c>
      <c r="B350" s="3">
        <v>23</v>
      </c>
    </row>
    <row r="351" spans="1:2" x14ac:dyDescent="0.2">
      <c r="A351" t="s">
        <v>13</v>
      </c>
      <c r="B351" s="3">
        <v>22.524999999999999</v>
      </c>
    </row>
    <row r="352" spans="1:2" x14ac:dyDescent="0.2">
      <c r="A352" t="s">
        <v>17</v>
      </c>
      <c r="B352" s="3">
        <v>22.3583</v>
      </c>
    </row>
    <row r="353" spans="1:2" x14ac:dyDescent="0.2">
      <c r="A353" t="s">
        <v>17</v>
      </c>
      <c r="B353" s="3">
        <v>22.3583</v>
      </c>
    </row>
    <row r="354" spans="1:2" x14ac:dyDescent="0.2">
      <c r="A354" t="s">
        <v>17</v>
      </c>
      <c r="B354" s="3">
        <v>22.024999999999999</v>
      </c>
    </row>
    <row r="355" spans="1:2" x14ac:dyDescent="0.2">
      <c r="A355" t="s">
        <v>13</v>
      </c>
      <c r="B355" s="3">
        <v>21.679200000000002</v>
      </c>
    </row>
    <row r="356" spans="1:2" x14ac:dyDescent="0.2">
      <c r="A356" t="s">
        <v>17</v>
      </c>
      <c r="B356" s="3">
        <v>21.074999999999999</v>
      </c>
    </row>
    <row r="357" spans="1:2" x14ac:dyDescent="0.2">
      <c r="A357" t="s">
        <v>17</v>
      </c>
      <c r="B357" s="3">
        <v>21.074999999999999</v>
      </c>
    </row>
    <row r="358" spans="1:2" x14ac:dyDescent="0.2">
      <c r="A358" t="s">
        <v>17</v>
      </c>
      <c r="B358" s="3">
        <v>21.074999999999999</v>
      </c>
    </row>
    <row r="359" spans="1:2" x14ac:dyDescent="0.2">
      <c r="A359" t="s">
        <v>13</v>
      </c>
      <c r="B359" s="3">
        <v>21.074999999999999</v>
      </c>
    </row>
    <row r="360" spans="1:2" x14ac:dyDescent="0.2">
      <c r="A360" t="s">
        <v>17</v>
      </c>
      <c r="B360" s="3">
        <v>21</v>
      </c>
    </row>
    <row r="361" spans="1:2" x14ac:dyDescent="0.2">
      <c r="A361" t="s">
        <v>17</v>
      </c>
      <c r="B361" s="3">
        <v>21</v>
      </c>
    </row>
    <row r="362" spans="1:2" x14ac:dyDescent="0.2">
      <c r="A362" t="s">
        <v>17</v>
      </c>
      <c r="B362" s="3">
        <v>21</v>
      </c>
    </row>
    <row r="363" spans="1:2" x14ac:dyDescent="0.2">
      <c r="A363" t="s">
        <v>13</v>
      </c>
      <c r="B363" s="3">
        <v>21</v>
      </c>
    </row>
    <row r="364" spans="1:2" x14ac:dyDescent="0.2">
      <c r="A364" t="s">
        <v>13</v>
      </c>
      <c r="B364" s="3">
        <v>21</v>
      </c>
    </row>
    <row r="365" spans="1:2" x14ac:dyDescent="0.2">
      <c r="A365" t="s">
        <v>13</v>
      </c>
      <c r="B365" s="3">
        <v>21</v>
      </c>
    </row>
    <row r="366" spans="1:2" x14ac:dyDescent="0.2">
      <c r="A366" t="s">
        <v>13</v>
      </c>
      <c r="B366" s="3">
        <v>20.574999999999999</v>
      </c>
    </row>
    <row r="367" spans="1:2" x14ac:dyDescent="0.2">
      <c r="A367" t="s">
        <v>13</v>
      </c>
      <c r="B367" s="3">
        <v>20.574999999999999</v>
      </c>
    </row>
    <row r="368" spans="1:2" x14ac:dyDescent="0.2">
      <c r="A368" t="s">
        <v>17</v>
      </c>
      <c r="B368" s="3">
        <v>20.524999999999999</v>
      </c>
    </row>
    <row r="369" spans="1:2" x14ac:dyDescent="0.2">
      <c r="A369" t="s">
        <v>13</v>
      </c>
      <c r="B369" s="3">
        <v>20.524999999999999</v>
      </c>
    </row>
    <row r="370" spans="1:2" x14ac:dyDescent="0.2">
      <c r="A370" t="s">
        <v>13</v>
      </c>
      <c r="B370" s="3">
        <v>20.524999999999999</v>
      </c>
    </row>
    <row r="371" spans="1:2" x14ac:dyDescent="0.2">
      <c r="A371" t="s">
        <v>17</v>
      </c>
      <c r="B371" s="3">
        <v>20.25</v>
      </c>
    </row>
    <row r="372" spans="1:2" x14ac:dyDescent="0.2">
      <c r="A372" t="s">
        <v>13</v>
      </c>
      <c r="B372" s="3">
        <v>20.25</v>
      </c>
    </row>
    <row r="373" spans="1:2" x14ac:dyDescent="0.2">
      <c r="A373" t="s">
        <v>17</v>
      </c>
      <c r="B373" s="3">
        <v>20.212499999999999</v>
      </c>
    </row>
    <row r="374" spans="1:2" x14ac:dyDescent="0.2">
      <c r="A374" t="s">
        <v>13</v>
      </c>
      <c r="B374" s="3">
        <v>20.212499999999999</v>
      </c>
    </row>
    <row r="375" spans="1:2" x14ac:dyDescent="0.2">
      <c r="A375" t="s">
        <v>13</v>
      </c>
      <c r="B375" s="3">
        <v>19.966699999999999</v>
      </c>
    </row>
    <row r="376" spans="1:2" x14ac:dyDescent="0.2">
      <c r="A376" t="s">
        <v>13</v>
      </c>
      <c r="B376" s="3">
        <v>19.966699999999999</v>
      </c>
    </row>
    <row r="377" spans="1:2" x14ac:dyDescent="0.2">
      <c r="A377" t="s">
        <v>17</v>
      </c>
      <c r="B377" s="3">
        <v>19.5</v>
      </c>
    </row>
    <row r="378" spans="1:2" x14ac:dyDescent="0.2">
      <c r="A378" t="s">
        <v>17</v>
      </c>
      <c r="B378" s="3">
        <v>19.5</v>
      </c>
    </row>
    <row r="379" spans="1:2" x14ac:dyDescent="0.2">
      <c r="A379" t="s">
        <v>17</v>
      </c>
      <c r="B379" s="3">
        <v>19.258299999999998</v>
      </c>
    </row>
    <row r="380" spans="1:2" x14ac:dyDescent="0.2">
      <c r="A380" t="s">
        <v>17</v>
      </c>
      <c r="B380" s="3">
        <v>19.258299999999998</v>
      </c>
    </row>
    <row r="381" spans="1:2" x14ac:dyDescent="0.2">
      <c r="A381" t="s">
        <v>17</v>
      </c>
      <c r="B381" s="3">
        <v>19.258299999999998</v>
      </c>
    </row>
    <row r="382" spans="1:2" x14ac:dyDescent="0.2">
      <c r="A382" t="s">
        <v>17</v>
      </c>
      <c r="B382" s="3">
        <v>19.258299999999998</v>
      </c>
    </row>
    <row r="383" spans="1:2" x14ac:dyDescent="0.2">
      <c r="A383" t="s">
        <v>13</v>
      </c>
      <c r="B383" s="3">
        <v>18.787500000000001</v>
      </c>
    </row>
    <row r="384" spans="1:2" x14ac:dyDescent="0.2">
      <c r="A384" t="s">
        <v>13</v>
      </c>
      <c r="B384" s="3">
        <v>18.787500000000001</v>
      </c>
    </row>
    <row r="385" spans="1:2" x14ac:dyDescent="0.2">
      <c r="A385" t="s">
        <v>17</v>
      </c>
      <c r="B385" s="3">
        <v>18.75</v>
      </c>
    </row>
    <row r="386" spans="1:2" x14ac:dyDescent="0.2">
      <c r="A386" t="s">
        <v>13</v>
      </c>
      <c r="B386" s="3">
        <v>18.75</v>
      </c>
    </row>
    <row r="387" spans="1:2" x14ac:dyDescent="0.2">
      <c r="A387" t="s">
        <v>13</v>
      </c>
      <c r="B387" s="3">
        <v>18.75</v>
      </c>
    </row>
    <row r="388" spans="1:2" x14ac:dyDescent="0.2">
      <c r="A388" t="s">
        <v>17</v>
      </c>
      <c r="B388" s="3">
        <v>18</v>
      </c>
    </row>
    <row r="389" spans="1:2" x14ac:dyDescent="0.2">
      <c r="A389" t="s">
        <v>17</v>
      </c>
      <c r="B389" s="3">
        <v>18</v>
      </c>
    </row>
    <row r="390" spans="1:2" x14ac:dyDescent="0.2">
      <c r="A390" t="s">
        <v>13</v>
      </c>
      <c r="B390" s="3">
        <v>18</v>
      </c>
    </row>
    <row r="391" spans="1:2" x14ac:dyDescent="0.2">
      <c r="A391" t="s">
        <v>17</v>
      </c>
      <c r="B391" s="3">
        <v>17.8</v>
      </c>
    </row>
    <row r="392" spans="1:2" x14ac:dyDescent="0.2">
      <c r="A392" t="s">
        <v>13</v>
      </c>
      <c r="B392" s="3">
        <v>17.8</v>
      </c>
    </row>
    <row r="393" spans="1:2" x14ac:dyDescent="0.2">
      <c r="A393" t="s">
        <v>17</v>
      </c>
      <c r="B393" s="3">
        <v>17.399999999999999</v>
      </c>
    </row>
    <row r="394" spans="1:2" x14ac:dyDescent="0.2">
      <c r="A394" t="s">
        <v>17</v>
      </c>
      <c r="B394" s="3">
        <v>16.7</v>
      </c>
    </row>
    <row r="395" spans="1:2" x14ac:dyDescent="0.2">
      <c r="A395" t="s">
        <v>17</v>
      </c>
      <c r="B395" s="3">
        <v>16.7</v>
      </c>
    </row>
    <row r="396" spans="1:2" x14ac:dyDescent="0.2">
      <c r="A396" t="s">
        <v>17</v>
      </c>
      <c r="B396" s="3">
        <v>16.100000000000001</v>
      </c>
    </row>
    <row r="397" spans="1:2" x14ac:dyDescent="0.2">
      <c r="A397" t="s">
        <v>17</v>
      </c>
      <c r="B397" s="3">
        <v>16.100000000000001</v>
      </c>
    </row>
    <row r="398" spans="1:2" x14ac:dyDescent="0.2">
      <c r="A398" t="s">
        <v>17</v>
      </c>
      <c r="B398" s="3">
        <v>16.100000000000001</v>
      </c>
    </row>
    <row r="399" spans="1:2" x14ac:dyDescent="0.2">
      <c r="A399" t="s">
        <v>13</v>
      </c>
      <c r="B399" s="3">
        <v>16.100000000000001</v>
      </c>
    </row>
    <row r="400" spans="1:2" x14ac:dyDescent="0.2">
      <c r="A400" t="s">
        <v>13</v>
      </c>
      <c r="B400" s="3">
        <v>16.100000000000001</v>
      </c>
    </row>
    <row r="401" spans="1:2" x14ac:dyDescent="0.2">
      <c r="A401" t="s">
        <v>13</v>
      </c>
      <c r="B401" s="3">
        <v>16.100000000000001</v>
      </c>
    </row>
    <row r="402" spans="1:2" x14ac:dyDescent="0.2">
      <c r="A402" t="s">
        <v>13</v>
      </c>
      <c r="B402" s="3">
        <v>16.100000000000001</v>
      </c>
    </row>
    <row r="403" spans="1:2" x14ac:dyDescent="0.2">
      <c r="A403" t="s">
        <v>13</v>
      </c>
      <c r="B403" s="3">
        <v>16.100000000000001</v>
      </c>
    </row>
    <row r="404" spans="1:2" x14ac:dyDescent="0.2">
      <c r="A404" t="s">
        <v>13</v>
      </c>
      <c r="B404" s="3">
        <v>16.100000000000001</v>
      </c>
    </row>
    <row r="405" spans="1:2" x14ac:dyDescent="0.2">
      <c r="A405" t="s">
        <v>17</v>
      </c>
      <c r="B405" s="3">
        <v>16</v>
      </c>
    </row>
    <row r="406" spans="1:2" x14ac:dyDescent="0.2">
      <c r="A406" t="s">
        <v>13</v>
      </c>
      <c r="B406" s="3">
        <v>15.9</v>
      </c>
    </row>
    <row r="407" spans="1:2" x14ac:dyDescent="0.2">
      <c r="A407" t="s">
        <v>13</v>
      </c>
      <c r="B407" s="3">
        <v>15.9</v>
      </c>
    </row>
    <row r="408" spans="1:2" x14ac:dyDescent="0.2">
      <c r="A408" t="s">
        <v>17</v>
      </c>
      <c r="B408" s="3">
        <v>15.85</v>
      </c>
    </row>
    <row r="409" spans="1:2" x14ac:dyDescent="0.2">
      <c r="A409" t="s">
        <v>17</v>
      </c>
      <c r="B409" s="3">
        <v>15.85</v>
      </c>
    </row>
    <row r="410" spans="1:2" x14ac:dyDescent="0.2">
      <c r="A410" t="s">
        <v>13</v>
      </c>
      <c r="B410" s="3">
        <v>15.85</v>
      </c>
    </row>
    <row r="411" spans="1:2" x14ac:dyDescent="0.2">
      <c r="A411" t="s">
        <v>13</v>
      </c>
      <c r="B411" s="3">
        <v>15.85</v>
      </c>
    </row>
    <row r="412" spans="1:2" x14ac:dyDescent="0.2">
      <c r="A412" t="s">
        <v>17</v>
      </c>
      <c r="B412" s="3">
        <v>15.75</v>
      </c>
    </row>
    <row r="413" spans="1:2" x14ac:dyDescent="0.2">
      <c r="A413" t="s">
        <v>17</v>
      </c>
      <c r="B413" s="3">
        <v>15.7417</v>
      </c>
    </row>
    <row r="414" spans="1:2" x14ac:dyDescent="0.2">
      <c r="A414" t="s">
        <v>13</v>
      </c>
      <c r="B414" s="3">
        <v>15.7417</v>
      </c>
    </row>
    <row r="415" spans="1:2" x14ac:dyDescent="0.2">
      <c r="A415" t="s">
        <v>13</v>
      </c>
      <c r="B415" s="3">
        <v>15.55</v>
      </c>
    </row>
    <row r="416" spans="1:2" x14ac:dyDescent="0.2">
      <c r="A416" t="s">
        <v>17</v>
      </c>
      <c r="B416" s="3">
        <v>15.5</v>
      </c>
    </row>
    <row r="417" spans="1:2" x14ac:dyDescent="0.2">
      <c r="A417" t="s">
        <v>17</v>
      </c>
      <c r="B417" s="3">
        <v>15.5</v>
      </c>
    </row>
    <row r="418" spans="1:2" x14ac:dyDescent="0.2">
      <c r="A418" t="s">
        <v>17</v>
      </c>
      <c r="B418" s="3">
        <v>15.5</v>
      </c>
    </row>
    <row r="419" spans="1:2" x14ac:dyDescent="0.2">
      <c r="A419" t="s">
        <v>17</v>
      </c>
      <c r="B419" s="3">
        <v>15.5</v>
      </c>
    </row>
    <row r="420" spans="1:2" x14ac:dyDescent="0.2">
      <c r="A420" t="s">
        <v>13</v>
      </c>
      <c r="B420" s="3">
        <v>15.5</v>
      </c>
    </row>
    <row r="421" spans="1:2" x14ac:dyDescent="0.2">
      <c r="A421" t="s">
        <v>13</v>
      </c>
      <c r="B421" s="3">
        <v>15.5</v>
      </c>
    </row>
    <row r="422" spans="1:2" x14ac:dyDescent="0.2">
      <c r="A422" t="s">
        <v>13</v>
      </c>
      <c r="B422" s="3">
        <v>15.5</v>
      </c>
    </row>
    <row r="423" spans="1:2" x14ac:dyDescent="0.2">
      <c r="A423" t="s">
        <v>13</v>
      </c>
      <c r="B423" s="3">
        <v>15.5</v>
      </c>
    </row>
    <row r="424" spans="1:2" x14ac:dyDescent="0.2">
      <c r="A424" t="s">
        <v>17</v>
      </c>
      <c r="B424" s="3">
        <v>15.245799999999999</v>
      </c>
    </row>
    <row r="425" spans="1:2" x14ac:dyDescent="0.2">
      <c r="A425" t="s">
        <v>17</v>
      </c>
      <c r="B425" s="3">
        <v>15.245799999999999</v>
      </c>
    </row>
    <row r="426" spans="1:2" x14ac:dyDescent="0.2">
      <c r="A426" t="s">
        <v>17</v>
      </c>
      <c r="B426" s="3">
        <v>15.245799999999999</v>
      </c>
    </row>
    <row r="427" spans="1:2" x14ac:dyDescent="0.2">
      <c r="A427" t="s">
        <v>13</v>
      </c>
      <c r="B427" s="3">
        <v>15.245799999999999</v>
      </c>
    </row>
    <row r="428" spans="1:2" x14ac:dyDescent="0.2">
      <c r="A428" t="s">
        <v>13</v>
      </c>
      <c r="B428" s="3">
        <v>15.245799999999999</v>
      </c>
    </row>
    <row r="429" spans="1:2" x14ac:dyDescent="0.2">
      <c r="A429" t="s">
        <v>13</v>
      </c>
      <c r="B429" s="3">
        <v>15.1</v>
      </c>
    </row>
    <row r="430" spans="1:2" x14ac:dyDescent="0.2">
      <c r="A430" t="s">
        <v>13</v>
      </c>
      <c r="B430" s="3">
        <v>15.05</v>
      </c>
    </row>
    <row r="431" spans="1:2" x14ac:dyDescent="0.2">
      <c r="A431" t="s">
        <v>13</v>
      </c>
      <c r="B431" s="3">
        <v>15.0458</v>
      </c>
    </row>
    <row r="432" spans="1:2" x14ac:dyDescent="0.2">
      <c r="A432" t="s">
        <v>13</v>
      </c>
      <c r="B432" s="3">
        <v>15</v>
      </c>
    </row>
    <row r="433" spans="1:2" x14ac:dyDescent="0.2">
      <c r="A433" t="s">
        <v>17</v>
      </c>
      <c r="B433" s="3">
        <v>14.5</v>
      </c>
    </row>
    <row r="434" spans="1:2" x14ac:dyDescent="0.2">
      <c r="A434" t="s">
        <v>17</v>
      </c>
      <c r="B434" s="3">
        <v>14.5</v>
      </c>
    </row>
    <row r="435" spans="1:2" x14ac:dyDescent="0.2">
      <c r="A435" t="s">
        <v>13</v>
      </c>
      <c r="B435" s="3">
        <v>14.5</v>
      </c>
    </row>
    <row r="436" spans="1:2" x14ac:dyDescent="0.2">
      <c r="A436" t="s">
        <v>13</v>
      </c>
      <c r="B436" s="3">
        <v>14.5</v>
      </c>
    </row>
    <row r="437" spans="1:2" x14ac:dyDescent="0.2">
      <c r="A437" t="s">
        <v>13</v>
      </c>
      <c r="B437" s="3">
        <v>14.5</v>
      </c>
    </row>
    <row r="438" spans="1:2" x14ac:dyDescent="0.2">
      <c r="A438" t="s">
        <v>13</v>
      </c>
      <c r="B438" s="3">
        <v>14.5</v>
      </c>
    </row>
    <row r="439" spans="1:2" x14ac:dyDescent="0.2">
      <c r="A439" t="s">
        <v>13</v>
      </c>
      <c r="B439" s="3">
        <v>14.5</v>
      </c>
    </row>
    <row r="440" spans="1:2" x14ac:dyDescent="0.2">
      <c r="A440" t="s">
        <v>17</v>
      </c>
      <c r="B440" s="3">
        <v>14.458299999999999</v>
      </c>
    </row>
    <row r="441" spans="1:2" x14ac:dyDescent="0.2">
      <c r="A441" t="s">
        <v>17</v>
      </c>
      <c r="B441" s="3">
        <v>14.458299999999999</v>
      </c>
    </row>
    <row r="442" spans="1:2" x14ac:dyDescent="0.2">
      <c r="A442" t="s">
        <v>13</v>
      </c>
      <c r="B442" s="3">
        <v>14.458299999999999</v>
      </c>
    </row>
    <row r="443" spans="1:2" x14ac:dyDescent="0.2">
      <c r="A443" t="s">
        <v>17</v>
      </c>
      <c r="B443" s="3">
        <v>14.4542</v>
      </c>
    </row>
    <row r="444" spans="1:2" x14ac:dyDescent="0.2">
      <c r="A444" t="s">
        <v>17</v>
      </c>
      <c r="B444" s="3">
        <v>14.4542</v>
      </c>
    </row>
    <row r="445" spans="1:2" x14ac:dyDescent="0.2">
      <c r="A445" t="s">
        <v>17</v>
      </c>
      <c r="B445" s="3">
        <v>14.4542</v>
      </c>
    </row>
    <row r="446" spans="1:2" x14ac:dyDescent="0.2">
      <c r="A446" t="s">
        <v>17</v>
      </c>
      <c r="B446" s="3">
        <v>14.4542</v>
      </c>
    </row>
    <row r="447" spans="1:2" x14ac:dyDescent="0.2">
      <c r="A447" t="s">
        <v>17</v>
      </c>
      <c r="B447" s="3">
        <v>14.4542</v>
      </c>
    </row>
    <row r="448" spans="1:2" x14ac:dyDescent="0.2">
      <c r="A448" t="s">
        <v>13</v>
      </c>
      <c r="B448" s="3">
        <v>14.4542</v>
      </c>
    </row>
    <row r="449" spans="1:2" x14ac:dyDescent="0.2">
      <c r="A449" t="s">
        <v>13</v>
      </c>
      <c r="B449" s="3">
        <v>14.4542</v>
      </c>
    </row>
    <row r="450" spans="1:2" x14ac:dyDescent="0.2">
      <c r="A450" t="s">
        <v>17</v>
      </c>
      <c r="B450" s="3">
        <v>14.4</v>
      </c>
    </row>
    <row r="451" spans="1:2" x14ac:dyDescent="0.2">
      <c r="A451" t="s">
        <v>13</v>
      </c>
      <c r="B451" s="3">
        <v>14.4</v>
      </c>
    </row>
    <row r="452" spans="1:2" x14ac:dyDescent="0.2">
      <c r="A452" t="s">
        <v>13</v>
      </c>
      <c r="B452" s="3">
        <v>14.1083</v>
      </c>
    </row>
    <row r="453" spans="1:2" x14ac:dyDescent="0.2">
      <c r="A453" t="s">
        <v>13</v>
      </c>
      <c r="B453" s="3">
        <v>14</v>
      </c>
    </row>
    <row r="454" spans="1:2" x14ac:dyDescent="0.2">
      <c r="A454" t="s">
        <v>13</v>
      </c>
      <c r="B454" s="3">
        <v>13.862500000000001</v>
      </c>
    </row>
    <row r="455" spans="1:2" x14ac:dyDescent="0.2">
      <c r="A455" t="s">
        <v>17</v>
      </c>
      <c r="B455" s="3">
        <v>13.8583</v>
      </c>
    </row>
    <row r="456" spans="1:2" x14ac:dyDescent="0.2">
      <c r="A456" t="s">
        <v>17</v>
      </c>
      <c r="B456" s="3">
        <v>13.791700000000001</v>
      </c>
    </row>
    <row r="457" spans="1:2" x14ac:dyDescent="0.2">
      <c r="A457" t="s">
        <v>17</v>
      </c>
      <c r="B457" s="3">
        <v>13.5</v>
      </c>
    </row>
    <row r="458" spans="1:2" x14ac:dyDescent="0.2">
      <c r="A458" t="s">
        <v>13</v>
      </c>
      <c r="B458" s="3">
        <v>13.5</v>
      </c>
    </row>
    <row r="459" spans="1:2" x14ac:dyDescent="0.2">
      <c r="A459" t="s">
        <v>13</v>
      </c>
      <c r="B459" s="3">
        <v>13.5</v>
      </c>
    </row>
    <row r="460" spans="1:2" x14ac:dyDescent="0.2">
      <c r="A460" t="s">
        <v>13</v>
      </c>
      <c r="B460" s="3">
        <v>13.5</v>
      </c>
    </row>
    <row r="461" spans="1:2" x14ac:dyDescent="0.2">
      <c r="A461" t="s">
        <v>17</v>
      </c>
      <c r="B461" s="3">
        <v>13.416700000000001</v>
      </c>
    </row>
    <row r="462" spans="1:2" x14ac:dyDescent="0.2">
      <c r="A462" t="s">
        <v>17</v>
      </c>
      <c r="B462" s="3">
        <v>13</v>
      </c>
    </row>
    <row r="463" spans="1:2" x14ac:dyDescent="0.2">
      <c r="A463" t="s">
        <v>17</v>
      </c>
      <c r="B463" s="3">
        <v>13</v>
      </c>
    </row>
    <row r="464" spans="1:2" x14ac:dyDescent="0.2">
      <c r="A464" t="s">
        <v>17</v>
      </c>
      <c r="B464" s="3">
        <v>13</v>
      </c>
    </row>
    <row r="465" spans="1:2" x14ac:dyDescent="0.2">
      <c r="A465" t="s">
        <v>17</v>
      </c>
      <c r="B465" s="3">
        <v>13</v>
      </c>
    </row>
    <row r="466" spans="1:2" x14ac:dyDescent="0.2">
      <c r="A466" t="s">
        <v>17</v>
      </c>
      <c r="B466" s="3">
        <v>13</v>
      </c>
    </row>
    <row r="467" spans="1:2" x14ac:dyDescent="0.2">
      <c r="A467" t="s">
        <v>17</v>
      </c>
      <c r="B467" s="3">
        <v>13</v>
      </c>
    </row>
    <row r="468" spans="1:2" x14ac:dyDescent="0.2">
      <c r="A468" t="s">
        <v>17</v>
      </c>
      <c r="B468" s="3">
        <v>13</v>
      </c>
    </row>
    <row r="469" spans="1:2" x14ac:dyDescent="0.2">
      <c r="A469" t="s">
        <v>17</v>
      </c>
      <c r="B469" s="3">
        <v>13</v>
      </c>
    </row>
    <row r="470" spans="1:2" x14ac:dyDescent="0.2">
      <c r="A470" t="s">
        <v>17</v>
      </c>
      <c r="B470" s="3">
        <v>13</v>
      </c>
    </row>
    <row r="471" spans="1:2" x14ac:dyDescent="0.2">
      <c r="A471" t="s">
        <v>17</v>
      </c>
      <c r="B471" s="3">
        <v>13</v>
      </c>
    </row>
    <row r="472" spans="1:2" x14ac:dyDescent="0.2">
      <c r="A472" t="s">
        <v>17</v>
      </c>
      <c r="B472" s="3">
        <v>13</v>
      </c>
    </row>
    <row r="473" spans="1:2" x14ac:dyDescent="0.2">
      <c r="A473" t="s">
        <v>17</v>
      </c>
      <c r="B473" s="3">
        <v>13</v>
      </c>
    </row>
    <row r="474" spans="1:2" x14ac:dyDescent="0.2">
      <c r="A474" t="s">
        <v>17</v>
      </c>
      <c r="B474" s="3">
        <v>13</v>
      </c>
    </row>
    <row r="475" spans="1:2" x14ac:dyDescent="0.2">
      <c r="A475" t="s">
        <v>17</v>
      </c>
      <c r="B475" s="3">
        <v>13</v>
      </c>
    </row>
    <row r="476" spans="1:2" x14ac:dyDescent="0.2">
      <c r="A476" t="s">
        <v>13</v>
      </c>
      <c r="B476" s="3">
        <v>13</v>
      </c>
    </row>
    <row r="477" spans="1:2" x14ac:dyDescent="0.2">
      <c r="A477" t="s">
        <v>13</v>
      </c>
      <c r="B477" s="3">
        <v>13</v>
      </c>
    </row>
    <row r="478" spans="1:2" x14ac:dyDescent="0.2">
      <c r="A478" t="s">
        <v>13</v>
      </c>
      <c r="B478" s="3">
        <v>13</v>
      </c>
    </row>
    <row r="479" spans="1:2" x14ac:dyDescent="0.2">
      <c r="A479" t="s">
        <v>13</v>
      </c>
      <c r="B479" s="3">
        <v>13</v>
      </c>
    </row>
    <row r="480" spans="1:2" x14ac:dyDescent="0.2">
      <c r="A480" t="s">
        <v>13</v>
      </c>
      <c r="B480" s="3">
        <v>13</v>
      </c>
    </row>
    <row r="481" spans="1:2" x14ac:dyDescent="0.2">
      <c r="A481" t="s">
        <v>13</v>
      </c>
      <c r="B481" s="3">
        <v>13</v>
      </c>
    </row>
    <row r="482" spans="1:2" x14ac:dyDescent="0.2">
      <c r="A482" t="s">
        <v>13</v>
      </c>
      <c r="B482" s="3">
        <v>13</v>
      </c>
    </row>
    <row r="483" spans="1:2" x14ac:dyDescent="0.2">
      <c r="A483" t="s">
        <v>13</v>
      </c>
      <c r="B483" s="3">
        <v>13</v>
      </c>
    </row>
    <row r="484" spans="1:2" x14ac:dyDescent="0.2">
      <c r="A484" t="s">
        <v>13</v>
      </c>
      <c r="B484" s="3">
        <v>13</v>
      </c>
    </row>
    <row r="485" spans="1:2" x14ac:dyDescent="0.2">
      <c r="A485" t="s">
        <v>13</v>
      </c>
      <c r="B485" s="3">
        <v>13</v>
      </c>
    </row>
    <row r="486" spans="1:2" x14ac:dyDescent="0.2">
      <c r="A486" t="s">
        <v>13</v>
      </c>
      <c r="B486" s="3">
        <v>13</v>
      </c>
    </row>
    <row r="487" spans="1:2" x14ac:dyDescent="0.2">
      <c r="A487" t="s">
        <v>13</v>
      </c>
      <c r="B487" s="3">
        <v>13</v>
      </c>
    </row>
    <row r="488" spans="1:2" x14ac:dyDescent="0.2">
      <c r="A488" t="s">
        <v>13</v>
      </c>
      <c r="B488" s="3">
        <v>13</v>
      </c>
    </row>
    <row r="489" spans="1:2" x14ac:dyDescent="0.2">
      <c r="A489" t="s">
        <v>13</v>
      </c>
      <c r="B489" s="3">
        <v>13</v>
      </c>
    </row>
    <row r="490" spans="1:2" x14ac:dyDescent="0.2">
      <c r="A490" t="s">
        <v>13</v>
      </c>
      <c r="B490" s="3">
        <v>13</v>
      </c>
    </row>
    <row r="491" spans="1:2" x14ac:dyDescent="0.2">
      <c r="A491" t="s">
        <v>13</v>
      </c>
      <c r="B491" s="3">
        <v>13</v>
      </c>
    </row>
    <row r="492" spans="1:2" x14ac:dyDescent="0.2">
      <c r="A492" t="s">
        <v>13</v>
      </c>
      <c r="B492" s="3">
        <v>13</v>
      </c>
    </row>
    <row r="493" spans="1:2" x14ac:dyDescent="0.2">
      <c r="A493" t="s">
        <v>13</v>
      </c>
      <c r="B493" s="3">
        <v>13</v>
      </c>
    </row>
    <row r="494" spans="1:2" x14ac:dyDescent="0.2">
      <c r="A494" t="s">
        <v>13</v>
      </c>
      <c r="B494" s="3">
        <v>13</v>
      </c>
    </row>
    <row r="495" spans="1:2" x14ac:dyDescent="0.2">
      <c r="A495" t="s">
        <v>13</v>
      </c>
      <c r="B495" s="3">
        <v>13</v>
      </c>
    </row>
    <row r="496" spans="1:2" x14ac:dyDescent="0.2">
      <c r="A496" t="s">
        <v>13</v>
      </c>
      <c r="B496" s="3">
        <v>13</v>
      </c>
    </row>
    <row r="497" spans="1:2" x14ac:dyDescent="0.2">
      <c r="A497" t="s">
        <v>13</v>
      </c>
      <c r="B497" s="3">
        <v>13</v>
      </c>
    </row>
    <row r="498" spans="1:2" x14ac:dyDescent="0.2">
      <c r="A498" t="s">
        <v>13</v>
      </c>
      <c r="B498" s="3">
        <v>13</v>
      </c>
    </row>
    <row r="499" spans="1:2" x14ac:dyDescent="0.2">
      <c r="A499" t="s">
        <v>13</v>
      </c>
      <c r="B499" s="3">
        <v>13</v>
      </c>
    </row>
    <row r="500" spans="1:2" x14ac:dyDescent="0.2">
      <c r="A500" t="s">
        <v>13</v>
      </c>
      <c r="B500" s="3">
        <v>13</v>
      </c>
    </row>
    <row r="501" spans="1:2" x14ac:dyDescent="0.2">
      <c r="A501" t="s">
        <v>13</v>
      </c>
      <c r="B501" s="3">
        <v>13</v>
      </c>
    </row>
    <row r="502" spans="1:2" x14ac:dyDescent="0.2">
      <c r="A502" t="s">
        <v>13</v>
      </c>
      <c r="B502" s="3">
        <v>13</v>
      </c>
    </row>
    <row r="503" spans="1:2" x14ac:dyDescent="0.2">
      <c r="A503" t="s">
        <v>13</v>
      </c>
      <c r="B503" s="3">
        <v>13</v>
      </c>
    </row>
    <row r="504" spans="1:2" x14ac:dyDescent="0.2">
      <c r="A504" t="s">
        <v>13</v>
      </c>
      <c r="B504" s="3">
        <v>12.875</v>
      </c>
    </row>
    <row r="505" spans="1:2" x14ac:dyDescent="0.2">
      <c r="A505" t="s">
        <v>17</v>
      </c>
      <c r="B505" s="3">
        <v>12.65</v>
      </c>
    </row>
    <row r="506" spans="1:2" x14ac:dyDescent="0.2">
      <c r="A506" t="s">
        <v>13</v>
      </c>
      <c r="B506" s="3">
        <v>12.525</v>
      </c>
    </row>
    <row r="507" spans="1:2" x14ac:dyDescent="0.2">
      <c r="A507" t="s">
        <v>17</v>
      </c>
      <c r="B507" s="3">
        <v>12.475</v>
      </c>
    </row>
    <row r="508" spans="1:2" x14ac:dyDescent="0.2">
      <c r="A508" t="s">
        <v>17</v>
      </c>
      <c r="B508" s="3">
        <v>12.475</v>
      </c>
    </row>
    <row r="509" spans="1:2" x14ac:dyDescent="0.2">
      <c r="A509" t="s">
        <v>17</v>
      </c>
      <c r="B509" s="3">
        <v>12.475</v>
      </c>
    </row>
    <row r="510" spans="1:2" x14ac:dyDescent="0.2">
      <c r="A510" t="s">
        <v>13</v>
      </c>
      <c r="B510" s="3">
        <v>12.475</v>
      </c>
    </row>
    <row r="511" spans="1:2" x14ac:dyDescent="0.2">
      <c r="A511" t="s">
        <v>17</v>
      </c>
      <c r="B511" s="3">
        <v>12.35</v>
      </c>
    </row>
    <row r="512" spans="1:2" x14ac:dyDescent="0.2">
      <c r="A512" t="s">
        <v>17</v>
      </c>
      <c r="B512" s="3">
        <v>12.35</v>
      </c>
    </row>
    <row r="513" spans="1:2" x14ac:dyDescent="0.2">
      <c r="A513" t="s">
        <v>13</v>
      </c>
      <c r="B513" s="3">
        <v>12.35</v>
      </c>
    </row>
    <row r="514" spans="1:2" x14ac:dyDescent="0.2">
      <c r="A514" t="s">
        <v>17</v>
      </c>
      <c r="B514" s="3">
        <v>12.2875</v>
      </c>
    </row>
    <row r="515" spans="1:2" x14ac:dyDescent="0.2">
      <c r="A515" t="s">
        <v>13</v>
      </c>
      <c r="B515" s="3">
        <v>12.275</v>
      </c>
    </row>
    <row r="516" spans="1:2" x14ac:dyDescent="0.2">
      <c r="A516" t="s">
        <v>17</v>
      </c>
      <c r="B516" s="3">
        <v>12</v>
      </c>
    </row>
    <row r="517" spans="1:2" x14ac:dyDescent="0.2">
      <c r="A517" t="s">
        <v>13</v>
      </c>
      <c r="B517" s="3">
        <v>11.5</v>
      </c>
    </row>
    <row r="518" spans="1:2" x14ac:dyDescent="0.2">
      <c r="A518" t="s">
        <v>13</v>
      </c>
      <c r="B518" s="3">
        <v>11.5</v>
      </c>
    </row>
    <row r="519" spans="1:2" x14ac:dyDescent="0.2">
      <c r="A519" t="s">
        <v>13</v>
      </c>
      <c r="B519" s="3">
        <v>11.5</v>
      </c>
    </row>
    <row r="520" spans="1:2" x14ac:dyDescent="0.2">
      <c r="A520" t="s">
        <v>13</v>
      </c>
      <c r="B520" s="3">
        <v>11.5</v>
      </c>
    </row>
    <row r="521" spans="1:2" x14ac:dyDescent="0.2">
      <c r="A521" t="s">
        <v>17</v>
      </c>
      <c r="B521" s="3">
        <v>11.2417</v>
      </c>
    </row>
    <row r="522" spans="1:2" x14ac:dyDescent="0.2">
      <c r="A522" t="s">
        <v>13</v>
      </c>
      <c r="B522" s="3">
        <v>11.2417</v>
      </c>
    </row>
    <row r="523" spans="1:2" x14ac:dyDescent="0.2">
      <c r="A523" t="s">
        <v>17</v>
      </c>
      <c r="B523" s="3">
        <v>11.1333</v>
      </c>
    </row>
    <row r="524" spans="1:2" x14ac:dyDescent="0.2">
      <c r="A524" t="s">
        <v>17</v>
      </c>
      <c r="B524" s="3">
        <v>11.1333</v>
      </c>
    </row>
    <row r="525" spans="1:2" x14ac:dyDescent="0.2">
      <c r="A525" t="s">
        <v>13</v>
      </c>
      <c r="B525" s="3">
        <v>11.1333</v>
      </c>
    </row>
    <row r="526" spans="1:2" x14ac:dyDescent="0.2">
      <c r="A526" t="s">
        <v>17</v>
      </c>
      <c r="B526" s="3">
        <v>10.5167</v>
      </c>
    </row>
    <row r="527" spans="1:2" x14ac:dyDescent="0.2">
      <c r="A527" t="s">
        <v>17</v>
      </c>
      <c r="B527" s="3">
        <v>10.5</v>
      </c>
    </row>
    <row r="528" spans="1:2" x14ac:dyDescent="0.2">
      <c r="A528" t="s">
        <v>17</v>
      </c>
      <c r="B528" s="3">
        <v>10.5</v>
      </c>
    </row>
    <row r="529" spans="1:2" x14ac:dyDescent="0.2">
      <c r="A529" t="s">
        <v>17</v>
      </c>
      <c r="B529" s="3">
        <v>10.5</v>
      </c>
    </row>
    <row r="530" spans="1:2" x14ac:dyDescent="0.2">
      <c r="A530" t="s">
        <v>17</v>
      </c>
      <c r="B530" s="3">
        <v>10.5</v>
      </c>
    </row>
    <row r="531" spans="1:2" x14ac:dyDescent="0.2">
      <c r="A531" t="s">
        <v>17</v>
      </c>
      <c r="B531" s="3">
        <v>10.5</v>
      </c>
    </row>
    <row r="532" spans="1:2" x14ac:dyDescent="0.2">
      <c r="A532" t="s">
        <v>17</v>
      </c>
      <c r="B532" s="3">
        <v>10.5</v>
      </c>
    </row>
    <row r="533" spans="1:2" x14ac:dyDescent="0.2">
      <c r="A533" t="s">
        <v>17</v>
      </c>
      <c r="B533" s="3">
        <v>10.5</v>
      </c>
    </row>
    <row r="534" spans="1:2" x14ac:dyDescent="0.2">
      <c r="A534" t="s">
        <v>17</v>
      </c>
      <c r="B534" s="3">
        <v>10.5</v>
      </c>
    </row>
    <row r="535" spans="1:2" x14ac:dyDescent="0.2">
      <c r="A535" t="s">
        <v>13</v>
      </c>
      <c r="B535" s="3">
        <v>10.5</v>
      </c>
    </row>
    <row r="536" spans="1:2" x14ac:dyDescent="0.2">
      <c r="A536" t="s">
        <v>13</v>
      </c>
      <c r="B536" s="3">
        <v>10.5</v>
      </c>
    </row>
    <row r="537" spans="1:2" x14ac:dyDescent="0.2">
      <c r="A537" t="s">
        <v>13</v>
      </c>
      <c r="B537" s="3">
        <v>10.5</v>
      </c>
    </row>
    <row r="538" spans="1:2" x14ac:dyDescent="0.2">
      <c r="A538" t="s">
        <v>13</v>
      </c>
      <c r="B538" s="3">
        <v>10.5</v>
      </c>
    </row>
    <row r="539" spans="1:2" x14ac:dyDescent="0.2">
      <c r="A539" t="s">
        <v>13</v>
      </c>
      <c r="B539" s="3">
        <v>10.5</v>
      </c>
    </row>
    <row r="540" spans="1:2" x14ac:dyDescent="0.2">
      <c r="A540" t="s">
        <v>13</v>
      </c>
      <c r="B540" s="3">
        <v>10.5</v>
      </c>
    </row>
    <row r="541" spans="1:2" x14ac:dyDescent="0.2">
      <c r="A541" t="s">
        <v>13</v>
      </c>
      <c r="B541" s="3">
        <v>10.5</v>
      </c>
    </row>
    <row r="542" spans="1:2" x14ac:dyDescent="0.2">
      <c r="A542" t="s">
        <v>13</v>
      </c>
      <c r="B542" s="3">
        <v>10.5</v>
      </c>
    </row>
    <row r="543" spans="1:2" x14ac:dyDescent="0.2">
      <c r="A543" t="s">
        <v>13</v>
      </c>
      <c r="B543" s="3">
        <v>10.5</v>
      </c>
    </row>
    <row r="544" spans="1:2" x14ac:dyDescent="0.2">
      <c r="A544" t="s">
        <v>13</v>
      </c>
      <c r="B544" s="3">
        <v>10.5</v>
      </c>
    </row>
    <row r="545" spans="1:2" x14ac:dyDescent="0.2">
      <c r="A545" t="s">
        <v>13</v>
      </c>
      <c r="B545" s="3">
        <v>10.5</v>
      </c>
    </row>
    <row r="546" spans="1:2" x14ac:dyDescent="0.2">
      <c r="A546" t="s">
        <v>13</v>
      </c>
      <c r="B546" s="3">
        <v>10.5</v>
      </c>
    </row>
    <row r="547" spans="1:2" x14ac:dyDescent="0.2">
      <c r="A547" t="s">
        <v>13</v>
      </c>
      <c r="B547" s="3">
        <v>10.5</v>
      </c>
    </row>
    <row r="548" spans="1:2" x14ac:dyDescent="0.2">
      <c r="A548" t="s">
        <v>13</v>
      </c>
      <c r="B548" s="3">
        <v>10.5</v>
      </c>
    </row>
    <row r="549" spans="1:2" x14ac:dyDescent="0.2">
      <c r="A549" t="s">
        <v>13</v>
      </c>
      <c r="B549" s="3">
        <v>10.5</v>
      </c>
    </row>
    <row r="550" spans="1:2" x14ac:dyDescent="0.2">
      <c r="A550" t="s">
        <v>13</v>
      </c>
      <c r="B550" s="3">
        <v>10.5</v>
      </c>
    </row>
    <row r="551" spans="1:2" x14ac:dyDescent="0.2">
      <c r="A551" t="s">
        <v>17</v>
      </c>
      <c r="B551" s="3">
        <v>10.4625</v>
      </c>
    </row>
    <row r="552" spans="1:2" x14ac:dyDescent="0.2">
      <c r="A552" t="s">
        <v>17</v>
      </c>
      <c r="B552" s="3">
        <v>10.4625</v>
      </c>
    </row>
    <row r="553" spans="1:2" x14ac:dyDescent="0.2">
      <c r="A553" t="s">
        <v>13</v>
      </c>
      <c r="B553" s="3">
        <v>10.1708</v>
      </c>
    </row>
    <row r="554" spans="1:2" x14ac:dyDescent="0.2">
      <c r="A554" t="s">
        <v>13</v>
      </c>
      <c r="B554" s="3">
        <v>9.8458000000000006</v>
      </c>
    </row>
    <row r="555" spans="1:2" x14ac:dyDescent="0.2">
      <c r="A555" t="s">
        <v>17</v>
      </c>
      <c r="B555" s="3">
        <v>9.8416999999999994</v>
      </c>
    </row>
    <row r="556" spans="1:2" x14ac:dyDescent="0.2">
      <c r="A556" t="s">
        <v>17</v>
      </c>
      <c r="B556" s="3">
        <v>9.8375000000000004</v>
      </c>
    </row>
    <row r="557" spans="1:2" x14ac:dyDescent="0.2">
      <c r="A557" t="s">
        <v>17</v>
      </c>
      <c r="B557" s="3">
        <v>9.8249999999999993</v>
      </c>
    </row>
    <row r="558" spans="1:2" x14ac:dyDescent="0.2">
      <c r="A558" t="s">
        <v>17</v>
      </c>
      <c r="B558" s="3">
        <v>9.8249999999999993</v>
      </c>
    </row>
    <row r="559" spans="1:2" x14ac:dyDescent="0.2">
      <c r="A559" t="s">
        <v>17</v>
      </c>
      <c r="B559" s="3">
        <v>9.5875000000000004</v>
      </c>
    </row>
    <row r="560" spans="1:2" x14ac:dyDescent="0.2">
      <c r="A560" t="s">
        <v>17</v>
      </c>
      <c r="B560" s="3">
        <v>9.5875000000000004</v>
      </c>
    </row>
    <row r="561" spans="1:2" x14ac:dyDescent="0.2">
      <c r="A561" t="s">
        <v>13</v>
      </c>
      <c r="B561" s="3">
        <v>9.5</v>
      </c>
    </row>
    <row r="562" spans="1:2" x14ac:dyDescent="0.2">
      <c r="A562" t="s">
        <v>13</v>
      </c>
      <c r="B562" s="3">
        <v>9.5</v>
      </c>
    </row>
    <row r="563" spans="1:2" x14ac:dyDescent="0.2">
      <c r="A563" t="s">
        <v>13</v>
      </c>
      <c r="B563" s="3">
        <v>9.5</v>
      </c>
    </row>
    <row r="564" spans="1:2" x14ac:dyDescent="0.2">
      <c r="A564" t="s">
        <v>13</v>
      </c>
      <c r="B564" s="3">
        <v>9.5</v>
      </c>
    </row>
    <row r="565" spans="1:2" x14ac:dyDescent="0.2">
      <c r="A565" t="s">
        <v>13</v>
      </c>
      <c r="B565" s="3">
        <v>9.5</v>
      </c>
    </row>
    <row r="566" spans="1:2" x14ac:dyDescent="0.2">
      <c r="A566" t="s">
        <v>13</v>
      </c>
      <c r="B566" s="3">
        <v>9.5</v>
      </c>
    </row>
    <row r="567" spans="1:2" x14ac:dyDescent="0.2">
      <c r="A567" t="s">
        <v>13</v>
      </c>
      <c r="B567" s="3">
        <v>9.5</v>
      </c>
    </row>
    <row r="568" spans="1:2" x14ac:dyDescent="0.2">
      <c r="A568" t="s">
        <v>13</v>
      </c>
      <c r="B568" s="3">
        <v>9.5</v>
      </c>
    </row>
    <row r="569" spans="1:2" x14ac:dyDescent="0.2">
      <c r="A569" t="s">
        <v>13</v>
      </c>
      <c r="B569" s="3">
        <v>9.5</v>
      </c>
    </row>
    <row r="570" spans="1:2" x14ac:dyDescent="0.2">
      <c r="A570" t="s">
        <v>13</v>
      </c>
      <c r="B570" s="3">
        <v>9.4832999999999998</v>
      </c>
    </row>
    <row r="571" spans="1:2" x14ac:dyDescent="0.2">
      <c r="A571" t="s">
        <v>17</v>
      </c>
      <c r="B571" s="3">
        <v>9.4749999999999996</v>
      </c>
    </row>
    <row r="572" spans="1:2" x14ac:dyDescent="0.2">
      <c r="A572" t="s">
        <v>17</v>
      </c>
      <c r="B572" s="3">
        <v>9.35</v>
      </c>
    </row>
    <row r="573" spans="1:2" x14ac:dyDescent="0.2">
      <c r="A573" t="s">
        <v>13</v>
      </c>
      <c r="B573" s="3">
        <v>9.35</v>
      </c>
    </row>
    <row r="574" spans="1:2" x14ac:dyDescent="0.2">
      <c r="A574" t="s">
        <v>13</v>
      </c>
      <c r="B574" s="3">
        <v>9.2249999999999996</v>
      </c>
    </row>
    <row r="575" spans="1:2" x14ac:dyDescent="0.2">
      <c r="A575" t="s">
        <v>13</v>
      </c>
      <c r="B575" s="3">
        <v>9.2249999999999996</v>
      </c>
    </row>
    <row r="576" spans="1:2" x14ac:dyDescent="0.2">
      <c r="A576" t="s">
        <v>13</v>
      </c>
      <c r="B576" s="3">
        <v>9.2166999999999994</v>
      </c>
    </row>
    <row r="577" spans="1:2" x14ac:dyDescent="0.2">
      <c r="A577" t="s">
        <v>13</v>
      </c>
      <c r="B577" s="3">
        <v>9</v>
      </c>
    </row>
    <row r="578" spans="1:2" x14ac:dyDescent="0.2">
      <c r="A578" t="s">
        <v>13</v>
      </c>
      <c r="B578" s="3">
        <v>9</v>
      </c>
    </row>
    <row r="579" spans="1:2" x14ac:dyDescent="0.2">
      <c r="A579" t="s">
        <v>17</v>
      </c>
      <c r="B579" s="3">
        <v>8.85</v>
      </c>
    </row>
    <row r="580" spans="1:2" x14ac:dyDescent="0.2">
      <c r="A580" t="s">
        <v>13</v>
      </c>
      <c r="B580" s="3">
        <v>8.7125000000000004</v>
      </c>
    </row>
    <row r="581" spans="1:2" x14ac:dyDescent="0.2">
      <c r="A581" t="s">
        <v>17</v>
      </c>
      <c r="B581" s="3">
        <v>8.6832999999999991</v>
      </c>
    </row>
    <row r="582" spans="1:2" x14ac:dyDescent="0.2">
      <c r="A582" t="s">
        <v>17</v>
      </c>
      <c r="B582" s="3">
        <v>8.6624999999999996</v>
      </c>
    </row>
    <row r="583" spans="1:2" x14ac:dyDescent="0.2">
      <c r="A583" t="s">
        <v>17</v>
      </c>
      <c r="B583" s="3">
        <v>8.6624999999999996</v>
      </c>
    </row>
    <row r="584" spans="1:2" x14ac:dyDescent="0.2">
      <c r="A584" t="s">
        <v>13</v>
      </c>
      <c r="B584" s="3">
        <v>8.6624999999999996</v>
      </c>
    </row>
    <row r="585" spans="1:2" x14ac:dyDescent="0.2">
      <c r="A585" t="s">
        <v>13</v>
      </c>
      <c r="B585" s="3">
        <v>8.6624999999999996</v>
      </c>
    </row>
    <row r="586" spans="1:2" x14ac:dyDescent="0.2">
      <c r="A586" t="s">
        <v>13</v>
      </c>
      <c r="B586" s="3">
        <v>8.6624999999999996</v>
      </c>
    </row>
    <row r="587" spans="1:2" x14ac:dyDescent="0.2">
      <c r="A587" t="s">
        <v>13</v>
      </c>
      <c r="B587" s="3">
        <v>8.6624999999999996</v>
      </c>
    </row>
    <row r="588" spans="1:2" x14ac:dyDescent="0.2">
      <c r="A588" t="s">
        <v>13</v>
      </c>
      <c r="B588" s="3">
        <v>8.6624999999999996</v>
      </c>
    </row>
    <row r="589" spans="1:2" x14ac:dyDescent="0.2">
      <c r="A589" t="s">
        <v>13</v>
      </c>
      <c r="B589" s="3">
        <v>8.6624999999999996</v>
      </c>
    </row>
    <row r="590" spans="1:2" x14ac:dyDescent="0.2">
      <c r="A590" t="s">
        <v>13</v>
      </c>
      <c r="B590" s="3">
        <v>8.6624999999999996</v>
      </c>
    </row>
    <row r="591" spans="1:2" x14ac:dyDescent="0.2">
      <c r="A591" t="s">
        <v>13</v>
      </c>
      <c r="B591" s="3">
        <v>8.6624999999999996</v>
      </c>
    </row>
    <row r="592" spans="1:2" x14ac:dyDescent="0.2">
      <c r="A592" t="s">
        <v>13</v>
      </c>
      <c r="B592" s="3">
        <v>8.6624999999999996</v>
      </c>
    </row>
    <row r="593" spans="1:2" x14ac:dyDescent="0.2">
      <c r="A593" t="s">
        <v>13</v>
      </c>
      <c r="B593" s="3">
        <v>8.6624999999999996</v>
      </c>
    </row>
    <row r="594" spans="1:2" x14ac:dyDescent="0.2">
      <c r="A594" t="s">
        <v>13</v>
      </c>
      <c r="B594" s="3">
        <v>8.6624999999999996</v>
      </c>
    </row>
    <row r="595" spans="1:2" x14ac:dyDescent="0.2">
      <c r="A595" t="s">
        <v>13</v>
      </c>
      <c r="B595" s="3">
        <v>8.6541999999999994</v>
      </c>
    </row>
    <row r="596" spans="1:2" x14ac:dyDescent="0.2">
      <c r="A596" t="s">
        <v>13</v>
      </c>
      <c r="B596" s="3">
        <v>8.5167000000000002</v>
      </c>
    </row>
    <row r="597" spans="1:2" x14ac:dyDescent="0.2">
      <c r="A597" t="s">
        <v>13</v>
      </c>
      <c r="B597" s="3">
        <v>8.4582999999999995</v>
      </c>
    </row>
    <row r="598" spans="1:2" x14ac:dyDescent="0.2">
      <c r="A598" t="s">
        <v>13</v>
      </c>
      <c r="B598" s="3">
        <v>8.4332999999999991</v>
      </c>
    </row>
    <row r="599" spans="1:2" x14ac:dyDescent="0.2">
      <c r="A599" t="s">
        <v>13</v>
      </c>
      <c r="B599" s="3">
        <v>8.4041999999999994</v>
      </c>
    </row>
    <row r="600" spans="1:2" x14ac:dyDescent="0.2">
      <c r="A600" t="s">
        <v>13</v>
      </c>
      <c r="B600" s="3">
        <v>8.3625000000000007</v>
      </c>
    </row>
    <row r="601" spans="1:2" x14ac:dyDescent="0.2">
      <c r="A601" t="s">
        <v>13</v>
      </c>
      <c r="B601" s="3">
        <v>8.3000000000000007</v>
      </c>
    </row>
    <row r="602" spans="1:2" x14ac:dyDescent="0.2">
      <c r="A602" t="s">
        <v>13</v>
      </c>
      <c r="B602" s="3">
        <v>8.1583000000000006</v>
      </c>
    </row>
    <row r="603" spans="1:2" x14ac:dyDescent="0.2">
      <c r="A603" t="s">
        <v>17</v>
      </c>
      <c r="B603" s="3">
        <v>8.1374999999999993</v>
      </c>
    </row>
    <row r="604" spans="1:2" x14ac:dyDescent="0.2">
      <c r="A604" t="s">
        <v>13</v>
      </c>
      <c r="B604" s="3">
        <v>8.1125000000000007</v>
      </c>
    </row>
    <row r="605" spans="1:2" x14ac:dyDescent="0.2">
      <c r="A605" t="s">
        <v>17</v>
      </c>
      <c r="B605" s="3">
        <v>8.0500000000000007</v>
      </c>
    </row>
    <row r="606" spans="1:2" x14ac:dyDescent="0.2">
      <c r="A606" t="s">
        <v>17</v>
      </c>
      <c r="B606" s="3">
        <v>8.0500000000000007</v>
      </c>
    </row>
    <row r="607" spans="1:2" x14ac:dyDescent="0.2">
      <c r="A607" t="s">
        <v>13</v>
      </c>
      <c r="B607" s="3">
        <v>8.0500000000000007</v>
      </c>
    </row>
    <row r="608" spans="1:2" x14ac:dyDescent="0.2">
      <c r="A608" t="s">
        <v>13</v>
      </c>
      <c r="B608" s="3">
        <v>8.0500000000000007</v>
      </c>
    </row>
    <row r="609" spans="1:2" x14ac:dyDescent="0.2">
      <c r="A609" t="s">
        <v>13</v>
      </c>
      <c r="B609" s="3">
        <v>8.0500000000000007</v>
      </c>
    </row>
    <row r="610" spans="1:2" x14ac:dyDescent="0.2">
      <c r="A610" t="s">
        <v>13</v>
      </c>
      <c r="B610" s="3">
        <v>8.0500000000000007</v>
      </c>
    </row>
    <row r="611" spans="1:2" x14ac:dyDescent="0.2">
      <c r="A611" t="s">
        <v>13</v>
      </c>
      <c r="B611" s="3">
        <v>8.0500000000000007</v>
      </c>
    </row>
    <row r="612" spans="1:2" x14ac:dyDescent="0.2">
      <c r="A612" t="s">
        <v>13</v>
      </c>
      <c r="B612" s="3">
        <v>8.0500000000000007</v>
      </c>
    </row>
    <row r="613" spans="1:2" x14ac:dyDescent="0.2">
      <c r="A613" t="s">
        <v>13</v>
      </c>
      <c r="B613" s="3">
        <v>8.0500000000000007</v>
      </c>
    </row>
    <row r="614" spans="1:2" x14ac:dyDescent="0.2">
      <c r="A614" t="s">
        <v>13</v>
      </c>
      <c r="B614" s="3">
        <v>8.0500000000000007</v>
      </c>
    </row>
    <row r="615" spans="1:2" x14ac:dyDescent="0.2">
      <c r="A615" t="s">
        <v>13</v>
      </c>
      <c r="B615" s="3">
        <v>8.0500000000000007</v>
      </c>
    </row>
    <row r="616" spans="1:2" x14ac:dyDescent="0.2">
      <c r="A616" t="s">
        <v>13</v>
      </c>
      <c r="B616" s="3">
        <v>8.0500000000000007</v>
      </c>
    </row>
    <row r="617" spans="1:2" x14ac:dyDescent="0.2">
      <c r="A617" t="s">
        <v>13</v>
      </c>
      <c r="B617" s="3">
        <v>8.0500000000000007</v>
      </c>
    </row>
    <row r="618" spans="1:2" x14ac:dyDescent="0.2">
      <c r="A618" t="s">
        <v>13</v>
      </c>
      <c r="B618" s="3">
        <v>8.0500000000000007</v>
      </c>
    </row>
    <row r="619" spans="1:2" x14ac:dyDescent="0.2">
      <c r="A619" t="s">
        <v>13</v>
      </c>
      <c r="B619" s="3">
        <v>8.0500000000000007</v>
      </c>
    </row>
    <row r="620" spans="1:2" x14ac:dyDescent="0.2">
      <c r="A620" t="s">
        <v>13</v>
      </c>
      <c r="B620" s="3">
        <v>8.0500000000000007</v>
      </c>
    </row>
    <row r="621" spans="1:2" x14ac:dyDescent="0.2">
      <c r="A621" t="s">
        <v>13</v>
      </c>
      <c r="B621" s="3">
        <v>8.0500000000000007</v>
      </c>
    </row>
    <row r="622" spans="1:2" x14ac:dyDescent="0.2">
      <c r="A622" t="s">
        <v>13</v>
      </c>
      <c r="B622" s="3">
        <v>8.0500000000000007</v>
      </c>
    </row>
    <row r="623" spans="1:2" x14ac:dyDescent="0.2">
      <c r="A623" t="s">
        <v>13</v>
      </c>
      <c r="B623" s="3">
        <v>8.0500000000000007</v>
      </c>
    </row>
    <row r="624" spans="1:2" x14ac:dyDescent="0.2">
      <c r="A624" t="s">
        <v>13</v>
      </c>
      <c r="B624" s="3">
        <v>8.0500000000000007</v>
      </c>
    </row>
    <row r="625" spans="1:2" x14ac:dyDescent="0.2">
      <c r="A625" t="s">
        <v>13</v>
      </c>
      <c r="B625" s="3">
        <v>8.0500000000000007</v>
      </c>
    </row>
    <row r="626" spans="1:2" x14ac:dyDescent="0.2">
      <c r="A626" t="s">
        <v>13</v>
      </c>
      <c r="B626" s="3">
        <v>8.0500000000000007</v>
      </c>
    </row>
    <row r="627" spans="1:2" x14ac:dyDescent="0.2">
      <c r="A627" t="s">
        <v>13</v>
      </c>
      <c r="B627" s="3">
        <v>8.0500000000000007</v>
      </c>
    </row>
    <row r="628" spans="1:2" x14ac:dyDescent="0.2">
      <c r="A628" t="s">
        <v>13</v>
      </c>
      <c r="B628" s="3">
        <v>8.0500000000000007</v>
      </c>
    </row>
    <row r="629" spans="1:2" x14ac:dyDescent="0.2">
      <c r="A629" t="s">
        <v>13</v>
      </c>
      <c r="B629" s="3">
        <v>8.0500000000000007</v>
      </c>
    </row>
    <row r="630" spans="1:2" x14ac:dyDescent="0.2">
      <c r="A630" t="s">
        <v>13</v>
      </c>
      <c r="B630" s="3">
        <v>8.0500000000000007</v>
      </c>
    </row>
    <row r="631" spans="1:2" x14ac:dyDescent="0.2">
      <c r="A631" t="s">
        <v>13</v>
      </c>
      <c r="B631" s="3">
        <v>8.0500000000000007</v>
      </c>
    </row>
    <row r="632" spans="1:2" x14ac:dyDescent="0.2">
      <c r="A632" t="s">
        <v>13</v>
      </c>
      <c r="B632" s="3">
        <v>8.0500000000000007</v>
      </c>
    </row>
    <row r="633" spans="1:2" x14ac:dyDescent="0.2">
      <c r="A633" t="s">
        <v>13</v>
      </c>
      <c r="B633" s="3">
        <v>8.0500000000000007</v>
      </c>
    </row>
    <row r="634" spans="1:2" x14ac:dyDescent="0.2">
      <c r="A634" t="s">
        <v>13</v>
      </c>
      <c r="B634" s="3">
        <v>8.0500000000000007</v>
      </c>
    </row>
    <row r="635" spans="1:2" x14ac:dyDescent="0.2">
      <c r="A635" t="s">
        <v>13</v>
      </c>
      <c r="B635" s="3">
        <v>8.0500000000000007</v>
      </c>
    </row>
    <row r="636" spans="1:2" x14ac:dyDescent="0.2">
      <c r="A636" t="s">
        <v>13</v>
      </c>
      <c r="B636" s="3">
        <v>8.0500000000000007</v>
      </c>
    </row>
    <row r="637" spans="1:2" x14ac:dyDescent="0.2">
      <c r="A637" t="s">
        <v>13</v>
      </c>
      <c r="B637" s="3">
        <v>8.0500000000000007</v>
      </c>
    </row>
    <row r="638" spans="1:2" x14ac:dyDescent="0.2">
      <c r="A638" t="s">
        <v>13</v>
      </c>
      <c r="B638" s="3">
        <v>8.0500000000000007</v>
      </c>
    </row>
    <row r="639" spans="1:2" x14ac:dyDescent="0.2">
      <c r="A639" t="s">
        <v>13</v>
      </c>
      <c r="B639" s="3">
        <v>8.0500000000000007</v>
      </c>
    </row>
    <row r="640" spans="1:2" x14ac:dyDescent="0.2">
      <c r="A640" t="s">
        <v>13</v>
      </c>
      <c r="B640" s="3">
        <v>8.0500000000000007</v>
      </c>
    </row>
    <row r="641" spans="1:2" x14ac:dyDescent="0.2">
      <c r="A641" t="s">
        <v>13</v>
      </c>
      <c r="B641" s="3">
        <v>8.0500000000000007</v>
      </c>
    </row>
    <row r="642" spans="1:2" x14ac:dyDescent="0.2">
      <c r="A642" t="s">
        <v>13</v>
      </c>
      <c r="B642" s="3">
        <v>8.0500000000000007</v>
      </c>
    </row>
    <row r="643" spans="1:2" x14ac:dyDescent="0.2">
      <c r="A643" t="s">
        <v>13</v>
      </c>
      <c r="B643" s="3">
        <v>8.0500000000000007</v>
      </c>
    </row>
    <row r="644" spans="1:2" x14ac:dyDescent="0.2">
      <c r="A644" t="s">
        <v>13</v>
      </c>
      <c r="B644" s="3">
        <v>8.0500000000000007</v>
      </c>
    </row>
    <row r="645" spans="1:2" x14ac:dyDescent="0.2">
      <c r="A645" t="s">
        <v>13</v>
      </c>
      <c r="B645" s="3">
        <v>8.0500000000000007</v>
      </c>
    </row>
    <row r="646" spans="1:2" x14ac:dyDescent="0.2">
      <c r="A646" t="s">
        <v>13</v>
      </c>
      <c r="B646" s="3">
        <v>8.0500000000000007</v>
      </c>
    </row>
    <row r="647" spans="1:2" x14ac:dyDescent="0.2">
      <c r="A647" t="s">
        <v>13</v>
      </c>
      <c r="B647" s="3">
        <v>8.0500000000000007</v>
      </c>
    </row>
    <row r="648" spans="1:2" x14ac:dyDescent="0.2">
      <c r="A648" t="s">
        <v>17</v>
      </c>
      <c r="B648" s="3">
        <v>8.0291999999999994</v>
      </c>
    </row>
    <row r="649" spans="1:2" x14ac:dyDescent="0.2">
      <c r="A649" t="s">
        <v>17</v>
      </c>
      <c r="B649" s="3">
        <v>7.9249999999999998</v>
      </c>
    </row>
    <row r="650" spans="1:2" x14ac:dyDescent="0.2">
      <c r="A650" t="s">
        <v>17</v>
      </c>
      <c r="B650" s="3">
        <v>7.9249999999999998</v>
      </c>
    </row>
    <row r="651" spans="1:2" x14ac:dyDescent="0.2">
      <c r="A651" t="s">
        <v>17</v>
      </c>
      <c r="B651" s="3">
        <v>7.9249999999999998</v>
      </c>
    </row>
    <row r="652" spans="1:2" x14ac:dyDescent="0.2">
      <c r="A652" t="s">
        <v>17</v>
      </c>
      <c r="B652" s="3">
        <v>7.9249999999999998</v>
      </c>
    </row>
    <row r="653" spans="1:2" x14ac:dyDescent="0.2">
      <c r="A653" t="s">
        <v>17</v>
      </c>
      <c r="B653" s="3">
        <v>7.9249999999999998</v>
      </c>
    </row>
    <row r="654" spans="1:2" x14ac:dyDescent="0.2">
      <c r="A654" t="s">
        <v>13</v>
      </c>
      <c r="B654" s="3">
        <v>7.9249999999999998</v>
      </c>
    </row>
    <row r="655" spans="1:2" x14ac:dyDescent="0.2">
      <c r="A655" t="s">
        <v>13</v>
      </c>
      <c r="B655" s="3">
        <v>7.9249999999999998</v>
      </c>
    </row>
    <row r="656" spans="1:2" x14ac:dyDescent="0.2">
      <c r="A656" t="s">
        <v>13</v>
      </c>
      <c r="B656" s="3">
        <v>7.9249999999999998</v>
      </c>
    </row>
    <row r="657" spans="1:2" x14ac:dyDescent="0.2">
      <c r="A657" t="s">
        <v>13</v>
      </c>
      <c r="B657" s="3">
        <v>7.9249999999999998</v>
      </c>
    </row>
    <row r="658" spans="1:2" x14ac:dyDescent="0.2">
      <c r="A658" t="s">
        <v>13</v>
      </c>
      <c r="B658" s="3">
        <v>7.9249999999999998</v>
      </c>
    </row>
    <row r="659" spans="1:2" x14ac:dyDescent="0.2">
      <c r="A659" t="s">
        <v>13</v>
      </c>
      <c r="B659" s="3">
        <v>7.9249999999999998</v>
      </c>
    </row>
    <row r="660" spans="1:2" x14ac:dyDescent="0.2">
      <c r="A660" t="s">
        <v>13</v>
      </c>
      <c r="B660" s="3">
        <v>7.9249999999999998</v>
      </c>
    </row>
    <row r="661" spans="1:2" x14ac:dyDescent="0.2">
      <c r="A661" t="s">
        <v>13</v>
      </c>
      <c r="B661" s="3">
        <v>7.9249999999999998</v>
      </c>
    </row>
    <row r="662" spans="1:2" x14ac:dyDescent="0.2">
      <c r="A662" t="s">
        <v>13</v>
      </c>
      <c r="B662" s="3">
        <v>7.9249999999999998</v>
      </c>
    </row>
    <row r="663" spans="1:2" x14ac:dyDescent="0.2">
      <c r="A663" t="s">
        <v>13</v>
      </c>
      <c r="B663" s="3">
        <v>7.9249999999999998</v>
      </c>
    </row>
    <row r="664" spans="1:2" x14ac:dyDescent="0.2">
      <c r="A664" t="s">
        <v>13</v>
      </c>
      <c r="B664" s="3">
        <v>7.9249999999999998</v>
      </c>
    </row>
    <row r="665" spans="1:2" x14ac:dyDescent="0.2">
      <c r="A665" t="s">
        <v>13</v>
      </c>
      <c r="B665" s="3">
        <v>7.9249999999999998</v>
      </c>
    </row>
    <row r="666" spans="1:2" x14ac:dyDescent="0.2">
      <c r="A666" t="s">
        <v>13</v>
      </c>
      <c r="B666" s="3">
        <v>7.9249999999999998</v>
      </c>
    </row>
    <row r="667" spans="1:2" x14ac:dyDescent="0.2">
      <c r="A667" t="s">
        <v>17</v>
      </c>
      <c r="B667" s="3">
        <v>7.8958000000000004</v>
      </c>
    </row>
    <row r="668" spans="1:2" x14ac:dyDescent="0.2">
      <c r="A668" t="s">
        <v>13</v>
      </c>
      <c r="B668" s="3">
        <v>7.8958000000000004</v>
      </c>
    </row>
    <row r="669" spans="1:2" x14ac:dyDescent="0.2">
      <c r="A669" t="s">
        <v>13</v>
      </c>
      <c r="B669" s="3">
        <v>7.8958000000000004</v>
      </c>
    </row>
    <row r="670" spans="1:2" x14ac:dyDescent="0.2">
      <c r="A670" t="s">
        <v>13</v>
      </c>
      <c r="B670" s="3">
        <v>7.8958000000000004</v>
      </c>
    </row>
    <row r="671" spans="1:2" x14ac:dyDescent="0.2">
      <c r="A671" t="s">
        <v>13</v>
      </c>
      <c r="B671" s="3">
        <v>7.8958000000000004</v>
      </c>
    </row>
    <row r="672" spans="1:2" x14ac:dyDescent="0.2">
      <c r="A672" t="s">
        <v>13</v>
      </c>
      <c r="B672" s="3">
        <v>7.8958000000000004</v>
      </c>
    </row>
    <row r="673" spans="1:2" x14ac:dyDescent="0.2">
      <c r="A673" t="s">
        <v>13</v>
      </c>
      <c r="B673" s="3">
        <v>7.8958000000000004</v>
      </c>
    </row>
    <row r="674" spans="1:2" x14ac:dyDescent="0.2">
      <c r="A674" t="s">
        <v>13</v>
      </c>
      <c r="B674" s="3">
        <v>7.8958000000000004</v>
      </c>
    </row>
    <row r="675" spans="1:2" x14ac:dyDescent="0.2">
      <c r="A675" t="s">
        <v>13</v>
      </c>
      <c r="B675" s="3">
        <v>7.8958000000000004</v>
      </c>
    </row>
    <row r="676" spans="1:2" x14ac:dyDescent="0.2">
      <c r="A676" t="s">
        <v>13</v>
      </c>
      <c r="B676" s="3">
        <v>7.8958000000000004</v>
      </c>
    </row>
    <row r="677" spans="1:2" x14ac:dyDescent="0.2">
      <c r="A677" t="s">
        <v>13</v>
      </c>
      <c r="B677" s="3">
        <v>7.8958000000000004</v>
      </c>
    </row>
    <row r="678" spans="1:2" x14ac:dyDescent="0.2">
      <c r="A678" t="s">
        <v>13</v>
      </c>
      <c r="B678" s="3">
        <v>7.8958000000000004</v>
      </c>
    </row>
    <row r="679" spans="1:2" x14ac:dyDescent="0.2">
      <c r="A679" t="s">
        <v>13</v>
      </c>
      <c r="B679" s="3">
        <v>7.8958000000000004</v>
      </c>
    </row>
    <row r="680" spans="1:2" x14ac:dyDescent="0.2">
      <c r="A680" t="s">
        <v>13</v>
      </c>
      <c r="B680" s="3">
        <v>7.8958000000000004</v>
      </c>
    </row>
    <row r="681" spans="1:2" x14ac:dyDescent="0.2">
      <c r="A681" t="s">
        <v>13</v>
      </c>
      <c r="B681" s="3">
        <v>7.8958000000000004</v>
      </c>
    </row>
    <row r="682" spans="1:2" x14ac:dyDescent="0.2">
      <c r="A682" t="s">
        <v>13</v>
      </c>
      <c r="B682" s="3">
        <v>7.8958000000000004</v>
      </c>
    </row>
    <row r="683" spans="1:2" x14ac:dyDescent="0.2">
      <c r="A683" t="s">
        <v>13</v>
      </c>
      <c r="B683" s="3">
        <v>7.8958000000000004</v>
      </c>
    </row>
    <row r="684" spans="1:2" x14ac:dyDescent="0.2">
      <c r="A684" t="s">
        <v>13</v>
      </c>
      <c r="B684" s="3">
        <v>7.8958000000000004</v>
      </c>
    </row>
    <row r="685" spans="1:2" x14ac:dyDescent="0.2">
      <c r="A685" t="s">
        <v>13</v>
      </c>
      <c r="B685" s="3">
        <v>7.8958000000000004</v>
      </c>
    </row>
    <row r="686" spans="1:2" x14ac:dyDescent="0.2">
      <c r="A686" t="s">
        <v>13</v>
      </c>
      <c r="B686" s="3">
        <v>7.8958000000000004</v>
      </c>
    </row>
    <row r="687" spans="1:2" x14ac:dyDescent="0.2">
      <c r="A687" t="s">
        <v>13</v>
      </c>
      <c r="B687" s="3">
        <v>7.8958000000000004</v>
      </c>
    </row>
    <row r="688" spans="1:2" x14ac:dyDescent="0.2">
      <c r="A688" t="s">
        <v>13</v>
      </c>
      <c r="B688" s="3">
        <v>7.8958000000000004</v>
      </c>
    </row>
    <row r="689" spans="1:2" x14ac:dyDescent="0.2">
      <c r="A689" t="s">
        <v>13</v>
      </c>
      <c r="B689" s="3">
        <v>7.8958000000000004</v>
      </c>
    </row>
    <row r="690" spans="1:2" x14ac:dyDescent="0.2">
      <c r="A690" t="s">
        <v>13</v>
      </c>
      <c r="B690" s="3">
        <v>7.8958000000000004</v>
      </c>
    </row>
    <row r="691" spans="1:2" x14ac:dyDescent="0.2">
      <c r="A691" t="s">
        <v>13</v>
      </c>
      <c r="B691" s="3">
        <v>7.8958000000000004</v>
      </c>
    </row>
    <row r="692" spans="1:2" x14ac:dyDescent="0.2">
      <c r="A692" t="s">
        <v>13</v>
      </c>
      <c r="B692" s="3">
        <v>7.8958000000000004</v>
      </c>
    </row>
    <row r="693" spans="1:2" x14ac:dyDescent="0.2">
      <c r="A693" t="s">
        <v>13</v>
      </c>
      <c r="B693" s="3">
        <v>7.8958000000000004</v>
      </c>
    </row>
    <row r="694" spans="1:2" x14ac:dyDescent="0.2">
      <c r="A694" t="s">
        <v>13</v>
      </c>
      <c r="B694" s="3">
        <v>7.8958000000000004</v>
      </c>
    </row>
    <row r="695" spans="1:2" x14ac:dyDescent="0.2">
      <c r="A695" t="s">
        <v>13</v>
      </c>
      <c r="B695" s="3">
        <v>7.8958000000000004</v>
      </c>
    </row>
    <row r="696" spans="1:2" x14ac:dyDescent="0.2">
      <c r="A696" t="s">
        <v>13</v>
      </c>
      <c r="B696" s="3">
        <v>7.8958000000000004</v>
      </c>
    </row>
    <row r="697" spans="1:2" x14ac:dyDescent="0.2">
      <c r="A697" t="s">
        <v>13</v>
      </c>
      <c r="B697" s="3">
        <v>7.8958000000000004</v>
      </c>
    </row>
    <row r="698" spans="1:2" x14ac:dyDescent="0.2">
      <c r="A698" t="s">
        <v>13</v>
      </c>
      <c r="B698" s="3">
        <v>7.8958000000000004</v>
      </c>
    </row>
    <row r="699" spans="1:2" x14ac:dyDescent="0.2">
      <c r="A699" t="s">
        <v>13</v>
      </c>
      <c r="B699" s="3">
        <v>7.8958000000000004</v>
      </c>
    </row>
    <row r="700" spans="1:2" x14ac:dyDescent="0.2">
      <c r="A700" t="s">
        <v>13</v>
      </c>
      <c r="B700" s="3">
        <v>7.8958000000000004</v>
      </c>
    </row>
    <row r="701" spans="1:2" x14ac:dyDescent="0.2">
      <c r="A701" t="s">
        <v>13</v>
      </c>
      <c r="B701" s="3">
        <v>7.8958000000000004</v>
      </c>
    </row>
    <row r="702" spans="1:2" x14ac:dyDescent="0.2">
      <c r="A702" t="s">
        <v>13</v>
      </c>
      <c r="B702" s="3">
        <v>7.8958000000000004</v>
      </c>
    </row>
    <row r="703" spans="1:2" x14ac:dyDescent="0.2">
      <c r="A703" t="s">
        <v>13</v>
      </c>
      <c r="B703" s="3">
        <v>7.8958000000000004</v>
      </c>
    </row>
    <row r="704" spans="1:2" x14ac:dyDescent="0.2">
      <c r="A704" t="s">
        <v>13</v>
      </c>
      <c r="B704" s="3">
        <v>7.8958000000000004</v>
      </c>
    </row>
    <row r="705" spans="1:2" x14ac:dyDescent="0.2">
      <c r="A705" t="s">
        <v>13</v>
      </c>
      <c r="B705" s="3">
        <v>7.8875000000000002</v>
      </c>
    </row>
    <row r="706" spans="1:2" x14ac:dyDescent="0.2">
      <c r="A706" t="s">
        <v>17</v>
      </c>
      <c r="B706" s="3">
        <v>7.8792</v>
      </c>
    </row>
    <row r="707" spans="1:2" x14ac:dyDescent="0.2">
      <c r="A707" t="s">
        <v>17</v>
      </c>
      <c r="B707" s="3">
        <v>7.8792</v>
      </c>
    </row>
    <row r="708" spans="1:2" x14ac:dyDescent="0.2">
      <c r="A708" t="s">
        <v>17</v>
      </c>
      <c r="B708" s="3">
        <v>7.8792</v>
      </c>
    </row>
    <row r="709" spans="1:2" x14ac:dyDescent="0.2">
      <c r="A709" t="s">
        <v>17</v>
      </c>
      <c r="B709" s="3">
        <v>7.8792</v>
      </c>
    </row>
    <row r="710" spans="1:2" x14ac:dyDescent="0.2">
      <c r="A710" t="s">
        <v>13</v>
      </c>
      <c r="B710" s="3">
        <v>7.875</v>
      </c>
    </row>
    <row r="711" spans="1:2" x14ac:dyDescent="0.2">
      <c r="A711" t="s">
        <v>17</v>
      </c>
      <c r="B711" s="3">
        <v>7.8541999999999996</v>
      </c>
    </row>
    <row r="712" spans="1:2" x14ac:dyDescent="0.2">
      <c r="A712" t="s">
        <v>17</v>
      </c>
      <c r="B712" s="3">
        <v>7.8541999999999996</v>
      </c>
    </row>
    <row r="713" spans="1:2" x14ac:dyDescent="0.2">
      <c r="A713" t="s">
        <v>17</v>
      </c>
      <c r="B713" s="3">
        <v>7.8541999999999996</v>
      </c>
    </row>
    <row r="714" spans="1:2" x14ac:dyDescent="0.2">
      <c r="A714" t="s">
        <v>17</v>
      </c>
      <c r="B714" s="3">
        <v>7.8541999999999996</v>
      </c>
    </row>
    <row r="715" spans="1:2" x14ac:dyDescent="0.2">
      <c r="A715" t="s">
        <v>13</v>
      </c>
      <c r="B715" s="3">
        <v>7.8541999999999996</v>
      </c>
    </row>
    <row r="716" spans="1:2" x14ac:dyDescent="0.2">
      <c r="A716" t="s">
        <v>13</v>
      </c>
      <c r="B716" s="3">
        <v>7.8541999999999996</v>
      </c>
    </row>
    <row r="717" spans="1:2" x14ac:dyDescent="0.2">
      <c r="A717" t="s">
        <v>13</v>
      </c>
      <c r="B717" s="3">
        <v>7.8541999999999996</v>
      </c>
    </row>
    <row r="718" spans="1:2" x14ac:dyDescent="0.2">
      <c r="A718" t="s">
        <v>13</v>
      </c>
      <c r="B718" s="3">
        <v>7.8541999999999996</v>
      </c>
    </row>
    <row r="719" spans="1:2" x14ac:dyDescent="0.2">
      <c r="A719" t="s">
        <v>13</v>
      </c>
      <c r="B719" s="3">
        <v>7.8541999999999996</v>
      </c>
    </row>
    <row r="720" spans="1:2" x14ac:dyDescent="0.2">
      <c r="A720" t="s">
        <v>13</v>
      </c>
      <c r="B720" s="3">
        <v>7.8541999999999996</v>
      </c>
    </row>
    <row r="721" spans="1:2" x14ac:dyDescent="0.2">
      <c r="A721" t="s">
        <v>13</v>
      </c>
      <c r="B721" s="3">
        <v>7.8541999999999996</v>
      </c>
    </row>
    <row r="722" spans="1:2" x14ac:dyDescent="0.2">
      <c r="A722" t="s">
        <v>13</v>
      </c>
      <c r="B722" s="3">
        <v>7.8541999999999996</v>
      </c>
    </row>
    <row r="723" spans="1:2" x14ac:dyDescent="0.2">
      <c r="A723" t="s">
        <v>13</v>
      </c>
      <c r="B723" s="3">
        <v>7.8541999999999996</v>
      </c>
    </row>
    <row r="724" spans="1:2" x14ac:dyDescent="0.2">
      <c r="A724" t="s">
        <v>17</v>
      </c>
      <c r="B724" s="3">
        <v>7.8292000000000002</v>
      </c>
    </row>
    <row r="725" spans="1:2" x14ac:dyDescent="0.2">
      <c r="A725" t="s">
        <v>13</v>
      </c>
      <c r="B725" s="3">
        <v>7.8292000000000002</v>
      </c>
    </row>
    <row r="726" spans="1:2" x14ac:dyDescent="0.2">
      <c r="A726" t="s">
        <v>13</v>
      </c>
      <c r="B726" s="3">
        <v>7.8</v>
      </c>
    </row>
    <row r="727" spans="1:2" x14ac:dyDescent="0.2">
      <c r="A727" t="s">
        <v>13</v>
      </c>
      <c r="B727" s="3">
        <v>7.7957999999999998</v>
      </c>
    </row>
    <row r="728" spans="1:2" x14ac:dyDescent="0.2">
      <c r="A728" t="s">
        <v>13</v>
      </c>
      <c r="B728" s="3">
        <v>7.7957999999999998</v>
      </c>
    </row>
    <row r="729" spans="1:2" x14ac:dyDescent="0.2">
      <c r="A729" t="s">
        <v>13</v>
      </c>
      <c r="B729" s="3">
        <v>7.7957999999999998</v>
      </c>
    </row>
    <row r="730" spans="1:2" x14ac:dyDescent="0.2">
      <c r="A730" t="s">
        <v>13</v>
      </c>
      <c r="B730" s="3">
        <v>7.7957999999999998</v>
      </c>
    </row>
    <row r="731" spans="1:2" x14ac:dyDescent="0.2">
      <c r="A731" t="s">
        <v>13</v>
      </c>
      <c r="B731" s="3">
        <v>7.7957999999999998</v>
      </c>
    </row>
    <row r="732" spans="1:2" x14ac:dyDescent="0.2">
      <c r="A732" t="s">
        <v>13</v>
      </c>
      <c r="B732" s="3">
        <v>7.7957999999999998</v>
      </c>
    </row>
    <row r="733" spans="1:2" x14ac:dyDescent="0.2">
      <c r="A733" t="s">
        <v>17</v>
      </c>
      <c r="B733" s="3">
        <v>7.7874999999999996</v>
      </c>
    </row>
    <row r="734" spans="1:2" x14ac:dyDescent="0.2">
      <c r="A734" t="s">
        <v>17</v>
      </c>
      <c r="B734" s="3">
        <v>7.7750000000000004</v>
      </c>
    </row>
    <row r="735" spans="1:2" x14ac:dyDescent="0.2">
      <c r="A735" t="s">
        <v>17</v>
      </c>
      <c r="B735" s="3">
        <v>7.7750000000000004</v>
      </c>
    </row>
    <row r="736" spans="1:2" x14ac:dyDescent="0.2">
      <c r="A736" t="s">
        <v>17</v>
      </c>
      <c r="B736" s="3">
        <v>7.7750000000000004</v>
      </c>
    </row>
    <row r="737" spans="1:2" x14ac:dyDescent="0.2">
      <c r="A737" t="s">
        <v>13</v>
      </c>
      <c r="B737" s="3">
        <v>7.7750000000000004</v>
      </c>
    </row>
    <row r="738" spans="1:2" x14ac:dyDescent="0.2">
      <c r="A738" t="s">
        <v>13</v>
      </c>
      <c r="B738" s="3">
        <v>7.7750000000000004</v>
      </c>
    </row>
    <row r="739" spans="1:2" x14ac:dyDescent="0.2">
      <c r="A739" t="s">
        <v>13</v>
      </c>
      <c r="B739" s="3">
        <v>7.7750000000000004</v>
      </c>
    </row>
    <row r="740" spans="1:2" x14ac:dyDescent="0.2">
      <c r="A740" t="s">
        <v>13</v>
      </c>
      <c r="B740" s="3">
        <v>7.7750000000000004</v>
      </c>
    </row>
    <row r="741" spans="1:2" x14ac:dyDescent="0.2">
      <c r="A741" t="s">
        <v>13</v>
      </c>
      <c r="B741" s="3">
        <v>7.7750000000000004</v>
      </c>
    </row>
    <row r="742" spans="1:2" x14ac:dyDescent="0.2">
      <c r="A742" t="s">
        <v>13</v>
      </c>
      <c r="B742" s="3">
        <v>7.7750000000000004</v>
      </c>
    </row>
    <row r="743" spans="1:2" x14ac:dyDescent="0.2">
      <c r="A743" t="s">
        <v>13</v>
      </c>
      <c r="B743" s="3">
        <v>7.7750000000000004</v>
      </c>
    </row>
    <row r="744" spans="1:2" x14ac:dyDescent="0.2">
      <c r="A744" t="s">
        <v>13</v>
      </c>
      <c r="B744" s="3">
        <v>7.7750000000000004</v>
      </c>
    </row>
    <row r="745" spans="1:2" x14ac:dyDescent="0.2">
      <c r="A745" t="s">
        <v>13</v>
      </c>
      <c r="B745" s="3">
        <v>7.7750000000000004</v>
      </c>
    </row>
    <row r="746" spans="1:2" x14ac:dyDescent="0.2">
      <c r="A746" t="s">
        <v>13</v>
      </c>
      <c r="B746" s="3">
        <v>7.7750000000000004</v>
      </c>
    </row>
    <row r="747" spans="1:2" x14ac:dyDescent="0.2">
      <c r="A747" t="s">
        <v>13</v>
      </c>
      <c r="B747" s="3">
        <v>7.7750000000000004</v>
      </c>
    </row>
    <row r="748" spans="1:2" x14ac:dyDescent="0.2">
      <c r="A748" t="s">
        <v>13</v>
      </c>
      <c r="B748" s="3">
        <v>7.7750000000000004</v>
      </c>
    </row>
    <row r="749" spans="1:2" x14ac:dyDescent="0.2">
      <c r="A749" t="s">
        <v>13</v>
      </c>
      <c r="B749" s="3">
        <v>7.7750000000000004</v>
      </c>
    </row>
    <row r="750" spans="1:2" x14ac:dyDescent="0.2">
      <c r="A750" t="s">
        <v>17</v>
      </c>
      <c r="B750" s="3">
        <v>7.75</v>
      </c>
    </row>
    <row r="751" spans="1:2" x14ac:dyDescent="0.2">
      <c r="A751" t="s">
        <v>17</v>
      </c>
      <c r="B751" s="3">
        <v>7.75</v>
      </c>
    </row>
    <row r="752" spans="1:2" x14ac:dyDescent="0.2">
      <c r="A752" t="s">
        <v>17</v>
      </c>
      <c r="B752" s="3">
        <v>7.75</v>
      </c>
    </row>
    <row r="753" spans="1:2" x14ac:dyDescent="0.2">
      <c r="A753" t="s">
        <v>17</v>
      </c>
      <c r="B753" s="3">
        <v>7.75</v>
      </c>
    </row>
    <row r="754" spans="1:2" x14ac:dyDescent="0.2">
      <c r="A754" t="s">
        <v>17</v>
      </c>
      <c r="B754" s="3">
        <v>7.75</v>
      </c>
    </row>
    <row r="755" spans="1:2" x14ac:dyDescent="0.2">
      <c r="A755" t="s">
        <v>17</v>
      </c>
      <c r="B755" s="3">
        <v>7.75</v>
      </c>
    </row>
    <row r="756" spans="1:2" x14ac:dyDescent="0.2">
      <c r="A756" t="s">
        <v>17</v>
      </c>
      <c r="B756" s="3">
        <v>7.75</v>
      </c>
    </row>
    <row r="757" spans="1:2" x14ac:dyDescent="0.2">
      <c r="A757" t="s">
        <v>17</v>
      </c>
      <c r="B757" s="3">
        <v>7.75</v>
      </c>
    </row>
    <row r="758" spans="1:2" x14ac:dyDescent="0.2">
      <c r="A758" t="s">
        <v>17</v>
      </c>
      <c r="B758" s="3">
        <v>7.75</v>
      </c>
    </row>
    <row r="759" spans="1:2" x14ac:dyDescent="0.2">
      <c r="A759" t="s">
        <v>17</v>
      </c>
      <c r="B759" s="3">
        <v>7.75</v>
      </c>
    </row>
    <row r="760" spans="1:2" x14ac:dyDescent="0.2">
      <c r="A760" t="s">
        <v>17</v>
      </c>
      <c r="B760" s="3">
        <v>7.75</v>
      </c>
    </row>
    <row r="761" spans="1:2" x14ac:dyDescent="0.2">
      <c r="A761" t="s">
        <v>17</v>
      </c>
      <c r="B761" s="3">
        <v>7.75</v>
      </c>
    </row>
    <row r="762" spans="1:2" x14ac:dyDescent="0.2">
      <c r="A762" t="s">
        <v>17</v>
      </c>
      <c r="B762" s="3">
        <v>7.75</v>
      </c>
    </row>
    <row r="763" spans="1:2" x14ac:dyDescent="0.2">
      <c r="A763" t="s">
        <v>17</v>
      </c>
      <c r="B763" s="3">
        <v>7.75</v>
      </c>
    </row>
    <row r="764" spans="1:2" x14ac:dyDescent="0.2">
      <c r="A764" t="s">
        <v>17</v>
      </c>
      <c r="B764" s="3">
        <v>7.75</v>
      </c>
    </row>
    <row r="765" spans="1:2" x14ac:dyDescent="0.2">
      <c r="A765" t="s">
        <v>13</v>
      </c>
      <c r="B765" s="3">
        <v>7.75</v>
      </c>
    </row>
    <row r="766" spans="1:2" x14ac:dyDescent="0.2">
      <c r="A766" t="s">
        <v>13</v>
      </c>
      <c r="B766" s="3">
        <v>7.75</v>
      </c>
    </row>
    <row r="767" spans="1:2" x14ac:dyDescent="0.2">
      <c r="A767" t="s">
        <v>13</v>
      </c>
      <c r="B767" s="3">
        <v>7.75</v>
      </c>
    </row>
    <row r="768" spans="1:2" x14ac:dyDescent="0.2">
      <c r="A768" t="s">
        <v>13</v>
      </c>
      <c r="B768" s="3">
        <v>7.75</v>
      </c>
    </row>
    <row r="769" spans="1:2" x14ac:dyDescent="0.2">
      <c r="A769" t="s">
        <v>13</v>
      </c>
      <c r="B769" s="3">
        <v>7.75</v>
      </c>
    </row>
    <row r="770" spans="1:2" x14ac:dyDescent="0.2">
      <c r="A770" t="s">
        <v>13</v>
      </c>
      <c r="B770" s="3">
        <v>7.75</v>
      </c>
    </row>
    <row r="771" spans="1:2" x14ac:dyDescent="0.2">
      <c r="A771" t="s">
        <v>13</v>
      </c>
      <c r="B771" s="3">
        <v>7.75</v>
      </c>
    </row>
    <row r="772" spans="1:2" x14ac:dyDescent="0.2">
      <c r="A772" t="s">
        <v>13</v>
      </c>
      <c r="B772" s="3">
        <v>7.75</v>
      </c>
    </row>
    <row r="773" spans="1:2" x14ac:dyDescent="0.2">
      <c r="A773" t="s">
        <v>13</v>
      </c>
      <c r="B773" s="3">
        <v>7.75</v>
      </c>
    </row>
    <row r="774" spans="1:2" x14ac:dyDescent="0.2">
      <c r="A774" t="s">
        <v>13</v>
      </c>
      <c r="B774" s="3">
        <v>7.75</v>
      </c>
    </row>
    <row r="775" spans="1:2" x14ac:dyDescent="0.2">
      <c r="A775" t="s">
        <v>13</v>
      </c>
      <c r="B775" s="3">
        <v>7.75</v>
      </c>
    </row>
    <row r="776" spans="1:2" x14ac:dyDescent="0.2">
      <c r="A776" t="s">
        <v>13</v>
      </c>
      <c r="B776" s="3">
        <v>7.75</v>
      </c>
    </row>
    <row r="777" spans="1:2" x14ac:dyDescent="0.2">
      <c r="A777" t="s">
        <v>13</v>
      </c>
      <c r="B777" s="3">
        <v>7.75</v>
      </c>
    </row>
    <row r="778" spans="1:2" x14ac:dyDescent="0.2">
      <c r="A778" t="s">
        <v>13</v>
      </c>
      <c r="B778" s="3">
        <v>7.75</v>
      </c>
    </row>
    <row r="779" spans="1:2" x14ac:dyDescent="0.2">
      <c r="A779" t="s">
        <v>13</v>
      </c>
      <c r="B779" s="3">
        <v>7.75</v>
      </c>
    </row>
    <row r="780" spans="1:2" x14ac:dyDescent="0.2">
      <c r="A780" t="s">
        <v>13</v>
      </c>
      <c r="B780" s="3">
        <v>7.75</v>
      </c>
    </row>
    <row r="781" spans="1:2" x14ac:dyDescent="0.2">
      <c r="A781" t="s">
        <v>13</v>
      </c>
      <c r="B781" s="3">
        <v>7.75</v>
      </c>
    </row>
    <row r="782" spans="1:2" x14ac:dyDescent="0.2">
      <c r="A782" t="s">
        <v>13</v>
      </c>
      <c r="B782" s="3">
        <v>7.75</v>
      </c>
    </row>
    <row r="783" spans="1:2" x14ac:dyDescent="0.2">
      <c r="A783" t="s">
        <v>13</v>
      </c>
      <c r="B783" s="3">
        <v>7.75</v>
      </c>
    </row>
    <row r="784" spans="1:2" x14ac:dyDescent="0.2">
      <c r="A784" t="s">
        <v>13</v>
      </c>
      <c r="B784" s="3">
        <v>7.7416999999999998</v>
      </c>
    </row>
    <row r="785" spans="1:2" x14ac:dyDescent="0.2">
      <c r="A785" t="s">
        <v>17</v>
      </c>
      <c r="B785" s="3">
        <v>7.7374999999999998</v>
      </c>
    </row>
    <row r="786" spans="1:2" x14ac:dyDescent="0.2">
      <c r="A786" t="s">
        <v>13</v>
      </c>
      <c r="B786" s="3">
        <v>7.7374999999999998</v>
      </c>
    </row>
    <row r="787" spans="1:2" x14ac:dyDescent="0.2">
      <c r="A787" t="s">
        <v>17</v>
      </c>
      <c r="B787" s="3">
        <v>7.7332999999999998</v>
      </c>
    </row>
    <row r="788" spans="1:2" x14ac:dyDescent="0.2">
      <c r="A788" t="s">
        <v>17</v>
      </c>
      <c r="B788" s="3">
        <v>7.7332999999999998</v>
      </c>
    </row>
    <row r="789" spans="1:2" x14ac:dyDescent="0.2">
      <c r="A789" t="s">
        <v>13</v>
      </c>
      <c r="B789" s="3">
        <v>7.7332999999999998</v>
      </c>
    </row>
    <row r="790" spans="1:2" x14ac:dyDescent="0.2">
      <c r="A790" t="s">
        <v>13</v>
      </c>
      <c r="B790" s="3">
        <v>7.7332999999999998</v>
      </c>
    </row>
    <row r="791" spans="1:2" x14ac:dyDescent="0.2">
      <c r="A791" t="s">
        <v>13</v>
      </c>
      <c r="B791" s="3">
        <v>7.7291999999999996</v>
      </c>
    </row>
    <row r="792" spans="1:2" x14ac:dyDescent="0.2">
      <c r="A792" t="s">
        <v>13</v>
      </c>
      <c r="B792" s="3">
        <v>7.7249999999999996</v>
      </c>
    </row>
    <row r="793" spans="1:2" x14ac:dyDescent="0.2">
      <c r="A793" t="s">
        <v>17</v>
      </c>
      <c r="B793" s="3">
        <v>7.65</v>
      </c>
    </row>
    <row r="794" spans="1:2" x14ac:dyDescent="0.2">
      <c r="A794" t="s">
        <v>13</v>
      </c>
      <c r="B794" s="3">
        <v>7.65</v>
      </c>
    </row>
    <row r="795" spans="1:2" x14ac:dyDescent="0.2">
      <c r="A795" t="s">
        <v>13</v>
      </c>
      <c r="B795" s="3">
        <v>7.65</v>
      </c>
    </row>
    <row r="796" spans="1:2" x14ac:dyDescent="0.2">
      <c r="A796" t="s">
        <v>13</v>
      </c>
      <c r="B796" s="3">
        <v>7.65</v>
      </c>
    </row>
    <row r="797" spans="1:2" x14ac:dyDescent="0.2">
      <c r="A797" t="s">
        <v>17</v>
      </c>
      <c r="B797" s="3">
        <v>7.6292</v>
      </c>
    </row>
    <row r="798" spans="1:2" x14ac:dyDescent="0.2">
      <c r="A798" t="s">
        <v>17</v>
      </c>
      <c r="B798" s="3">
        <v>7.55</v>
      </c>
    </row>
    <row r="799" spans="1:2" x14ac:dyDescent="0.2">
      <c r="A799" t="s">
        <v>17</v>
      </c>
      <c r="B799" s="3">
        <v>7.55</v>
      </c>
    </row>
    <row r="800" spans="1:2" x14ac:dyDescent="0.2">
      <c r="A800" t="s">
        <v>13</v>
      </c>
      <c r="B800" s="3">
        <v>7.55</v>
      </c>
    </row>
    <row r="801" spans="1:2" x14ac:dyDescent="0.2">
      <c r="A801" t="s">
        <v>13</v>
      </c>
      <c r="B801" s="3">
        <v>7.55</v>
      </c>
    </row>
    <row r="802" spans="1:2" x14ac:dyDescent="0.2">
      <c r="A802" t="s">
        <v>13</v>
      </c>
      <c r="B802" s="3">
        <v>7.5208000000000004</v>
      </c>
    </row>
    <row r="803" spans="1:2" x14ac:dyDescent="0.2">
      <c r="A803" t="s">
        <v>17</v>
      </c>
      <c r="B803" s="3">
        <v>7.4958</v>
      </c>
    </row>
    <row r="804" spans="1:2" x14ac:dyDescent="0.2">
      <c r="A804" t="s">
        <v>13</v>
      </c>
      <c r="B804" s="3">
        <v>7.4958</v>
      </c>
    </row>
    <row r="805" spans="1:2" x14ac:dyDescent="0.2">
      <c r="A805" t="s">
        <v>13</v>
      </c>
      <c r="B805" s="3">
        <v>7.4958</v>
      </c>
    </row>
    <row r="806" spans="1:2" x14ac:dyDescent="0.2">
      <c r="A806" t="s">
        <v>13</v>
      </c>
      <c r="B806" s="3">
        <v>7.3125</v>
      </c>
    </row>
    <row r="807" spans="1:2" x14ac:dyDescent="0.2">
      <c r="A807" t="s">
        <v>17</v>
      </c>
      <c r="B807" s="3">
        <v>7.25</v>
      </c>
    </row>
    <row r="808" spans="1:2" x14ac:dyDescent="0.2">
      <c r="A808" t="s">
        <v>13</v>
      </c>
      <c r="B808" s="3">
        <v>7.25</v>
      </c>
    </row>
    <row r="809" spans="1:2" x14ac:dyDescent="0.2">
      <c r="A809" t="s">
        <v>13</v>
      </c>
      <c r="B809" s="3">
        <v>7.25</v>
      </c>
    </row>
    <row r="810" spans="1:2" x14ac:dyDescent="0.2">
      <c r="A810" t="s">
        <v>13</v>
      </c>
      <c r="B810" s="3">
        <v>7.25</v>
      </c>
    </row>
    <row r="811" spans="1:2" x14ac:dyDescent="0.2">
      <c r="A811" t="s">
        <v>13</v>
      </c>
      <c r="B811" s="3">
        <v>7.25</v>
      </c>
    </row>
    <row r="812" spans="1:2" x14ac:dyDescent="0.2">
      <c r="A812" t="s">
        <v>13</v>
      </c>
      <c r="B812" s="3">
        <v>7.25</v>
      </c>
    </row>
    <row r="813" spans="1:2" x14ac:dyDescent="0.2">
      <c r="A813" t="s">
        <v>13</v>
      </c>
      <c r="B813" s="3">
        <v>7.25</v>
      </c>
    </row>
    <row r="814" spans="1:2" x14ac:dyDescent="0.2">
      <c r="A814" t="s">
        <v>13</v>
      </c>
      <c r="B814" s="3">
        <v>7.25</v>
      </c>
    </row>
    <row r="815" spans="1:2" x14ac:dyDescent="0.2">
      <c r="A815" t="s">
        <v>13</v>
      </c>
      <c r="B815" s="3">
        <v>7.25</v>
      </c>
    </row>
    <row r="816" spans="1:2" x14ac:dyDescent="0.2">
      <c r="A816" t="s">
        <v>13</v>
      </c>
      <c r="B816" s="3">
        <v>7.25</v>
      </c>
    </row>
    <row r="817" spans="1:2" x14ac:dyDescent="0.2">
      <c r="A817" t="s">
        <v>13</v>
      </c>
      <c r="B817" s="3">
        <v>7.25</v>
      </c>
    </row>
    <row r="818" spans="1:2" x14ac:dyDescent="0.2">
      <c r="A818" t="s">
        <v>13</v>
      </c>
      <c r="B818" s="3">
        <v>7.25</v>
      </c>
    </row>
    <row r="819" spans="1:2" x14ac:dyDescent="0.2">
      <c r="A819" t="s">
        <v>13</v>
      </c>
      <c r="B819" s="3">
        <v>7.25</v>
      </c>
    </row>
    <row r="820" spans="1:2" x14ac:dyDescent="0.2">
      <c r="A820" t="s">
        <v>17</v>
      </c>
      <c r="B820" s="3">
        <v>7.2291999999999996</v>
      </c>
    </row>
    <row r="821" spans="1:2" x14ac:dyDescent="0.2">
      <c r="A821" t="s">
        <v>17</v>
      </c>
      <c r="B821" s="3">
        <v>7.2291999999999996</v>
      </c>
    </row>
    <row r="822" spans="1:2" x14ac:dyDescent="0.2">
      <c r="A822" t="s">
        <v>13</v>
      </c>
      <c r="B822" s="3">
        <v>7.2291999999999996</v>
      </c>
    </row>
    <row r="823" spans="1:2" x14ac:dyDescent="0.2">
      <c r="A823" t="s">
        <v>13</v>
      </c>
      <c r="B823" s="3">
        <v>7.2291999999999996</v>
      </c>
    </row>
    <row r="824" spans="1:2" x14ac:dyDescent="0.2">
      <c r="A824" t="s">
        <v>13</v>
      </c>
      <c r="B824" s="3">
        <v>7.2291999999999996</v>
      </c>
    </row>
    <row r="825" spans="1:2" x14ac:dyDescent="0.2">
      <c r="A825" t="s">
        <v>13</v>
      </c>
      <c r="B825" s="3">
        <v>7.2291999999999996</v>
      </c>
    </row>
    <row r="826" spans="1:2" x14ac:dyDescent="0.2">
      <c r="A826" t="s">
        <v>13</v>
      </c>
      <c r="B826" s="3">
        <v>7.2291999999999996</v>
      </c>
    </row>
    <row r="827" spans="1:2" x14ac:dyDescent="0.2">
      <c r="A827" t="s">
        <v>13</v>
      </c>
      <c r="B827" s="3">
        <v>7.2291999999999996</v>
      </c>
    </row>
    <row r="828" spans="1:2" x14ac:dyDescent="0.2">
      <c r="A828" t="s">
        <v>13</v>
      </c>
      <c r="B828" s="3">
        <v>7.2291999999999996</v>
      </c>
    </row>
    <row r="829" spans="1:2" x14ac:dyDescent="0.2">
      <c r="A829" t="s">
        <v>13</v>
      </c>
      <c r="B829" s="3">
        <v>7.2291999999999996</v>
      </c>
    </row>
    <row r="830" spans="1:2" x14ac:dyDescent="0.2">
      <c r="A830" t="s">
        <v>13</v>
      </c>
      <c r="B830" s="3">
        <v>7.2291999999999996</v>
      </c>
    </row>
    <row r="831" spans="1:2" x14ac:dyDescent="0.2">
      <c r="A831" t="s">
        <v>13</v>
      </c>
      <c r="B831" s="3">
        <v>7.2291999999999996</v>
      </c>
    </row>
    <row r="832" spans="1:2" x14ac:dyDescent="0.2">
      <c r="A832" t="s">
        <v>13</v>
      </c>
      <c r="B832" s="3">
        <v>7.2291999999999996</v>
      </c>
    </row>
    <row r="833" spans="1:2" x14ac:dyDescent="0.2">
      <c r="A833" t="s">
        <v>13</v>
      </c>
      <c r="B833" s="3">
        <v>7.2291999999999996</v>
      </c>
    </row>
    <row r="834" spans="1:2" x14ac:dyDescent="0.2">
      <c r="A834" t="s">
        <v>13</v>
      </c>
      <c r="B834" s="3">
        <v>7.2291999999999996</v>
      </c>
    </row>
    <row r="835" spans="1:2" x14ac:dyDescent="0.2">
      <c r="A835" t="s">
        <v>17</v>
      </c>
      <c r="B835" s="3">
        <v>7.2249999999999996</v>
      </c>
    </row>
    <row r="836" spans="1:2" x14ac:dyDescent="0.2">
      <c r="A836" t="s">
        <v>17</v>
      </c>
      <c r="B836" s="3">
        <v>7.2249999999999996</v>
      </c>
    </row>
    <row r="837" spans="1:2" x14ac:dyDescent="0.2">
      <c r="A837" t="s">
        <v>13</v>
      </c>
      <c r="B837" s="3">
        <v>7.2249999999999996</v>
      </c>
    </row>
    <row r="838" spans="1:2" x14ac:dyDescent="0.2">
      <c r="A838" t="s">
        <v>13</v>
      </c>
      <c r="B838" s="3">
        <v>7.2249999999999996</v>
      </c>
    </row>
    <row r="839" spans="1:2" x14ac:dyDescent="0.2">
      <c r="A839" t="s">
        <v>13</v>
      </c>
      <c r="B839" s="3">
        <v>7.2249999999999996</v>
      </c>
    </row>
    <row r="840" spans="1:2" x14ac:dyDescent="0.2">
      <c r="A840" t="s">
        <v>13</v>
      </c>
      <c r="B840" s="3">
        <v>7.2249999999999996</v>
      </c>
    </row>
    <row r="841" spans="1:2" x14ac:dyDescent="0.2">
      <c r="A841" t="s">
        <v>13</v>
      </c>
      <c r="B841" s="3">
        <v>7.2249999999999996</v>
      </c>
    </row>
    <row r="842" spans="1:2" x14ac:dyDescent="0.2">
      <c r="A842" t="s">
        <v>13</v>
      </c>
      <c r="B842" s="3">
        <v>7.2249999999999996</v>
      </c>
    </row>
    <row r="843" spans="1:2" x14ac:dyDescent="0.2">
      <c r="A843" t="s">
        <v>13</v>
      </c>
      <c r="B843" s="3">
        <v>7.2249999999999996</v>
      </c>
    </row>
    <row r="844" spans="1:2" x14ac:dyDescent="0.2">
      <c r="A844" t="s">
        <v>13</v>
      </c>
      <c r="B844" s="3">
        <v>7.2249999999999996</v>
      </c>
    </row>
    <row r="845" spans="1:2" x14ac:dyDescent="0.2">
      <c r="A845" t="s">
        <v>13</v>
      </c>
      <c r="B845" s="3">
        <v>7.2249999999999996</v>
      </c>
    </row>
    <row r="846" spans="1:2" x14ac:dyDescent="0.2">
      <c r="A846" t="s">
        <v>13</v>
      </c>
      <c r="B846" s="3">
        <v>7.2249999999999996</v>
      </c>
    </row>
    <row r="847" spans="1:2" x14ac:dyDescent="0.2">
      <c r="A847" t="s">
        <v>13</v>
      </c>
      <c r="B847" s="3">
        <v>7.1417000000000002</v>
      </c>
    </row>
    <row r="848" spans="1:2" x14ac:dyDescent="0.2">
      <c r="A848" t="s">
        <v>13</v>
      </c>
      <c r="B848" s="3">
        <v>7.125</v>
      </c>
    </row>
    <row r="849" spans="1:2" x14ac:dyDescent="0.2">
      <c r="A849" t="s">
        <v>13</v>
      </c>
      <c r="B849" s="3">
        <v>7.125</v>
      </c>
    </row>
    <row r="850" spans="1:2" x14ac:dyDescent="0.2">
      <c r="A850" t="s">
        <v>13</v>
      </c>
      <c r="B850" s="3">
        <v>7.125</v>
      </c>
    </row>
    <row r="851" spans="1:2" x14ac:dyDescent="0.2">
      <c r="A851" t="s">
        <v>13</v>
      </c>
      <c r="B851" s="3">
        <v>7.125</v>
      </c>
    </row>
    <row r="852" spans="1:2" x14ac:dyDescent="0.2">
      <c r="A852" t="s">
        <v>13</v>
      </c>
      <c r="B852" s="3">
        <v>7.0541999999999998</v>
      </c>
    </row>
    <row r="853" spans="1:2" x14ac:dyDescent="0.2">
      <c r="A853" t="s">
        <v>13</v>
      </c>
      <c r="B853" s="3">
        <v>7.0541999999999998</v>
      </c>
    </row>
    <row r="854" spans="1:2" x14ac:dyDescent="0.2">
      <c r="A854" t="s">
        <v>13</v>
      </c>
      <c r="B854" s="3">
        <v>7.05</v>
      </c>
    </row>
    <row r="855" spans="1:2" x14ac:dyDescent="0.2">
      <c r="A855" t="s">
        <v>13</v>
      </c>
      <c r="B855" s="3">
        <v>7.05</v>
      </c>
    </row>
    <row r="856" spans="1:2" x14ac:dyDescent="0.2">
      <c r="A856" t="s">
        <v>13</v>
      </c>
      <c r="B856" s="3">
        <v>7.05</v>
      </c>
    </row>
    <row r="857" spans="1:2" x14ac:dyDescent="0.2">
      <c r="A857" t="s">
        <v>13</v>
      </c>
      <c r="B857" s="3">
        <v>7.05</v>
      </c>
    </row>
    <row r="858" spans="1:2" x14ac:dyDescent="0.2">
      <c r="A858" t="s">
        <v>13</v>
      </c>
      <c r="B858" s="3">
        <v>7.05</v>
      </c>
    </row>
    <row r="859" spans="1:2" x14ac:dyDescent="0.2">
      <c r="A859" t="s">
        <v>13</v>
      </c>
      <c r="B859" s="3">
        <v>7.05</v>
      </c>
    </row>
    <row r="860" spans="1:2" x14ac:dyDescent="0.2">
      <c r="A860" t="s">
        <v>13</v>
      </c>
      <c r="B860" s="3">
        <v>7.05</v>
      </c>
    </row>
    <row r="861" spans="1:2" x14ac:dyDescent="0.2">
      <c r="A861" t="s">
        <v>13</v>
      </c>
      <c r="B861" s="3">
        <v>7.0457999999999998</v>
      </c>
    </row>
    <row r="862" spans="1:2" x14ac:dyDescent="0.2">
      <c r="A862" t="s">
        <v>13</v>
      </c>
      <c r="B862" s="3">
        <v>6.9749999999999996</v>
      </c>
    </row>
    <row r="863" spans="1:2" x14ac:dyDescent="0.2">
      <c r="A863" t="s">
        <v>13</v>
      </c>
      <c r="B863" s="3">
        <v>6.9749999999999996</v>
      </c>
    </row>
    <row r="864" spans="1:2" x14ac:dyDescent="0.2">
      <c r="A864" t="s">
        <v>13</v>
      </c>
      <c r="B864" s="3">
        <v>6.95</v>
      </c>
    </row>
    <row r="865" spans="1:2" x14ac:dyDescent="0.2">
      <c r="A865" t="s">
        <v>13</v>
      </c>
      <c r="B865" s="3">
        <v>6.8582999999999998</v>
      </c>
    </row>
    <row r="866" spans="1:2" x14ac:dyDescent="0.2">
      <c r="A866" t="s">
        <v>17</v>
      </c>
      <c r="B866" s="3">
        <v>6.75</v>
      </c>
    </row>
    <row r="867" spans="1:2" x14ac:dyDescent="0.2">
      <c r="A867" t="s">
        <v>13</v>
      </c>
      <c r="B867" s="3">
        <v>6.75</v>
      </c>
    </row>
    <row r="868" spans="1:2" x14ac:dyDescent="0.2">
      <c r="A868" t="s">
        <v>13</v>
      </c>
      <c r="B868" s="3">
        <v>6.4958</v>
      </c>
    </row>
    <row r="869" spans="1:2" x14ac:dyDescent="0.2">
      <c r="A869" t="s">
        <v>13</v>
      </c>
      <c r="B869" s="3">
        <v>6.4958</v>
      </c>
    </row>
    <row r="870" spans="1:2" x14ac:dyDescent="0.2">
      <c r="A870" t="s">
        <v>13</v>
      </c>
      <c r="B870" s="3">
        <v>6.45</v>
      </c>
    </row>
    <row r="871" spans="1:2" x14ac:dyDescent="0.2">
      <c r="A871" t="s">
        <v>13</v>
      </c>
      <c r="B871" s="3">
        <v>6.4375</v>
      </c>
    </row>
    <row r="872" spans="1:2" x14ac:dyDescent="0.2">
      <c r="A872" t="s">
        <v>13</v>
      </c>
      <c r="B872" s="3">
        <v>6.2374999999999998</v>
      </c>
    </row>
    <row r="873" spans="1:2" x14ac:dyDescent="0.2">
      <c r="A873" t="s">
        <v>13</v>
      </c>
      <c r="B873" s="3">
        <v>5</v>
      </c>
    </row>
    <row r="874" spans="1:2" x14ac:dyDescent="0.2">
      <c r="A874" t="s">
        <v>13</v>
      </c>
      <c r="B874" s="3">
        <v>4.0125000000000002</v>
      </c>
    </row>
    <row r="875" spans="1:2" x14ac:dyDescent="0.2">
      <c r="A875" t="s">
        <v>13</v>
      </c>
      <c r="B875" s="3">
        <v>0</v>
      </c>
    </row>
    <row r="876" spans="1:2" x14ac:dyDescent="0.2">
      <c r="A876" t="s">
        <v>13</v>
      </c>
      <c r="B876" s="3">
        <v>0</v>
      </c>
    </row>
    <row r="877" spans="1:2" x14ac:dyDescent="0.2">
      <c r="A877" t="s">
        <v>13</v>
      </c>
      <c r="B877" s="3">
        <v>0</v>
      </c>
    </row>
    <row r="878" spans="1:2" x14ac:dyDescent="0.2">
      <c r="A878" t="s">
        <v>13</v>
      </c>
      <c r="B878" s="3">
        <v>0</v>
      </c>
    </row>
    <row r="879" spans="1:2" x14ac:dyDescent="0.2">
      <c r="A879" t="s">
        <v>13</v>
      </c>
      <c r="B879" s="3">
        <v>0</v>
      </c>
    </row>
    <row r="880" spans="1:2" x14ac:dyDescent="0.2">
      <c r="A880" t="s">
        <v>13</v>
      </c>
      <c r="B880" s="3">
        <v>0</v>
      </c>
    </row>
    <row r="881" spans="1:2" x14ac:dyDescent="0.2">
      <c r="A881" t="s">
        <v>13</v>
      </c>
      <c r="B881" s="3">
        <v>0</v>
      </c>
    </row>
    <row r="882" spans="1:2" x14ac:dyDescent="0.2">
      <c r="A882" t="s">
        <v>13</v>
      </c>
      <c r="B882" s="3">
        <v>0</v>
      </c>
    </row>
    <row r="883" spans="1:2" x14ac:dyDescent="0.2">
      <c r="A883" t="s">
        <v>13</v>
      </c>
      <c r="B883" s="3">
        <v>0</v>
      </c>
    </row>
    <row r="884" spans="1:2" x14ac:dyDescent="0.2">
      <c r="A884" t="s">
        <v>13</v>
      </c>
      <c r="B884" s="3">
        <v>0</v>
      </c>
    </row>
    <row r="885" spans="1:2" x14ac:dyDescent="0.2">
      <c r="A885" t="s">
        <v>13</v>
      </c>
      <c r="B885" s="3">
        <v>0</v>
      </c>
    </row>
    <row r="886" spans="1:2" x14ac:dyDescent="0.2">
      <c r="A886" t="s">
        <v>13</v>
      </c>
      <c r="B886" s="3">
        <v>0</v>
      </c>
    </row>
    <row r="887" spans="1:2" x14ac:dyDescent="0.2">
      <c r="A887" t="s">
        <v>13</v>
      </c>
      <c r="B887" s="3">
        <v>0</v>
      </c>
    </row>
    <row r="888" spans="1:2" x14ac:dyDescent="0.2">
      <c r="A888" t="s">
        <v>13</v>
      </c>
      <c r="B888" s="3">
        <v>0</v>
      </c>
    </row>
    <row r="889" spans="1:2" x14ac:dyDescent="0.2">
      <c r="A889" t="s">
        <v>13</v>
      </c>
      <c r="B889" s="3">
        <v>0</v>
      </c>
    </row>
  </sheetData>
  <sortState xmlns:xlrd2="http://schemas.microsoft.com/office/spreadsheetml/2017/richdata2" ref="A2:B891">
    <sortCondition descending="1" ref="B2:B891"/>
    <sortCondition ref="A2:A891"/>
  </sortState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77BC7-E817-9441-8ED9-73CF23B648C0}">
  <dimension ref="A1:C891"/>
  <sheetViews>
    <sheetView topLeftCell="A9" workbookViewId="0">
      <selection activeCell="C2" sqref="C2"/>
    </sheetView>
  </sheetViews>
  <sheetFormatPr baseColWidth="10" defaultRowHeight="16" x14ac:dyDescent="0.2"/>
  <cols>
    <col min="1" max="1" width="9.33203125" style="3" customWidth="1"/>
  </cols>
  <sheetData>
    <row r="1" spans="1:3" x14ac:dyDescent="0.2">
      <c r="A1" s="3">
        <v>7.25</v>
      </c>
      <c r="B1">
        <f>LOG10(A1)</f>
        <v>0.86033800657099369</v>
      </c>
      <c r="C1">
        <f>SQRT(A1)</f>
        <v>2.6925824035672519</v>
      </c>
    </row>
    <row r="2" spans="1:3" x14ac:dyDescent="0.2">
      <c r="A2" s="3">
        <v>71.283299999999997</v>
      </c>
      <c r="B2">
        <f t="shared" ref="B2:B65" si="0">LOG10(A2)</f>
        <v>1.8529877967894248</v>
      </c>
      <c r="C2">
        <f t="shared" ref="C2:C65" si="1">SQRT(A2)</f>
        <v>8.4429437994102514</v>
      </c>
    </row>
    <row r="3" spans="1:3" x14ac:dyDescent="0.2">
      <c r="A3" s="3">
        <v>7.9249999999999998</v>
      </c>
      <c r="B3">
        <f t="shared" si="0"/>
        <v>0.89899927088978915</v>
      </c>
      <c r="C3">
        <f t="shared" si="1"/>
        <v>2.8151376520518494</v>
      </c>
    </row>
    <row r="4" spans="1:3" x14ac:dyDescent="0.2">
      <c r="A4" s="3">
        <v>53.1</v>
      </c>
      <c r="B4">
        <f t="shared" si="0"/>
        <v>1.725094521081469</v>
      </c>
      <c r="C4">
        <f t="shared" si="1"/>
        <v>7.286974680894672</v>
      </c>
    </row>
    <row r="5" spans="1:3" x14ac:dyDescent="0.2">
      <c r="A5" s="3">
        <v>8.0500000000000007</v>
      </c>
      <c r="B5">
        <f t="shared" si="0"/>
        <v>0.90579588036786851</v>
      </c>
      <c r="C5">
        <f t="shared" si="1"/>
        <v>2.8372521918222215</v>
      </c>
    </row>
    <row r="6" spans="1:3" x14ac:dyDescent="0.2">
      <c r="A6" s="3">
        <v>8.4582999999999995</v>
      </c>
      <c r="B6">
        <f t="shared" si="0"/>
        <v>0.92728308469288701</v>
      </c>
      <c r="C6">
        <f t="shared" si="1"/>
        <v>2.9083156637476613</v>
      </c>
    </row>
    <row r="7" spans="1:3" x14ac:dyDescent="0.2">
      <c r="A7" s="3">
        <v>51.862499999999997</v>
      </c>
      <c r="B7">
        <f t="shared" si="0"/>
        <v>1.7148534478370294</v>
      </c>
      <c r="C7">
        <f t="shared" si="1"/>
        <v>7.2015623304946823</v>
      </c>
    </row>
    <row r="8" spans="1:3" x14ac:dyDescent="0.2">
      <c r="A8" s="3">
        <v>21.074999999999999</v>
      </c>
      <c r="B8">
        <f t="shared" si="0"/>
        <v>1.3237675832967799</v>
      </c>
      <c r="C8">
        <f t="shared" si="1"/>
        <v>4.5907515724552121</v>
      </c>
    </row>
    <row r="9" spans="1:3" x14ac:dyDescent="0.2">
      <c r="A9" s="3">
        <v>11.1333</v>
      </c>
      <c r="B9">
        <f t="shared" si="0"/>
        <v>1.0466239118070755</v>
      </c>
      <c r="C9">
        <f t="shared" si="1"/>
        <v>3.3366600066533598</v>
      </c>
    </row>
    <row r="10" spans="1:3" x14ac:dyDescent="0.2">
      <c r="A10" s="3">
        <v>30.070799999999998</v>
      </c>
      <c r="B10">
        <f t="shared" si="0"/>
        <v>1.4781449821731452</v>
      </c>
      <c r="C10">
        <f t="shared" si="1"/>
        <v>5.4836848924787791</v>
      </c>
    </row>
    <row r="11" spans="1:3" x14ac:dyDescent="0.2">
      <c r="A11" s="3">
        <v>16.7</v>
      </c>
      <c r="B11">
        <f t="shared" si="0"/>
        <v>1.2227164711475833</v>
      </c>
      <c r="C11">
        <f t="shared" si="1"/>
        <v>4.0865633483405102</v>
      </c>
    </row>
    <row r="12" spans="1:3" x14ac:dyDescent="0.2">
      <c r="A12" s="3">
        <v>26.55</v>
      </c>
      <c r="B12">
        <f t="shared" si="0"/>
        <v>1.424064525417488</v>
      </c>
      <c r="C12">
        <f t="shared" si="1"/>
        <v>5.1526692111953007</v>
      </c>
    </row>
    <row r="13" spans="1:3" x14ac:dyDescent="0.2">
      <c r="A13" s="3">
        <v>8.0500000000000007</v>
      </c>
      <c r="B13">
        <f t="shared" si="0"/>
        <v>0.90579588036786851</v>
      </c>
      <c r="C13">
        <f t="shared" si="1"/>
        <v>2.8372521918222215</v>
      </c>
    </row>
    <row r="14" spans="1:3" x14ac:dyDescent="0.2">
      <c r="A14" s="3">
        <v>31.274999999999999</v>
      </c>
      <c r="B14">
        <f t="shared" si="0"/>
        <v>1.4951973183654574</v>
      </c>
      <c r="C14">
        <f t="shared" si="1"/>
        <v>5.5924055646921742</v>
      </c>
    </row>
    <row r="15" spans="1:3" x14ac:dyDescent="0.2">
      <c r="A15" s="3">
        <v>7.8541999999999996</v>
      </c>
      <c r="B15">
        <f t="shared" si="0"/>
        <v>0.89510195598589926</v>
      </c>
      <c r="C15">
        <f t="shared" si="1"/>
        <v>2.8025345671373976</v>
      </c>
    </row>
    <row r="16" spans="1:3" x14ac:dyDescent="0.2">
      <c r="A16" s="3">
        <v>16</v>
      </c>
      <c r="B16">
        <f t="shared" si="0"/>
        <v>1.2041199826559248</v>
      </c>
      <c r="C16">
        <f t="shared" si="1"/>
        <v>4</v>
      </c>
    </row>
    <row r="17" spans="1:3" x14ac:dyDescent="0.2">
      <c r="A17" s="3">
        <v>29.125</v>
      </c>
      <c r="B17">
        <f t="shared" si="0"/>
        <v>1.4642659340340753</v>
      </c>
      <c r="C17">
        <f t="shared" si="1"/>
        <v>5.3967582862307255</v>
      </c>
    </row>
    <row r="18" spans="1:3" x14ac:dyDescent="0.2">
      <c r="A18" s="3">
        <v>13</v>
      </c>
      <c r="B18">
        <f t="shared" si="0"/>
        <v>1.1139433523068367</v>
      </c>
      <c r="C18">
        <f t="shared" si="1"/>
        <v>3.6055512754639891</v>
      </c>
    </row>
    <row r="19" spans="1:3" x14ac:dyDescent="0.2">
      <c r="A19" s="3">
        <v>18</v>
      </c>
      <c r="B19">
        <f t="shared" si="0"/>
        <v>1.255272505103306</v>
      </c>
      <c r="C19">
        <f t="shared" si="1"/>
        <v>4.2426406871192848</v>
      </c>
    </row>
    <row r="20" spans="1:3" x14ac:dyDescent="0.2">
      <c r="A20" s="3">
        <v>7.2249999999999996</v>
      </c>
      <c r="B20">
        <f t="shared" si="0"/>
        <v>0.85883785142858549</v>
      </c>
      <c r="C20">
        <f t="shared" si="1"/>
        <v>2.6879360111431225</v>
      </c>
    </row>
    <row r="21" spans="1:3" x14ac:dyDescent="0.2">
      <c r="A21" s="3">
        <v>26</v>
      </c>
      <c r="B21">
        <f t="shared" si="0"/>
        <v>1.414973347970818</v>
      </c>
      <c r="C21">
        <f t="shared" si="1"/>
        <v>5.0990195135927845</v>
      </c>
    </row>
    <row r="22" spans="1:3" x14ac:dyDescent="0.2">
      <c r="A22" s="3">
        <v>13</v>
      </c>
      <c r="B22">
        <f t="shared" si="0"/>
        <v>1.1139433523068367</v>
      </c>
      <c r="C22">
        <f t="shared" si="1"/>
        <v>3.6055512754639891</v>
      </c>
    </row>
    <row r="23" spans="1:3" x14ac:dyDescent="0.2">
      <c r="A23" s="3">
        <v>8.0291999999999994</v>
      </c>
      <c r="B23">
        <f t="shared" si="0"/>
        <v>0.90467227592705568</v>
      </c>
      <c r="C23">
        <f t="shared" si="1"/>
        <v>2.833584302610388</v>
      </c>
    </row>
    <row r="24" spans="1:3" x14ac:dyDescent="0.2">
      <c r="A24" s="3">
        <v>35.5</v>
      </c>
      <c r="B24">
        <f t="shared" si="0"/>
        <v>1.550228353055094</v>
      </c>
      <c r="C24">
        <f t="shared" si="1"/>
        <v>5.9581876439064922</v>
      </c>
    </row>
    <row r="25" spans="1:3" x14ac:dyDescent="0.2">
      <c r="A25" s="3">
        <v>21.074999999999999</v>
      </c>
      <c r="B25">
        <f t="shared" si="0"/>
        <v>1.3237675832967799</v>
      </c>
      <c r="C25">
        <f t="shared" si="1"/>
        <v>4.5907515724552121</v>
      </c>
    </row>
    <row r="26" spans="1:3" x14ac:dyDescent="0.2">
      <c r="A26" s="3">
        <v>31.387499999999999</v>
      </c>
      <c r="B26">
        <f t="shared" si="0"/>
        <v>1.4967567257209788</v>
      </c>
      <c r="C26">
        <f t="shared" si="1"/>
        <v>5.6024548190949295</v>
      </c>
    </row>
    <row r="27" spans="1:3" x14ac:dyDescent="0.2">
      <c r="A27" s="3">
        <v>7.2249999999999996</v>
      </c>
      <c r="B27">
        <f t="shared" si="0"/>
        <v>0.85883785142858549</v>
      </c>
      <c r="C27">
        <f t="shared" si="1"/>
        <v>2.6879360111431225</v>
      </c>
    </row>
    <row r="28" spans="1:3" x14ac:dyDescent="0.2">
      <c r="A28" s="3">
        <v>263</v>
      </c>
      <c r="B28">
        <f t="shared" si="0"/>
        <v>2.419955748489758</v>
      </c>
      <c r="C28">
        <f t="shared" si="1"/>
        <v>16.217274740226856</v>
      </c>
    </row>
    <row r="29" spans="1:3" x14ac:dyDescent="0.2">
      <c r="A29" s="3">
        <v>7.8792</v>
      </c>
      <c r="B29">
        <f t="shared" si="0"/>
        <v>0.8964821244409461</v>
      </c>
      <c r="C29">
        <f t="shared" si="1"/>
        <v>2.8069912718068788</v>
      </c>
    </row>
    <row r="30" spans="1:3" x14ac:dyDescent="0.2">
      <c r="A30" s="3">
        <v>7.8958000000000004</v>
      </c>
      <c r="B30">
        <f t="shared" si="0"/>
        <v>0.89739613915544614</v>
      </c>
      <c r="C30">
        <f t="shared" si="1"/>
        <v>2.8099466187100424</v>
      </c>
    </row>
    <row r="31" spans="1:3" x14ac:dyDescent="0.2">
      <c r="A31" s="3">
        <v>27.720800000000001</v>
      </c>
      <c r="B31">
        <f t="shared" si="0"/>
        <v>1.442805759510192</v>
      </c>
      <c r="C31">
        <f t="shared" si="1"/>
        <v>5.26505460560477</v>
      </c>
    </row>
    <row r="32" spans="1:3" x14ac:dyDescent="0.2">
      <c r="A32" s="3">
        <v>146.52080000000001</v>
      </c>
      <c r="B32">
        <f t="shared" si="0"/>
        <v>2.1658992812362761</v>
      </c>
      <c r="C32">
        <f t="shared" si="1"/>
        <v>12.104577646493908</v>
      </c>
    </row>
    <row r="33" spans="1:3" x14ac:dyDescent="0.2">
      <c r="A33" s="3">
        <v>7.75</v>
      </c>
      <c r="B33">
        <f t="shared" si="0"/>
        <v>0.88930170250631024</v>
      </c>
      <c r="C33">
        <f t="shared" si="1"/>
        <v>2.7838821814150108</v>
      </c>
    </row>
    <row r="34" spans="1:3" x14ac:dyDescent="0.2">
      <c r="A34" s="3">
        <v>10.5</v>
      </c>
      <c r="B34">
        <f t="shared" si="0"/>
        <v>1.0211892990699381</v>
      </c>
      <c r="C34">
        <f t="shared" si="1"/>
        <v>3.2403703492039302</v>
      </c>
    </row>
    <row r="35" spans="1:3" x14ac:dyDescent="0.2">
      <c r="A35" s="3">
        <v>82.1708</v>
      </c>
      <c r="B35">
        <f t="shared" si="0"/>
        <v>1.9147175152064853</v>
      </c>
      <c r="C35">
        <f t="shared" si="1"/>
        <v>9.0648110846282943</v>
      </c>
    </row>
    <row r="36" spans="1:3" x14ac:dyDescent="0.2">
      <c r="A36" s="3">
        <v>52</v>
      </c>
      <c r="B36">
        <f t="shared" si="0"/>
        <v>1.7160033436347992</v>
      </c>
      <c r="C36">
        <f t="shared" si="1"/>
        <v>7.2111025509279782</v>
      </c>
    </row>
    <row r="37" spans="1:3" x14ac:dyDescent="0.2">
      <c r="A37" s="3">
        <v>7.2291999999999996</v>
      </c>
      <c r="B37">
        <f t="shared" si="0"/>
        <v>0.85909023992124911</v>
      </c>
      <c r="C37">
        <f t="shared" si="1"/>
        <v>2.688717166233741</v>
      </c>
    </row>
    <row r="38" spans="1:3" x14ac:dyDescent="0.2">
      <c r="A38" s="3">
        <v>8.0500000000000007</v>
      </c>
      <c r="B38">
        <f t="shared" si="0"/>
        <v>0.90579588036786851</v>
      </c>
      <c r="C38">
        <f t="shared" si="1"/>
        <v>2.8372521918222215</v>
      </c>
    </row>
    <row r="39" spans="1:3" x14ac:dyDescent="0.2">
      <c r="A39" s="3">
        <v>18</v>
      </c>
      <c r="B39">
        <f t="shared" si="0"/>
        <v>1.255272505103306</v>
      </c>
      <c r="C39">
        <f t="shared" si="1"/>
        <v>4.2426406871192848</v>
      </c>
    </row>
    <row r="40" spans="1:3" x14ac:dyDescent="0.2">
      <c r="A40" s="3">
        <v>11.2417</v>
      </c>
      <c r="B40">
        <f t="shared" si="0"/>
        <v>1.0508319913747257</v>
      </c>
      <c r="C40">
        <f t="shared" si="1"/>
        <v>3.3528644470064699</v>
      </c>
    </row>
    <row r="41" spans="1:3" x14ac:dyDescent="0.2">
      <c r="A41" s="3">
        <v>9.4749999999999996</v>
      </c>
      <c r="B41">
        <f t="shared" si="0"/>
        <v>0.97657921864010988</v>
      </c>
      <c r="C41">
        <f t="shared" si="1"/>
        <v>3.0781487943242771</v>
      </c>
    </row>
    <row r="42" spans="1:3" x14ac:dyDescent="0.2">
      <c r="A42" s="3">
        <v>21</v>
      </c>
      <c r="B42">
        <f t="shared" si="0"/>
        <v>1.3222192947339193</v>
      </c>
      <c r="C42">
        <f t="shared" si="1"/>
        <v>4.5825756949558398</v>
      </c>
    </row>
    <row r="43" spans="1:3" x14ac:dyDescent="0.2">
      <c r="A43" s="3">
        <v>7.8958000000000004</v>
      </c>
      <c r="B43">
        <f t="shared" si="0"/>
        <v>0.89739613915544614</v>
      </c>
      <c r="C43">
        <f t="shared" si="1"/>
        <v>2.8099466187100424</v>
      </c>
    </row>
    <row r="44" spans="1:3" x14ac:dyDescent="0.2">
      <c r="A44" s="3">
        <v>41.5792</v>
      </c>
      <c r="B44">
        <f t="shared" si="0"/>
        <v>1.6188761290808784</v>
      </c>
      <c r="C44">
        <f t="shared" si="1"/>
        <v>6.4481935454823311</v>
      </c>
    </row>
    <row r="45" spans="1:3" x14ac:dyDescent="0.2">
      <c r="A45" s="3">
        <v>7.8792</v>
      </c>
      <c r="B45">
        <f t="shared" si="0"/>
        <v>0.8964821244409461</v>
      </c>
      <c r="C45">
        <f t="shared" si="1"/>
        <v>2.8069912718068788</v>
      </c>
    </row>
    <row r="46" spans="1:3" x14ac:dyDescent="0.2">
      <c r="A46" s="3">
        <v>8.0500000000000007</v>
      </c>
      <c r="B46">
        <f t="shared" si="0"/>
        <v>0.90579588036786851</v>
      </c>
      <c r="C46">
        <f t="shared" si="1"/>
        <v>2.8372521918222215</v>
      </c>
    </row>
    <row r="47" spans="1:3" x14ac:dyDescent="0.2">
      <c r="A47" s="3">
        <v>15.5</v>
      </c>
      <c r="B47">
        <f t="shared" si="0"/>
        <v>1.1903316981702914</v>
      </c>
      <c r="C47">
        <f t="shared" si="1"/>
        <v>3.9370039370059056</v>
      </c>
    </row>
    <row r="48" spans="1:3" x14ac:dyDescent="0.2">
      <c r="A48" s="3">
        <v>7.75</v>
      </c>
      <c r="B48">
        <f t="shared" si="0"/>
        <v>0.88930170250631024</v>
      </c>
      <c r="C48">
        <f t="shared" si="1"/>
        <v>2.7838821814150108</v>
      </c>
    </row>
    <row r="49" spans="1:3" x14ac:dyDescent="0.2">
      <c r="A49" s="3">
        <v>21.679200000000002</v>
      </c>
      <c r="B49">
        <f t="shared" si="0"/>
        <v>1.3360432519440277</v>
      </c>
      <c r="C49">
        <f t="shared" si="1"/>
        <v>4.656092782580691</v>
      </c>
    </row>
    <row r="50" spans="1:3" x14ac:dyDescent="0.2">
      <c r="A50" s="3">
        <v>17.8</v>
      </c>
      <c r="B50">
        <f t="shared" si="0"/>
        <v>1.2504200023088941</v>
      </c>
      <c r="C50">
        <f t="shared" si="1"/>
        <v>4.2190046219457971</v>
      </c>
    </row>
    <row r="51" spans="1:3" x14ac:dyDescent="0.2">
      <c r="A51" s="3">
        <v>39.6875</v>
      </c>
      <c r="B51">
        <f t="shared" si="0"/>
        <v>1.598653742636051</v>
      </c>
      <c r="C51">
        <f t="shared" si="1"/>
        <v>6.299801584177076</v>
      </c>
    </row>
    <row r="52" spans="1:3" x14ac:dyDescent="0.2">
      <c r="A52" s="3">
        <v>7.8</v>
      </c>
      <c r="B52">
        <f t="shared" si="0"/>
        <v>0.89209460269048035</v>
      </c>
      <c r="C52">
        <f t="shared" si="1"/>
        <v>2.7928480087537881</v>
      </c>
    </row>
    <row r="53" spans="1:3" x14ac:dyDescent="0.2">
      <c r="A53" s="3">
        <v>76.729200000000006</v>
      </c>
      <c r="B53">
        <f t="shared" si="0"/>
        <v>1.8849606701491657</v>
      </c>
      <c r="C53">
        <f t="shared" si="1"/>
        <v>8.7595205348238103</v>
      </c>
    </row>
    <row r="54" spans="1:3" x14ac:dyDescent="0.2">
      <c r="A54" s="3">
        <v>26</v>
      </c>
      <c r="B54">
        <f t="shared" si="0"/>
        <v>1.414973347970818</v>
      </c>
      <c r="C54">
        <f t="shared" si="1"/>
        <v>5.0990195135927845</v>
      </c>
    </row>
    <row r="55" spans="1:3" x14ac:dyDescent="0.2">
      <c r="A55" s="3">
        <v>61.979199999999999</v>
      </c>
      <c r="B55">
        <f t="shared" si="0"/>
        <v>1.79224596625906</v>
      </c>
      <c r="C55">
        <f t="shared" si="1"/>
        <v>7.8726869618955382</v>
      </c>
    </row>
    <row r="56" spans="1:3" x14ac:dyDescent="0.2">
      <c r="A56" s="3">
        <v>35.5</v>
      </c>
      <c r="B56">
        <f t="shared" si="0"/>
        <v>1.550228353055094</v>
      </c>
      <c r="C56">
        <f t="shared" si="1"/>
        <v>5.9581876439064922</v>
      </c>
    </row>
    <row r="57" spans="1:3" x14ac:dyDescent="0.2">
      <c r="A57" s="3">
        <v>10.5</v>
      </c>
      <c r="B57">
        <f t="shared" si="0"/>
        <v>1.0211892990699381</v>
      </c>
      <c r="C57">
        <f t="shared" si="1"/>
        <v>3.2403703492039302</v>
      </c>
    </row>
    <row r="58" spans="1:3" x14ac:dyDescent="0.2">
      <c r="A58" s="3">
        <v>7.2291999999999996</v>
      </c>
      <c r="B58">
        <f t="shared" si="0"/>
        <v>0.85909023992124911</v>
      </c>
      <c r="C58">
        <f t="shared" si="1"/>
        <v>2.688717166233741</v>
      </c>
    </row>
    <row r="59" spans="1:3" x14ac:dyDescent="0.2">
      <c r="A59" s="3">
        <v>27.75</v>
      </c>
      <c r="B59">
        <f t="shared" si="0"/>
        <v>1.4432629874586951</v>
      </c>
      <c r="C59">
        <f t="shared" si="1"/>
        <v>5.2678268764263692</v>
      </c>
    </row>
    <row r="60" spans="1:3" x14ac:dyDescent="0.2">
      <c r="A60" s="3">
        <v>46.9</v>
      </c>
      <c r="B60">
        <f t="shared" si="0"/>
        <v>1.6711728427150832</v>
      </c>
      <c r="C60">
        <f t="shared" si="1"/>
        <v>6.8483574673055729</v>
      </c>
    </row>
    <row r="61" spans="1:3" x14ac:dyDescent="0.2">
      <c r="A61" s="3">
        <v>7.2291999999999996</v>
      </c>
      <c r="B61">
        <f t="shared" si="0"/>
        <v>0.85909023992124911</v>
      </c>
      <c r="C61">
        <f t="shared" si="1"/>
        <v>2.688717166233741</v>
      </c>
    </row>
    <row r="62" spans="1:3" x14ac:dyDescent="0.2">
      <c r="A62" s="3">
        <v>80</v>
      </c>
      <c r="B62">
        <f t="shared" si="0"/>
        <v>1.9030899869919435</v>
      </c>
      <c r="C62">
        <f t="shared" si="1"/>
        <v>8.9442719099991592</v>
      </c>
    </row>
    <row r="63" spans="1:3" x14ac:dyDescent="0.2">
      <c r="A63" s="3">
        <v>83.474999999999994</v>
      </c>
      <c r="B63">
        <f t="shared" si="0"/>
        <v>1.9215564277264083</v>
      </c>
      <c r="C63">
        <f t="shared" si="1"/>
        <v>9.1364653997046368</v>
      </c>
    </row>
    <row r="64" spans="1:3" x14ac:dyDescent="0.2">
      <c r="A64" s="3">
        <v>27.9</v>
      </c>
      <c r="B64">
        <f t="shared" si="0"/>
        <v>1.4456042032735976</v>
      </c>
      <c r="C64">
        <f t="shared" si="1"/>
        <v>5.2820450584977028</v>
      </c>
    </row>
    <row r="65" spans="1:3" x14ac:dyDescent="0.2">
      <c r="A65" s="3">
        <v>27.720800000000001</v>
      </c>
      <c r="B65">
        <f t="shared" si="0"/>
        <v>1.442805759510192</v>
      </c>
      <c r="C65">
        <f t="shared" si="1"/>
        <v>5.26505460560477</v>
      </c>
    </row>
    <row r="66" spans="1:3" x14ac:dyDescent="0.2">
      <c r="A66" s="3">
        <v>15.245799999999999</v>
      </c>
      <c r="B66">
        <f t="shared" ref="B66:B129" si="2">LOG10(A66)</f>
        <v>1.1831502182369711</v>
      </c>
      <c r="C66">
        <f t="shared" ref="C66:C129" si="3">SQRT(A66)</f>
        <v>3.9045870460267627</v>
      </c>
    </row>
    <row r="67" spans="1:3" x14ac:dyDescent="0.2">
      <c r="A67" s="3">
        <v>10.5</v>
      </c>
      <c r="B67">
        <f t="shared" si="2"/>
        <v>1.0211892990699381</v>
      </c>
      <c r="C67">
        <f t="shared" si="3"/>
        <v>3.2403703492039302</v>
      </c>
    </row>
    <row r="68" spans="1:3" x14ac:dyDescent="0.2">
      <c r="A68" s="3">
        <v>8.1583000000000006</v>
      </c>
      <c r="B68">
        <f t="shared" si="2"/>
        <v>0.9115996713106953</v>
      </c>
      <c r="C68">
        <f t="shared" si="3"/>
        <v>2.856273796399778</v>
      </c>
    </row>
    <row r="69" spans="1:3" x14ac:dyDescent="0.2">
      <c r="A69" s="3">
        <v>7.9249999999999998</v>
      </c>
      <c r="B69">
        <f t="shared" si="2"/>
        <v>0.89899927088978915</v>
      </c>
      <c r="C69">
        <f t="shared" si="3"/>
        <v>2.8151376520518494</v>
      </c>
    </row>
    <row r="70" spans="1:3" x14ac:dyDescent="0.2">
      <c r="A70" s="3">
        <v>8.6624999999999996</v>
      </c>
      <c r="B70">
        <f t="shared" si="2"/>
        <v>0.93764324761986317</v>
      </c>
      <c r="C70">
        <f t="shared" si="3"/>
        <v>2.9432125305522874</v>
      </c>
    </row>
    <row r="71" spans="1:3" x14ac:dyDescent="0.2">
      <c r="A71" s="3">
        <v>10.5</v>
      </c>
      <c r="B71">
        <f t="shared" si="2"/>
        <v>1.0211892990699381</v>
      </c>
      <c r="C71">
        <f t="shared" si="3"/>
        <v>3.2403703492039302</v>
      </c>
    </row>
    <row r="72" spans="1:3" x14ac:dyDescent="0.2">
      <c r="A72" s="3">
        <v>46.9</v>
      </c>
      <c r="B72">
        <f t="shared" si="2"/>
        <v>1.6711728427150832</v>
      </c>
      <c r="C72">
        <f t="shared" si="3"/>
        <v>6.8483574673055729</v>
      </c>
    </row>
    <row r="73" spans="1:3" x14ac:dyDescent="0.2">
      <c r="A73" s="3">
        <v>73.5</v>
      </c>
      <c r="B73">
        <f t="shared" si="2"/>
        <v>1.866287339084195</v>
      </c>
      <c r="C73">
        <f t="shared" si="3"/>
        <v>8.5732140997411239</v>
      </c>
    </row>
    <row r="74" spans="1:3" x14ac:dyDescent="0.2">
      <c r="A74" s="3">
        <v>14.4542</v>
      </c>
      <c r="B74">
        <f t="shared" si="2"/>
        <v>1.1599940596732181</v>
      </c>
      <c r="C74">
        <f t="shared" si="3"/>
        <v>3.8018679619366056</v>
      </c>
    </row>
    <row r="75" spans="1:3" x14ac:dyDescent="0.2">
      <c r="A75" s="3">
        <v>56.495800000000003</v>
      </c>
      <c r="B75">
        <f t="shared" si="2"/>
        <v>1.752016162781856</v>
      </c>
      <c r="C75">
        <f t="shared" si="3"/>
        <v>7.5163688041500469</v>
      </c>
    </row>
    <row r="76" spans="1:3" x14ac:dyDescent="0.2">
      <c r="A76" s="3">
        <v>7.65</v>
      </c>
      <c r="B76">
        <f t="shared" si="2"/>
        <v>0.88366143515361761</v>
      </c>
      <c r="C76">
        <f t="shared" si="3"/>
        <v>2.7658633371878665</v>
      </c>
    </row>
    <row r="77" spans="1:3" x14ac:dyDescent="0.2">
      <c r="A77" s="3">
        <v>7.8958000000000004</v>
      </c>
      <c r="B77">
        <f t="shared" si="2"/>
        <v>0.89739613915544614</v>
      </c>
      <c r="C77">
        <f t="shared" si="3"/>
        <v>2.8099466187100424</v>
      </c>
    </row>
    <row r="78" spans="1:3" x14ac:dyDescent="0.2">
      <c r="A78" s="3">
        <v>8.0500000000000007</v>
      </c>
      <c r="B78">
        <f t="shared" si="2"/>
        <v>0.90579588036786851</v>
      </c>
      <c r="C78">
        <f t="shared" si="3"/>
        <v>2.8372521918222215</v>
      </c>
    </row>
    <row r="79" spans="1:3" x14ac:dyDescent="0.2">
      <c r="A79" s="3">
        <v>29</v>
      </c>
      <c r="B79">
        <f t="shared" si="2"/>
        <v>1.4623979978989561</v>
      </c>
      <c r="C79">
        <f t="shared" si="3"/>
        <v>5.3851648071345037</v>
      </c>
    </row>
    <row r="80" spans="1:3" x14ac:dyDescent="0.2">
      <c r="A80" s="3">
        <v>12.475</v>
      </c>
      <c r="B80">
        <f t="shared" si="2"/>
        <v>1.0960405542954275</v>
      </c>
      <c r="C80">
        <f t="shared" si="3"/>
        <v>3.5319966024898721</v>
      </c>
    </row>
    <row r="81" spans="1:3" x14ac:dyDescent="0.2">
      <c r="A81" s="3">
        <v>9</v>
      </c>
      <c r="B81">
        <f t="shared" si="2"/>
        <v>0.95424250943932487</v>
      </c>
      <c r="C81">
        <f t="shared" si="3"/>
        <v>3</v>
      </c>
    </row>
    <row r="82" spans="1:3" x14ac:dyDescent="0.2">
      <c r="A82" s="3">
        <v>9.5</v>
      </c>
      <c r="B82">
        <f t="shared" si="2"/>
        <v>0.97772360528884772</v>
      </c>
      <c r="C82">
        <f t="shared" si="3"/>
        <v>3.082207001484488</v>
      </c>
    </row>
    <row r="83" spans="1:3" x14ac:dyDescent="0.2">
      <c r="A83" s="3">
        <v>7.7874999999999996</v>
      </c>
      <c r="B83">
        <f t="shared" si="2"/>
        <v>0.89139805966722596</v>
      </c>
      <c r="C83">
        <f t="shared" si="3"/>
        <v>2.7906092524751651</v>
      </c>
    </row>
    <row r="84" spans="1:3" x14ac:dyDescent="0.2">
      <c r="A84" s="3">
        <v>47.1</v>
      </c>
      <c r="B84">
        <f t="shared" si="2"/>
        <v>1.6730209071288962</v>
      </c>
      <c r="C84">
        <f t="shared" si="3"/>
        <v>6.8629439747093963</v>
      </c>
    </row>
    <row r="85" spans="1:3" x14ac:dyDescent="0.2">
      <c r="A85" s="3">
        <v>10.5</v>
      </c>
      <c r="B85">
        <f t="shared" si="2"/>
        <v>1.0211892990699381</v>
      </c>
      <c r="C85">
        <f t="shared" si="3"/>
        <v>3.2403703492039302</v>
      </c>
    </row>
    <row r="86" spans="1:3" x14ac:dyDescent="0.2">
      <c r="A86" s="3">
        <v>15.85</v>
      </c>
      <c r="B86">
        <f t="shared" si="2"/>
        <v>1.2000292665537702</v>
      </c>
      <c r="C86">
        <f t="shared" si="3"/>
        <v>3.9812058474788765</v>
      </c>
    </row>
    <row r="87" spans="1:3" x14ac:dyDescent="0.2">
      <c r="A87" s="3">
        <v>34.375</v>
      </c>
      <c r="B87">
        <f t="shared" si="2"/>
        <v>1.5362427068383191</v>
      </c>
      <c r="C87">
        <f t="shared" si="3"/>
        <v>5.8630196997792874</v>
      </c>
    </row>
    <row r="88" spans="1:3" x14ac:dyDescent="0.2">
      <c r="A88" s="3">
        <v>8.0500000000000007</v>
      </c>
      <c r="B88">
        <f t="shared" si="2"/>
        <v>0.90579588036786851</v>
      </c>
      <c r="C88">
        <f t="shared" si="3"/>
        <v>2.8372521918222215</v>
      </c>
    </row>
    <row r="89" spans="1:3" x14ac:dyDescent="0.2">
      <c r="A89" s="3">
        <v>263</v>
      </c>
      <c r="B89">
        <f t="shared" si="2"/>
        <v>2.419955748489758</v>
      </c>
      <c r="C89">
        <f t="shared" si="3"/>
        <v>16.217274740226856</v>
      </c>
    </row>
    <row r="90" spans="1:3" x14ac:dyDescent="0.2">
      <c r="A90" s="3">
        <v>8.0500000000000007</v>
      </c>
      <c r="B90">
        <f t="shared" si="2"/>
        <v>0.90579588036786851</v>
      </c>
      <c r="C90">
        <f t="shared" si="3"/>
        <v>2.8372521918222215</v>
      </c>
    </row>
    <row r="91" spans="1:3" x14ac:dyDescent="0.2">
      <c r="A91" s="3">
        <v>8.0500000000000007</v>
      </c>
      <c r="B91">
        <f t="shared" si="2"/>
        <v>0.90579588036786851</v>
      </c>
      <c r="C91">
        <f t="shared" si="3"/>
        <v>2.8372521918222215</v>
      </c>
    </row>
    <row r="92" spans="1:3" x14ac:dyDescent="0.2">
      <c r="A92" s="3">
        <v>7.8541999999999996</v>
      </c>
      <c r="B92">
        <f t="shared" si="2"/>
        <v>0.89510195598589926</v>
      </c>
      <c r="C92">
        <f t="shared" si="3"/>
        <v>2.8025345671373976</v>
      </c>
    </row>
    <row r="93" spans="1:3" x14ac:dyDescent="0.2">
      <c r="A93" s="3">
        <v>61.174999999999997</v>
      </c>
      <c r="B93">
        <f t="shared" si="2"/>
        <v>1.7865739780238268</v>
      </c>
      <c r="C93">
        <f t="shared" si="3"/>
        <v>7.8214448793045905</v>
      </c>
    </row>
    <row r="94" spans="1:3" x14ac:dyDescent="0.2">
      <c r="A94" s="3">
        <v>20.574999999999999</v>
      </c>
      <c r="B94">
        <f t="shared" si="2"/>
        <v>1.3133398438843074</v>
      </c>
      <c r="C94">
        <f t="shared" si="3"/>
        <v>4.5359673720166906</v>
      </c>
    </row>
    <row r="95" spans="1:3" x14ac:dyDescent="0.2">
      <c r="A95" s="3">
        <v>7.25</v>
      </c>
      <c r="B95">
        <f t="shared" si="2"/>
        <v>0.86033800657099369</v>
      </c>
      <c r="C95">
        <f t="shared" si="3"/>
        <v>2.6925824035672519</v>
      </c>
    </row>
    <row r="96" spans="1:3" x14ac:dyDescent="0.2">
      <c r="A96" s="3">
        <v>8.0500000000000007</v>
      </c>
      <c r="B96">
        <f t="shared" si="2"/>
        <v>0.90579588036786851</v>
      </c>
      <c r="C96">
        <f t="shared" si="3"/>
        <v>2.8372521918222215</v>
      </c>
    </row>
    <row r="97" spans="1:3" x14ac:dyDescent="0.2">
      <c r="A97" s="3">
        <v>34.654200000000003</v>
      </c>
      <c r="B97">
        <f t="shared" si="2"/>
        <v>1.5397558775130562</v>
      </c>
      <c r="C97">
        <f t="shared" si="3"/>
        <v>5.8867818033285388</v>
      </c>
    </row>
    <row r="98" spans="1:3" x14ac:dyDescent="0.2">
      <c r="A98" s="3">
        <v>63.3583</v>
      </c>
      <c r="B98">
        <f t="shared" si="2"/>
        <v>1.8018035159532171</v>
      </c>
      <c r="C98">
        <f t="shared" si="3"/>
        <v>7.9597927108687951</v>
      </c>
    </row>
    <row r="99" spans="1:3" x14ac:dyDescent="0.2">
      <c r="A99" s="3">
        <v>23</v>
      </c>
      <c r="B99">
        <f t="shared" si="2"/>
        <v>1.3617278360175928</v>
      </c>
      <c r="C99">
        <f t="shared" si="3"/>
        <v>4.7958315233127191</v>
      </c>
    </row>
    <row r="100" spans="1:3" x14ac:dyDescent="0.2">
      <c r="A100" s="3">
        <v>26</v>
      </c>
      <c r="B100">
        <f t="shared" si="2"/>
        <v>1.414973347970818</v>
      </c>
      <c r="C100">
        <f t="shared" si="3"/>
        <v>5.0990195135927845</v>
      </c>
    </row>
    <row r="101" spans="1:3" x14ac:dyDescent="0.2">
      <c r="A101" s="3">
        <v>7.8958000000000004</v>
      </c>
      <c r="B101">
        <f t="shared" si="2"/>
        <v>0.89739613915544614</v>
      </c>
      <c r="C101">
        <f t="shared" si="3"/>
        <v>2.8099466187100424</v>
      </c>
    </row>
    <row r="102" spans="1:3" x14ac:dyDescent="0.2">
      <c r="A102" s="3">
        <v>7.8958000000000004</v>
      </c>
      <c r="B102">
        <f t="shared" si="2"/>
        <v>0.89739613915544614</v>
      </c>
      <c r="C102">
        <f t="shared" si="3"/>
        <v>2.8099466187100424</v>
      </c>
    </row>
    <row r="103" spans="1:3" x14ac:dyDescent="0.2">
      <c r="A103" s="3">
        <v>77.287499999999994</v>
      </c>
      <c r="B103">
        <f t="shared" si="2"/>
        <v>1.8881092595069318</v>
      </c>
      <c r="C103">
        <f t="shared" si="3"/>
        <v>8.7913309572555622</v>
      </c>
    </row>
    <row r="104" spans="1:3" x14ac:dyDescent="0.2">
      <c r="A104" s="3">
        <v>8.6541999999999994</v>
      </c>
      <c r="B104">
        <f t="shared" si="2"/>
        <v>0.9372269275963212</v>
      </c>
      <c r="C104">
        <f t="shared" si="3"/>
        <v>2.9418021687394273</v>
      </c>
    </row>
    <row r="105" spans="1:3" x14ac:dyDescent="0.2">
      <c r="A105" s="3">
        <v>7.9249999999999998</v>
      </c>
      <c r="B105">
        <f t="shared" si="2"/>
        <v>0.89899927088978915</v>
      </c>
      <c r="C105">
        <f t="shared" si="3"/>
        <v>2.8151376520518494</v>
      </c>
    </row>
    <row r="106" spans="1:3" x14ac:dyDescent="0.2">
      <c r="A106" s="3">
        <v>7.8958000000000004</v>
      </c>
      <c r="B106">
        <f t="shared" si="2"/>
        <v>0.89739613915544614</v>
      </c>
      <c r="C106">
        <f t="shared" si="3"/>
        <v>2.8099466187100424</v>
      </c>
    </row>
    <row r="107" spans="1:3" x14ac:dyDescent="0.2">
      <c r="A107" s="3">
        <v>7.65</v>
      </c>
      <c r="B107">
        <f t="shared" si="2"/>
        <v>0.88366143515361761</v>
      </c>
      <c r="C107">
        <f t="shared" si="3"/>
        <v>2.7658633371878665</v>
      </c>
    </row>
    <row r="108" spans="1:3" x14ac:dyDescent="0.2">
      <c r="A108" s="3">
        <v>7.7750000000000004</v>
      </c>
      <c r="B108">
        <f t="shared" si="2"/>
        <v>0.8907003976988751</v>
      </c>
      <c r="C108">
        <f t="shared" si="3"/>
        <v>2.7883686987197374</v>
      </c>
    </row>
    <row r="109" spans="1:3" x14ac:dyDescent="0.2">
      <c r="A109" s="3">
        <v>7.8958000000000004</v>
      </c>
      <c r="B109">
        <f t="shared" si="2"/>
        <v>0.89739613915544614</v>
      </c>
      <c r="C109">
        <f t="shared" si="3"/>
        <v>2.8099466187100424</v>
      </c>
    </row>
    <row r="110" spans="1:3" x14ac:dyDescent="0.2">
      <c r="A110" s="3">
        <v>24.15</v>
      </c>
      <c r="B110">
        <f t="shared" si="2"/>
        <v>1.3829171350875309</v>
      </c>
      <c r="C110">
        <f t="shared" si="3"/>
        <v>4.914264950122246</v>
      </c>
    </row>
    <row r="111" spans="1:3" x14ac:dyDescent="0.2">
      <c r="A111" s="3">
        <v>52</v>
      </c>
      <c r="B111">
        <f t="shared" si="2"/>
        <v>1.7160033436347992</v>
      </c>
      <c r="C111">
        <f t="shared" si="3"/>
        <v>7.2111025509279782</v>
      </c>
    </row>
    <row r="112" spans="1:3" x14ac:dyDescent="0.2">
      <c r="A112" s="3">
        <v>14.4542</v>
      </c>
      <c r="B112">
        <f t="shared" si="2"/>
        <v>1.1599940596732181</v>
      </c>
      <c r="C112">
        <f t="shared" si="3"/>
        <v>3.8018679619366056</v>
      </c>
    </row>
    <row r="113" spans="1:3" x14ac:dyDescent="0.2">
      <c r="A113" s="3">
        <v>8.0500000000000007</v>
      </c>
      <c r="B113">
        <f t="shared" si="2"/>
        <v>0.90579588036786851</v>
      </c>
      <c r="C113">
        <f t="shared" si="3"/>
        <v>2.8372521918222215</v>
      </c>
    </row>
    <row r="114" spans="1:3" x14ac:dyDescent="0.2">
      <c r="A114" s="3">
        <v>9.8249999999999993</v>
      </c>
      <c r="B114">
        <f t="shared" si="2"/>
        <v>0.99233255904746431</v>
      </c>
      <c r="C114">
        <f t="shared" si="3"/>
        <v>3.1344856037314957</v>
      </c>
    </row>
    <row r="115" spans="1:3" x14ac:dyDescent="0.2">
      <c r="A115" s="3">
        <v>14.458299999999999</v>
      </c>
      <c r="B115">
        <f t="shared" si="2"/>
        <v>1.1601172318228239</v>
      </c>
      <c r="C115">
        <f t="shared" si="3"/>
        <v>3.802407132330782</v>
      </c>
    </row>
    <row r="116" spans="1:3" x14ac:dyDescent="0.2">
      <c r="A116" s="3">
        <v>7.9249999999999998</v>
      </c>
      <c r="B116">
        <f t="shared" si="2"/>
        <v>0.89899927088978915</v>
      </c>
      <c r="C116">
        <f t="shared" si="3"/>
        <v>2.8151376520518494</v>
      </c>
    </row>
    <row r="117" spans="1:3" x14ac:dyDescent="0.2">
      <c r="A117" s="3">
        <v>7.75</v>
      </c>
      <c r="B117">
        <f t="shared" si="2"/>
        <v>0.88930170250631024</v>
      </c>
      <c r="C117">
        <f t="shared" si="3"/>
        <v>2.7838821814150108</v>
      </c>
    </row>
    <row r="118" spans="1:3" x14ac:dyDescent="0.2">
      <c r="A118" s="3">
        <v>21</v>
      </c>
      <c r="B118">
        <f t="shared" si="2"/>
        <v>1.3222192947339193</v>
      </c>
      <c r="C118">
        <f t="shared" si="3"/>
        <v>4.5825756949558398</v>
      </c>
    </row>
    <row r="119" spans="1:3" x14ac:dyDescent="0.2">
      <c r="A119" s="3">
        <v>247.52080000000001</v>
      </c>
      <c r="B119">
        <f t="shared" si="2"/>
        <v>2.3936117000197399</v>
      </c>
      <c r="C119">
        <f t="shared" si="3"/>
        <v>15.732793776058974</v>
      </c>
    </row>
    <row r="120" spans="1:3" x14ac:dyDescent="0.2">
      <c r="A120" s="3">
        <v>31.274999999999999</v>
      </c>
      <c r="B120">
        <f t="shared" si="2"/>
        <v>1.4951973183654574</v>
      </c>
      <c r="C120">
        <f t="shared" si="3"/>
        <v>5.5924055646921742</v>
      </c>
    </row>
    <row r="121" spans="1:3" x14ac:dyDescent="0.2">
      <c r="A121" s="3">
        <v>73.5</v>
      </c>
      <c r="B121">
        <f t="shared" si="2"/>
        <v>1.866287339084195</v>
      </c>
      <c r="C121">
        <f t="shared" si="3"/>
        <v>8.5732140997411239</v>
      </c>
    </row>
    <row r="122" spans="1:3" x14ac:dyDescent="0.2">
      <c r="A122" s="3">
        <v>8.0500000000000007</v>
      </c>
      <c r="B122">
        <f t="shared" si="2"/>
        <v>0.90579588036786851</v>
      </c>
      <c r="C122">
        <f t="shared" si="3"/>
        <v>2.8372521918222215</v>
      </c>
    </row>
    <row r="123" spans="1:3" x14ac:dyDescent="0.2">
      <c r="A123" s="3">
        <v>30.070799999999998</v>
      </c>
      <c r="B123">
        <f t="shared" si="2"/>
        <v>1.4781449821731452</v>
      </c>
      <c r="C123">
        <f t="shared" si="3"/>
        <v>5.4836848924787791</v>
      </c>
    </row>
    <row r="124" spans="1:3" x14ac:dyDescent="0.2">
      <c r="A124" s="3">
        <v>13</v>
      </c>
      <c r="B124">
        <f t="shared" si="2"/>
        <v>1.1139433523068367</v>
      </c>
      <c r="C124">
        <f t="shared" si="3"/>
        <v>3.6055512754639891</v>
      </c>
    </row>
    <row r="125" spans="1:3" x14ac:dyDescent="0.2">
      <c r="A125" s="3">
        <v>77.287499999999994</v>
      </c>
      <c r="B125">
        <f t="shared" si="2"/>
        <v>1.8881092595069318</v>
      </c>
      <c r="C125">
        <f t="shared" si="3"/>
        <v>8.7913309572555622</v>
      </c>
    </row>
    <row r="126" spans="1:3" x14ac:dyDescent="0.2">
      <c r="A126" s="3">
        <v>11.2417</v>
      </c>
      <c r="B126">
        <f t="shared" si="2"/>
        <v>1.0508319913747257</v>
      </c>
      <c r="C126">
        <f t="shared" si="3"/>
        <v>3.3528644470064699</v>
      </c>
    </row>
    <row r="127" spans="1:3" x14ac:dyDescent="0.2">
      <c r="A127" s="3">
        <v>7.75</v>
      </c>
      <c r="B127">
        <f t="shared" si="2"/>
        <v>0.88930170250631024</v>
      </c>
      <c r="C127">
        <f t="shared" si="3"/>
        <v>2.7838821814150108</v>
      </c>
    </row>
    <row r="128" spans="1:3" x14ac:dyDescent="0.2">
      <c r="A128" s="3">
        <v>7.1417000000000002</v>
      </c>
      <c r="B128">
        <f t="shared" si="2"/>
        <v>0.85380160291626594</v>
      </c>
      <c r="C128">
        <f t="shared" si="3"/>
        <v>2.6723959287500794</v>
      </c>
    </row>
    <row r="129" spans="1:3" x14ac:dyDescent="0.2">
      <c r="A129" s="3">
        <v>22.3583</v>
      </c>
      <c r="B129">
        <f t="shared" si="2"/>
        <v>1.3494387791478988</v>
      </c>
      <c r="C129">
        <f t="shared" si="3"/>
        <v>4.7284564077508424</v>
      </c>
    </row>
    <row r="130" spans="1:3" x14ac:dyDescent="0.2">
      <c r="A130" s="3">
        <v>6.9749999999999996</v>
      </c>
      <c r="B130">
        <f t="shared" ref="B130:B193" si="4">LOG10(A130)</f>
        <v>0.84354421194563511</v>
      </c>
      <c r="C130">
        <f t="shared" ref="C130:C193" si="5">SQRT(A130)</f>
        <v>2.6410225292488514</v>
      </c>
    </row>
    <row r="131" spans="1:3" x14ac:dyDescent="0.2">
      <c r="A131" s="3">
        <v>7.8958000000000004</v>
      </c>
      <c r="B131">
        <f t="shared" si="4"/>
        <v>0.89739613915544614</v>
      </c>
      <c r="C131">
        <f t="shared" si="5"/>
        <v>2.8099466187100424</v>
      </c>
    </row>
    <row r="132" spans="1:3" x14ac:dyDescent="0.2">
      <c r="A132" s="3">
        <v>7.05</v>
      </c>
      <c r="B132">
        <f t="shared" si="4"/>
        <v>0.84818911699139865</v>
      </c>
      <c r="C132">
        <f t="shared" si="5"/>
        <v>2.6551836094703507</v>
      </c>
    </row>
    <row r="133" spans="1:3" x14ac:dyDescent="0.2">
      <c r="A133" s="3">
        <v>14.5</v>
      </c>
      <c r="B133">
        <f t="shared" si="4"/>
        <v>1.1613680022349748</v>
      </c>
      <c r="C133">
        <f t="shared" si="5"/>
        <v>3.8078865529319543</v>
      </c>
    </row>
    <row r="134" spans="1:3" x14ac:dyDescent="0.2">
      <c r="A134" s="3">
        <v>26</v>
      </c>
      <c r="B134">
        <f t="shared" si="4"/>
        <v>1.414973347970818</v>
      </c>
      <c r="C134">
        <f t="shared" si="5"/>
        <v>5.0990195135927845</v>
      </c>
    </row>
    <row r="135" spans="1:3" x14ac:dyDescent="0.2">
      <c r="A135" s="3">
        <v>13</v>
      </c>
      <c r="B135">
        <f t="shared" si="4"/>
        <v>1.1139433523068367</v>
      </c>
      <c r="C135">
        <f t="shared" si="5"/>
        <v>3.6055512754639891</v>
      </c>
    </row>
    <row r="136" spans="1:3" x14ac:dyDescent="0.2">
      <c r="A136" s="3">
        <v>15.0458</v>
      </c>
      <c r="B136">
        <f t="shared" si="4"/>
        <v>1.1774152845552361</v>
      </c>
      <c r="C136">
        <f t="shared" si="5"/>
        <v>3.8788915942573081</v>
      </c>
    </row>
    <row r="137" spans="1:3" x14ac:dyDescent="0.2">
      <c r="A137" s="3">
        <v>26.283300000000001</v>
      </c>
      <c r="B137">
        <f t="shared" si="4"/>
        <v>1.4196798921592639</v>
      </c>
      <c r="C137">
        <f t="shared" si="5"/>
        <v>5.1267241002417911</v>
      </c>
    </row>
    <row r="138" spans="1:3" x14ac:dyDescent="0.2">
      <c r="A138" s="3">
        <v>53.1</v>
      </c>
      <c r="B138">
        <f t="shared" si="4"/>
        <v>1.725094521081469</v>
      </c>
      <c r="C138">
        <f t="shared" si="5"/>
        <v>7.286974680894672</v>
      </c>
    </row>
    <row r="139" spans="1:3" x14ac:dyDescent="0.2">
      <c r="A139" s="3">
        <v>9.2166999999999994</v>
      </c>
      <c r="B139">
        <f t="shared" si="4"/>
        <v>0.96457545160350144</v>
      </c>
      <c r="C139">
        <f t="shared" si="5"/>
        <v>3.0359018429455191</v>
      </c>
    </row>
    <row r="140" spans="1:3" x14ac:dyDescent="0.2">
      <c r="A140" s="3">
        <v>79.2</v>
      </c>
      <c r="B140">
        <f t="shared" si="4"/>
        <v>1.8987251815894934</v>
      </c>
      <c r="C140">
        <f t="shared" si="5"/>
        <v>8.8994381845147963</v>
      </c>
    </row>
    <row r="141" spans="1:3" x14ac:dyDescent="0.2">
      <c r="A141" s="3">
        <v>15.245799999999999</v>
      </c>
      <c r="B141">
        <f t="shared" si="4"/>
        <v>1.1831502182369711</v>
      </c>
      <c r="C141">
        <f t="shared" si="5"/>
        <v>3.9045870460267627</v>
      </c>
    </row>
    <row r="142" spans="1:3" x14ac:dyDescent="0.2">
      <c r="A142" s="3">
        <v>7.75</v>
      </c>
      <c r="B142">
        <f t="shared" si="4"/>
        <v>0.88930170250631024</v>
      </c>
      <c r="C142">
        <f t="shared" si="5"/>
        <v>2.7838821814150108</v>
      </c>
    </row>
    <row r="143" spans="1:3" x14ac:dyDescent="0.2">
      <c r="A143" s="3">
        <v>15.85</v>
      </c>
      <c r="B143">
        <f t="shared" si="4"/>
        <v>1.2000292665537702</v>
      </c>
      <c r="C143">
        <f t="shared" si="5"/>
        <v>3.9812058474788765</v>
      </c>
    </row>
    <row r="144" spans="1:3" x14ac:dyDescent="0.2">
      <c r="A144" s="3">
        <v>6.75</v>
      </c>
      <c r="B144">
        <f t="shared" si="4"/>
        <v>0.82930377283102497</v>
      </c>
      <c r="C144">
        <f t="shared" si="5"/>
        <v>2.598076211353316</v>
      </c>
    </row>
    <row r="145" spans="1:3" x14ac:dyDescent="0.2">
      <c r="A145" s="3">
        <v>11.5</v>
      </c>
      <c r="B145">
        <f t="shared" si="4"/>
        <v>1.0606978403536116</v>
      </c>
      <c r="C145">
        <f t="shared" si="5"/>
        <v>3.3911649915626341</v>
      </c>
    </row>
    <row r="146" spans="1:3" x14ac:dyDescent="0.2">
      <c r="A146" s="3">
        <v>36.75</v>
      </c>
      <c r="B146">
        <f t="shared" si="4"/>
        <v>1.5652573434202137</v>
      </c>
      <c r="C146">
        <f t="shared" si="5"/>
        <v>6.0621778264910704</v>
      </c>
    </row>
    <row r="147" spans="1:3" x14ac:dyDescent="0.2">
      <c r="A147" s="3">
        <v>7.7957999999999998</v>
      </c>
      <c r="B147">
        <f t="shared" si="4"/>
        <v>0.8918606888331484</v>
      </c>
      <c r="C147">
        <f t="shared" si="5"/>
        <v>2.792095986888703</v>
      </c>
    </row>
    <row r="148" spans="1:3" x14ac:dyDescent="0.2">
      <c r="A148" s="3">
        <v>34.375</v>
      </c>
      <c r="B148">
        <f t="shared" si="4"/>
        <v>1.5362427068383191</v>
      </c>
      <c r="C148">
        <f t="shared" si="5"/>
        <v>5.8630196997792874</v>
      </c>
    </row>
    <row r="149" spans="1:3" x14ac:dyDescent="0.2">
      <c r="A149" s="3">
        <v>26</v>
      </c>
      <c r="B149">
        <f t="shared" si="4"/>
        <v>1.414973347970818</v>
      </c>
      <c r="C149">
        <f t="shared" si="5"/>
        <v>5.0990195135927845</v>
      </c>
    </row>
    <row r="150" spans="1:3" x14ac:dyDescent="0.2">
      <c r="A150" s="3">
        <v>13</v>
      </c>
      <c r="B150">
        <f t="shared" si="4"/>
        <v>1.1139433523068367</v>
      </c>
      <c r="C150">
        <f t="shared" si="5"/>
        <v>3.6055512754639891</v>
      </c>
    </row>
    <row r="151" spans="1:3" x14ac:dyDescent="0.2">
      <c r="A151" s="3">
        <v>12.525</v>
      </c>
      <c r="B151">
        <f t="shared" si="4"/>
        <v>1.0977777345392834</v>
      </c>
      <c r="C151">
        <f t="shared" si="5"/>
        <v>3.5390676738372777</v>
      </c>
    </row>
    <row r="152" spans="1:3" x14ac:dyDescent="0.2">
      <c r="A152" s="3">
        <v>66.599999999999994</v>
      </c>
      <c r="B152">
        <f t="shared" si="4"/>
        <v>1.823474229170301</v>
      </c>
      <c r="C152">
        <f t="shared" si="5"/>
        <v>8.160882305241266</v>
      </c>
    </row>
    <row r="153" spans="1:3" x14ac:dyDescent="0.2">
      <c r="A153" s="3">
        <v>8.0500000000000007</v>
      </c>
      <c r="B153">
        <f t="shared" si="4"/>
        <v>0.90579588036786851</v>
      </c>
      <c r="C153">
        <f t="shared" si="5"/>
        <v>2.8372521918222215</v>
      </c>
    </row>
    <row r="154" spans="1:3" x14ac:dyDescent="0.2">
      <c r="A154" s="3">
        <v>14.5</v>
      </c>
      <c r="B154">
        <f t="shared" si="4"/>
        <v>1.1613680022349748</v>
      </c>
      <c r="C154">
        <f t="shared" si="5"/>
        <v>3.8078865529319543</v>
      </c>
    </row>
    <row r="155" spans="1:3" x14ac:dyDescent="0.2">
      <c r="A155" s="3">
        <v>7.3125</v>
      </c>
      <c r="B155">
        <f t="shared" si="4"/>
        <v>0.86406587909023691</v>
      </c>
      <c r="C155">
        <f t="shared" si="5"/>
        <v>2.7041634565979922</v>
      </c>
    </row>
    <row r="156" spans="1:3" x14ac:dyDescent="0.2">
      <c r="A156" s="3">
        <v>61.379199999999997</v>
      </c>
      <c r="B156">
        <f t="shared" si="4"/>
        <v>1.7880212236551114</v>
      </c>
      <c r="C156">
        <f t="shared" si="5"/>
        <v>7.8344878581819248</v>
      </c>
    </row>
    <row r="157" spans="1:3" x14ac:dyDescent="0.2">
      <c r="A157" s="3">
        <v>7.7332999999999998</v>
      </c>
      <c r="B157">
        <f t="shared" si="4"/>
        <v>0.88836485820822908</v>
      </c>
      <c r="C157">
        <f t="shared" si="5"/>
        <v>2.780881155317501</v>
      </c>
    </row>
    <row r="158" spans="1:3" x14ac:dyDescent="0.2">
      <c r="A158" s="3">
        <v>8.0500000000000007</v>
      </c>
      <c r="B158">
        <f t="shared" si="4"/>
        <v>0.90579588036786851</v>
      </c>
      <c r="C158">
        <f t="shared" si="5"/>
        <v>2.8372521918222215</v>
      </c>
    </row>
    <row r="159" spans="1:3" x14ac:dyDescent="0.2">
      <c r="A159" s="3">
        <v>8.6624999999999996</v>
      </c>
      <c r="B159">
        <f t="shared" si="4"/>
        <v>0.93764324761986317</v>
      </c>
      <c r="C159">
        <f t="shared" si="5"/>
        <v>2.9432125305522874</v>
      </c>
    </row>
    <row r="160" spans="1:3" x14ac:dyDescent="0.2">
      <c r="A160" s="3">
        <v>69.55</v>
      </c>
      <c r="B160">
        <f t="shared" si="4"/>
        <v>1.8422971343280652</v>
      </c>
      <c r="C160">
        <f t="shared" si="5"/>
        <v>8.3396642618273304</v>
      </c>
    </row>
    <row r="161" spans="1:3" x14ac:dyDescent="0.2">
      <c r="A161" s="3">
        <v>16.100000000000001</v>
      </c>
      <c r="B161">
        <f t="shared" si="4"/>
        <v>1.2068258760318498</v>
      </c>
      <c r="C161">
        <f t="shared" si="5"/>
        <v>4.0124805295477763</v>
      </c>
    </row>
    <row r="162" spans="1:3" x14ac:dyDescent="0.2">
      <c r="A162" s="3">
        <v>15.75</v>
      </c>
      <c r="B162">
        <f t="shared" si="4"/>
        <v>1.1972805581256194</v>
      </c>
      <c r="C162">
        <f t="shared" si="5"/>
        <v>3.9686269665968861</v>
      </c>
    </row>
    <row r="163" spans="1:3" x14ac:dyDescent="0.2">
      <c r="A163" s="3">
        <v>7.7750000000000004</v>
      </c>
      <c r="B163">
        <f t="shared" si="4"/>
        <v>0.8907003976988751</v>
      </c>
      <c r="C163">
        <f t="shared" si="5"/>
        <v>2.7883686987197374</v>
      </c>
    </row>
    <row r="164" spans="1:3" x14ac:dyDescent="0.2">
      <c r="A164" s="3">
        <v>8.6624999999999996</v>
      </c>
      <c r="B164">
        <f t="shared" si="4"/>
        <v>0.93764324761986317</v>
      </c>
      <c r="C164">
        <f t="shared" si="5"/>
        <v>2.9432125305522874</v>
      </c>
    </row>
    <row r="165" spans="1:3" x14ac:dyDescent="0.2">
      <c r="A165" s="3">
        <v>39.6875</v>
      </c>
      <c r="B165">
        <f t="shared" si="4"/>
        <v>1.598653742636051</v>
      </c>
      <c r="C165">
        <f t="shared" si="5"/>
        <v>6.299801584177076</v>
      </c>
    </row>
    <row r="166" spans="1:3" x14ac:dyDescent="0.2">
      <c r="A166" s="3">
        <v>20.524999999999999</v>
      </c>
      <c r="B166">
        <f t="shared" si="4"/>
        <v>1.3122831657914784</v>
      </c>
      <c r="C166">
        <f t="shared" si="5"/>
        <v>4.530452516029718</v>
      </c>
    </row>
    <row r="167" spans="1:3" x14ac:dyDescent="0.2">
      <c r="A167" s="3">
        <v>55</v>
      </c>
      <c r="B167">
        <f t="shared" si="4"/>
        <v>1.7403626894942439</v>
      </c>
      <c r="C167">
        <f t="shared" si="5"/>
        <v>7.416198487095663</v>
      </c>
    </row>
    <row r="168" spans="1:3" x14ac:dyDescent="0.2">
      <c r="A168" s="3">
        <v>27.9</v>
      </c>
      <c r="B168">
        <f t="shared" si="4"/>
        <v>1.4456042032735976</v>
      </c>
      <c r="C168">
        <f t="shared" si="5"/>
        <v>5.2820450584977028</v>
      </c>
    </row>
    <row r="169" spans="1:3" x14ac:dyDescent="0.2">
      <c r="A169" s="3">
        <v>25.925000000000001</v>
      </c>
      <c r="B169">
        <f t="shared" si="4"/>
        <v>1.4137187650610785</v>
      </c>
      <c r="C169">
        <f t="shared" si="5"/>
        <v>5.0916598472403871</v>
      </c>
    </row>
    <row r="170" spans="1:3" x14ac:dyDescent="0.2">
      <c r="A170" s="3">
        <v>56.495800000000003</v>
      </c>
      <c r="B170">
        <f t="shared" si="4"/>
        <v>1.752016162781856</v>
      </c>
      <c r="C170">
        <f t="shared" si="5"/>
        <v>7.5163688041500469</v>
      </c>
    </row>
    <row r="171" spans="1:3" x14ac:dyDescent="0.2">
      <c r="A171" s="3">
        <v>33.5</v>
      </c>
      <c r="B171">
        <f t="shared" si="4"/>
        <v>1.5250448070368452</v>
      </c>
      <c r="C171">
        <f t="shared" si="5"/>
        <v>5.7879184513951127</v>
      </c>
    </row>
    <row r="172" spans="1:3" x14ac:dyDescent="0.2">
      <c r="A172" s="3">
        <v>29.125</v>
      </c>
      <c r="B172">
        <f t="shared" si="4"/>
        <v>1.4642659340340753</v>
      </c>
      <c r="C172">
        <f t="shared" si="5"/>
        <v>5.3967582862307255</v>
      </c>
    </row>
    <row r="173" spans="1:3" x14ac:dyDescent="0.2">
      <c r="A173" s="3">
        <v>11.1333</v>
      </c>
      <c r="B173">
        <f t="shared" si="4"/>
        <v>1.0466239118070755</v>
      </c>
      <c r="C173">
        <f t="shared" si="5"/>
        <v>3.3366600066533598</v>
      </c>
    </row>
    <row r="174" spans="1:3" x14ac:dyDescent="0.2">
      <c r="A174" s="3">
        <v>7.9249999999999998</v>
      </c>
      <c r="B174">
        <f t="shared" si="4"/>
        <v>0.89899927088978915</v>
      </c>
      <c r="C174">
        <f t="shared" si="5"/>
        <v>2.8151376520518494</v>
      </c>
    </row>
    <row r="175" spans="1:3" x14ac:dyDescent="0.2">
      <c r="A175" s="3">
        <v>30.695799999999998</v>
      </c>
      <c r="B175">
        <f t="shared" si="4"/>
        <v>1.4870789565323452</v>
      </c>
      <c r="C175">
        <f t="shared" si="5"/>
        <v>5.5403790484045405</v>
      </c>
    </row>
    <row r="176" spans="1:3" x14ac:dyDescent="0.2">
      <c r="A176" s="3">
        <v>7.8541999999999996</v>
      </c>
      <c r="B176">
        <f t="shared" si="4"/>
        <v>0.89510195598589926</v>
      </c>
      <c r="C176">
        <f t="shared" si="5"/>
        <v>2.8025345671373976</v>
      </c>
    </row>
    <row r="177" spans="1:3" x14ac:dyDescent="0.2">
      <c r="A177" s="3">
        <v>25.466699999999999</v>
      </c>
      <c r="B177">
        <f t="shared" si="4"/>
        <v>1.4059726723039303</v>
      </c>
      <c r="C177">
        <f t="shared" si="5"/>
        <v>5.046454200723514</v>
      </c>
    </row>
    <row r="178" spans="1:3" x14ac:dyDescent="0.2">
      <c r="A178" s="3">
        <v>28.712499999999999</v>
      </c>
      <c r="B178">
        <f t="shared" si="4"/>
        <v>1.4580710082030826</v>
      </c>
      <c r="C178">
        <f t="shared" si="5"/>
        <v>5.3584046133154217</v>
      </c>
    </row>
    <row r="179" spans="1:3" x14ac:dyDescent="0.2">
      <c r="A179" s="3">
        <v>13</v>
      </c>
      <c r="B179">
        <f t="shared" si="4"/>
        <v>1.1139433523068367</v>
      </c>
      <c r="C179">
        <f t="shared" si="5"/>
        <v>3.6055512754639891</v>
      </c>
    </row>
    <row r="180" spans="1:3" x14ac:dyDescent="0.2">
      <c r="A180" s="3">
        <v>0</v>
      </c>
      <c r="B180" t="e">
        <f t="shared" si="4"/>
        <v>#NUM!</v>
      </c>
      <c r="C180">
        <f t="shared" si="5"/>
        <v>0</v>
      </c>
    </row>
    <row r="181" spans="1:3" x14ac:dyDescent="0.2">
      <c r="A181" s="3">
        <v>69.55</v>
      </c>
      <c r="B181">
        <f t="shared" si="4"/>
        <v>1.8422971343280652</v>
      </c>
      <c r="C181">
        <f t="shared" si="5"/>
        <v>8.3396642618273304</v>
      </c>
    </row>
    <row r="182" spans="1:3" x14ac:dyDescent="0.2">
      <c r="A182" s="3">
        <v>15.05</v>
      </c>
      <c r="B182">
        <f t="shared" si="4"/>
        <v>1.1775364999298621</v>
      </c>
      <c r="C182">
        <f t="shared" si="5"/>
        <v>3.8794329482541645</v>
      </c>
    </row>
    <row r="183" spans="1:3" x14ac:dyDescent="0.2">
      <c r="A183" s="3">
        <v>31.387499999999999</v>
      </c>
      <c r="B183">
        <f t="shared" si="4"/>
        <v>1.4967567257209788</v>
      </c>
      <c r="C183">
        <f t="shared" si="5"/>
        <v>5.6024548190949295</v>
      </c>
    </row>
    <row r="184" spans="1:3" x14ac:dyDescent="0.2">
      <c r="A184" s="3">
        <v>39</v>
      </c>
      <c r="B184">
        <f t="shared" si="4"/>
        <v>1.5910646070264991</v>
      </c>
      <c r="C184">
        <f t="shared" si="5"/>
        <v>6.2449979983983983</v>
      </c>
    </row>
    <row r="185" spans="1:3" x14ac:dyDescent="0.2">
      <c r="A185" s="3">
        <v>22.024999999999999</v>
      </c>
      <c r="B185">
        <f t="shared" si="4"/>
        <v>1.3429159170840854</v>
      </c>
      <c r="C185">
        <f t="shared" si="5"/>
        <v>4.6930800121029259</v>
      </c>
    </row>
    <row r="186" spans="1:3" x14ac:dyDescent="0.2">
      <c r="A186" s="3">
        <v>50</v>
      </c>
      <c r="B186">
        <f t="shared" si="4"/>
        <v>1.6989700043360187</v>
      </c>
      <c r="C186">
        <f t="shared" si="5"/>
        <v>7.0710678118654755</v>
      </c>
    </row>
    <row r="187" spans="1:3" x14ac:dyDescent="0.2">
      <c r="A187" s="3">
        <v>15.5</v>
      </c>
      <c r="B187">
        <f t="shared" si="4"/>
        <v>1.1903316981702914</v>
      </c>
      <c r="C187">
        <f t="shared" si="5"/>
        <v>3.9370039370059056</v>
      </c>
    </row>
    <row r="188" spans="1:3" x14ac:dyDescent="0.2">
      <c r="A188" s="3">
        <v>26.55</v>
      </c>
      <c r="B188">
        <f t="shared" si="4"/>
        <v>1.424064525417488</v>
      </c>
      <c r="C188">
        <f t="shared" si="5"/>
        <v>5.1526692111953007</v>
      </c>
    </row>
    <row r="189" spans="1:3" x14ac:dyDescent="0.2">
      <c r="A189" s="3">
        <v>15.5</v>
      </c>
      <c r="B189">
        <f t="shared" si="4"/>
        <v>1.1903316981702914</v>
      </c>
      <c r="C189">
        <f t="shared" si="5"/>
        <v>3.9370039370059056</v>
      </c>
    </row>
    <row r="190" spans="1:3" x14ac:dyDescent="0.2">
      <c r="A190" s="3">
        <v>7.8958000000000004</v>
      </c>
      <c r="B190">
        <f t="shared" si="4"/>
        <v>0.89739613915544614</v>
      </c>
      <c r="C190">
        <f t="shared" si="5"/>
        <v>2.8099466187100424</v>
      </c>
    </row>
    <row r="191" spans="1:3" x14ac:dyDescent="0.2">
      <c r="A191" s="3">
        <v>13</v>
      </c>
      <c r="B191">
        <f t="shared" si="4"/>
        <v>1.1139433523068367</v>
      </c>
      <c r="C191">
        <f t="shared" si="5"/>
        <v>3.6055512754639891</v>
      </c>
    </row>
    <row r="192" spans="1:3" x14ac:dyDescent="0.2">
      <c r="A192" s="3">
        <v>13</v>
      </c>
      <c r="B192">
        <f t="shared" si="4"/>
        <v>1.1139433523068367</v>
      </c>
      <c r="C192">
        <f t="shared" si="5"/>
        <v>3.6055512754639891</v>
      </c>
    </row>
    <row r="193" spans="1:3" x14ac:dyDescent="0.2">
      <c r="A193" s="3">
        <v>7.8541999999999996</v>
      </c>
      <c r="B193">
        <f t="shared" si="4"/>
        <v>0.89510195598589926</v>
      </c>
      <c r="C193">
        <f t="shared" si="5"/>
        <v>2.8025345671373976</v>
      </c>
    </row>
    <row r="194" spans="1:3" x14ac:dyDescent="0.2">
      <c r="A194" s="3">
        <v>26</v>
      </c>
      <c r="B194">
        <f t="shared" ref="B194:B257" si="6">LOG10(A194)</f>
        <v>1.414973347970818</v>
      </c>
      <c r="C194">
        <f t="shared" ref="C194:C257" si="7">SQRT(A194)</f>
        <v>5.0990195135927845</v>
      </c>
    </row>
    <row r="195" spans="1:3" x14ac:dyDescent="0.2">
      <c r="A195" s="3">
        <v>27.720800000000001</v>
      </c>
      <c r="B195">
        <f t="shared" si="6"/>
        <v>1.442805759510192</v>
      </c>
      <c r="C195">
        <f t="shared" si="7"/>
        <v>5.26505460560477</v>
      </c>
    </row>
    <row r="196" spans="1:3" x14ac:dyDescent="0.2">
      <c r="A196" s="3">
        <v>146.52080000000001</v>
      </c>
      <c r="B196">
        <f t="shared" si="6"/>
        <v>2.1658992812362761</v>
      </c>
      <c r="C196">
        <f t="shared" si="7"/>
        <v>12.104577646493908</v>
      </c>
    </row>
    <row r="197" spans="1:3" x14ac:dyDescent="0.2">
      <c r="A197" s="3">
        <v>7.75</v>
      </c>
      <c r="B197">
        <f t="shared" si="6"/>
        <v>0.88930170250631024</v>
      </c>
      <c r="C197">
        <f t="shared" si="7"/>
        <v>2.7838821814150108</v>
      </c>
    </row>
    <row r="198" spans="1:3" x14ac:dyDescent="0.2">
      <c r="A198" s="3">
        <v>8.4041999999999994</v>
      </c>
      <c r="B198">
        <f t="shared" si="6"/>
        <v>0.92449637903411186</v>
      </c>
      <c r="C198">
        <f t="shared" si="7"/>
        <v>2.8989998275267279</v>
      </c>
    </row>
    <row r="199" spans="1:3" x14ac:dyDescent="0.2">
      <c r="A199" s="3">
        <v>7.75</v>
      </c>
      <c r="B199">
        <f t="shared" si="6"/>
        <v>0.88930170250631024</v>
      </c>
      <c r="C199">
        <f t="shared" si="7"/>
        <v>2.7838821814150108</v>
      </c>
    </row>
    <row r="200" spans="1:3" x14ac:dyDescent="0.2">
      <c r="A200" s="3">
        <v>13</v>
      </c>
      <c r="B200">
        <f t="shared" si="6"/>
        <v>1.1139433523068367</v>
      </c>
      <c r="C200">
        <f t="shared" si="7"/>
        <v>3.6055512754639891</v>
      </c>
    </row>
    <row r="201" spans="1:3" x14ac:dyDescent="0.2">
      <c r="A201" s="3">
        <v>9.5</v>
      </c>
      <c r="B201">
        <f t="shared" si="6"/>
        <v>0.97772360528884772</v>
      </c>
      <c r="C201">
        <f t="shared" si="7"/>
        <v>3.082207001484488</v>
      </c>
    </row>
    <row r="202" spans="1:3" x14ac:dyDescent="0.2">
      <c r="A202" s="3">
        <v>69.55</v>
      </c>
      <c r="B202">
        <f t="shared" si="6"/>
        <v>1.8422971343280652</v>
      </c>
      <c r="C202">
        <f t="shared" si="7"/>
        <v>8.3396642618273304</v>
      </c>
    </row>
    <row r="203" spans="1:3" x14ac:dyDescent="0.2">
      <c r="A203" s="3">
        <v>6.4958</v>
      </c>
      <c r="B203">
        <f t="shared" si="6"/>
        <v>0.81263264489175169</v>
      </c>
      <c r="C203">
        <f t="shared" si="7"/>
        <v>2.5486859359285523</v>
      </c>
    </row>
    <row r="204" spans="1:3" x14ac:dyDescent="0.2">
      <c r="A204" s="3">
        <v>7.2249999999999996</v>
      </c>
      <c r="B204">
        <f t="shared" si="6"/>
        <v>0.85883785142858549</v>
      </c>
      <c r="C204">
        <f t="shared" si="7"/>
        <v>2.6879360111431225</v>
      </c>
    </row>
    <row r="205" spans="1:3" x14ac:dyDescent="0.2">
      <c r="A205" s="3">
        <v>8.0500000000000007</v>
      </c>
      <c r="B205">
        <f t="shared" si="6"/>
        <v>0.90579588036786851</v>
      </c>
      <c r="C205">
        <f t="shared" si="7"/>
        <v>2.8372521918222215</v>
      </c>
    </row>
    <row r="206" spans="1:3" x14ac:dyDescent="0.2">
      <c r="A206" s="3">
        <v>10.4625</v>
      </c>
      <c r="B206">
        <f t="shared" si="6"/>
        <v>1.0196354710013165</v>
      </c>
      <c r="C206">
        <f t="shared" si="7"/>
        <v>3.2345787979271736</v>
      </c>
    </row>
    <row r="207" spans="1:3" x14ac:dyDescent="0.2">
      <c r="A207" s="3">
        <v>15.85</v>
      </c>
      <c r="B207">
        <f t="shared" si="6"/>
        <v>1.2000292665537702</v>
      </c>
      <c r="C207">
        <f t="shared" si="7"/>
        <v>3.9812058474788765</v>
      </c>
    </row>
    <row r="208" spans="1:3" x14ac:dyDescent="0.2">
      <c r="A208" s="3">
        <v>18.787500000000001</v>
      </c>
      <c r="B208">
        <f t="shared" si="6"/>
        <v>1.2738689935949645</v>
      </c>
      <c r="C208">
        <f t="shared" si="7"/>
        <v>4.3344549830399668</v>
      </c>
    </row>
    <row r="209" spans="1:3" x14ac:dyDescent="0.2">
      <c r="A209" s="3">
        <v>7.75</v>
      </c>
      <c r="B209">
        <f t="shared" si="6"/>
        <v>0.88930170250631024</v>
      </c>
      <c r="C209">
        <f t="shared" si="7"/>
        <v>2.7838821814150108</v>
      </c>
    </row>
    <row r="210" spans="1:3" x14ac:dyDescent="0.2">
      <c r="A210" s="3">
        <v>31</v>
      </c>
      <c r="B210">
        <f t="shared" si="6"/>
        <v>1.4913616938342726</v>
      </c>
      <c r="C210">
        <f t="shared" si="7"/>
        <v>5.5677643628300215</v>
      </c>
    </row>
    <row r="211" spans="1:3" x14ac:dyDescent="0.2">
      <c r="A211" s="3">
        <v>7.05</v>
      </c>
      <c r="B211">
        <f t="shared" si="6"/>
        <v>0.84818911699139865</v>
      </c>
      <c r="C211">
        <f t="shared" si="7"/>
        <v>2.6551836094703507</v>
      </c>
    </row>
    <row r="212" spans="1:3" x14ac:dyDescent="0.2">
      <c r="A212" s="3">
        <v>21</v>
      </c>
      <c r="B212">
        <f t="shared" si="6"/>
        <v>1.3222192947339193</v>
      </c>
      <c r="C212">
        <f t="shared" si="7"/>
        <v>4.5825756949558398</v>
      </c>
    </row>
    <row r="213" spans="1:3" x14ac:dyDescent="0.2">
      <c r="A213" s="3">
        <v>7.25</v>
      </c>
      <c r="B213">
        <f t="shared" si="6"/>
        <v>0.86033800657099369</v>
      </c>
      <c r="C213">
        <f t="shared" si="7"/>
        <v>2.6925824035672519</v>
      </c>
    </row>
    <row r="214" spans="1:3" x14ac:dyDescent="0.2">
      <c r="A214" s="3">
        <v>13</v>
      </c>
      <c r="B214">
        <f t="shared" si="6"/>
        <v>1.1139433523068367</v>
      </c>
      <c r="C214">
        <f t="shared" si="7"/>
        <v>3.6055512754639891</v>
      </c>
    </row>
    <row r="215" spans="1:3" x14ac:dyDescent="0.2">
      <c r="A215" s="3">
        <v>7.75</v>
      </c>
      <c r="B215">
        <f t="shared" si="6"/>
        <v>0.88930170250631024</v>
      </c>
      <c r="C215">
        <f t="shared" si="7"/>
        <v>2.7838821814150108</v>
      </c>
    </row>
    <row r="216" spans="1:3" x14ac:dyDescent="0.2">
      <c r="A216" s="3">
        <v>113.27500000000001</v>
      </c>
      <c r="B216">
        <f t="shared" si="6"/>
        <v>2.0541340708512235</v>
      </c>
      <c r="C216">
        <f t="shared" si="7"/>
        <v>10.643072864544337</v>
      </c>
    </row>
    <row r="217" spans="1:3" x14ac:dyDescent="0.2">
      <c r="A217" s="3">
        <v>7.9249999999999998</v>
      </c>
      <c r="B217">
        <f t="shared" si="6"/>
        <v>0.89899927088978915</v>
      </c>
      <c r="C217">
        <f t="shared" si="7"/>
        <v>2.8151376520518494</v>
      </c>
    </row>
    <row r="218" spans="1:3" x14ac:dyDescent="0.2">
      <c r="A218" s="3">
        <v>27</v>
      </c>
      <c r="B218">
        <f t="shared" si="6"/>
        <v>1.4313637641589874</v>
      </c>
      <c r="C218">
        <f t="shared" si="7"/>
        <v>5.196152422706632</v>
      </c>
    </row>
    <row r="219" spans="1:3" x14ac:dyDescent="0.2">
      <c r="A219" s="3">
        <v>76.291700000000006</v>
      </c>
      <c r="B219">
        <f t="shared" si="6"/>
        <v>1.8824772923418707</v>
      </c>
      <c r="C219">
        <f t="shared" si="7"/>
        <v>8.7345120069755477</v>
      </c>
    </row>
    <row r="220" spans="1:3" x14ac:dyDescent="0.2">
      <c r="A220" s="3">
        <v>10.5</v>
      </c>
      <c r="B220">
        <f t="shared" si="6"/>
        <v>1.0211892990699381</v>
      </c>
      <c r="C220">
        <f t="shared" si="7"/>
        <v>3.2403703492039302</v>
      </c>
    </row>
    <row r="221" spans="1:3" x14ac:dyDescent="0.2">
      <c r="A221" s="3">
        <v>8.0500000000000007</v>
      </c>
      <c r="B221">
        <f t="shared" si="6"/>
        <v>0.90579588036786851</v>
      </c>
      <c r="C221">
        <f t="shared" si="7"/>
        <v>2.8372521918222215</v>
      </c>
    </row>
    <row r="222" spans="1:3" x14ac:dyDescent="0.2">
      <c r="A222" s="3">
        <v>13</v>
      </c>
      <c r="B222">
        <f t="shared" si="6"/>
        <v>1.1139433523068367</v>
      </c>
      <c r="C222">
        <f t="shared" si="7"/>
        <v>3.6055512754639891</v>
      </c>
    </row>
    <row r="223" spans="1:3" x14ac:dyDescent="0.2">
      <c r="A223" s="3">
        <v>8.0500000000000007</v>
      </c>
      <c r="B223">
        <f t="shared" si="6"/>
        <v>0.90579588036786851</v>
      </c>
      <c r="C223">
        <f t="shared" si="7"/>
        <v>2.8372521918222215</v>
      </c>
    </row>
    <row r="224" spans="1:3" x14ac:dyDescent="0.2">
      <c r="A224" s="3">
        <v>7.8958000000000004</v>
      </c>
      <c r="B224">
        <f t="shared" si="6"/>
        <v>0.89739613915544614</v>
      </c>
      <c r="C224">
        <f t="shared" si="7"/>
        <v>2.8099466187100424</v>
      </c>
    </row>
    <row r="225" spans="1:3" x14ac:dyDescent="0.2">
      <c r="A225" s="3">
        <v>90</v>
      </c>
      <c r="B225">
        <f t="shared" si="6"/>
        <v>1.954242509439325</v>
      </c>
      <c r="C225">
        <f t="shared" si="7"/>
        <v>9.4868329805051381</v>
      </c>
    </row>
    <row r="226" spans="1:3" x14ac:dyDescent="0.2">
      <c r="A226" s="3">
        <v>9.35</v>
      </c>
      <c r="B226">
        <f t="shared" si="6"/>
        <v>0.97081161087251777</v>
      </c>
      <c r="C226">
        <f t="shared" si="7"/>
        <v>3.0577769702841309</v>
      </c>
    </row>
    <row r="227" spans="1:3" x14ac:dyDescent="0.2">
      <c r="A227" s="3">
        <v>10.5</v>
      </c>
      <c r="B227">
        <f t="shared" si="6"/>
        <v>1.0211892990699381</v>
      </c>
      <c r="C227">
        <f t="shared" si="7"/>
        <v>3.2403703492039302</v>
      </c>
    </row>
    <row r="228" spans="1:3" x14ac:dyDescent="0.2">
      <c r="A228" s="3">
        <v>7.25</v>
      </c>
      <c r="B228">
        <f t="shared" si="6"/>
        <v>0.86033800657099369</v>
      </c>
      <c r="C228">
        <f t="shared" si="7"/>
        <v>2.6925824035672519</v>
      </c>
    </row>
    <row r="229" spans="1:3" x14ac:dyDescent="0.2">
      <c r="A229" s="3">
        <v>13</v>
      </c>
      <c r="B229">
        <f t="shared" si="6"/>
        <v>1.1139433523068367</v>
      </c>
      <c r="C229">
        <f t="shared" si="7"/>
        <v>3.6055512754639891</v>
      </c>
    </row>
    <row r="230" spans="1:3" x14ac:dyDescent="0.2">
      <c r="A230" s="3">
        <v>25.466699999999999</v>
      </c>
      <c r="B230">
        <f t="shared" si="6"/>
        <v>1.4059726723039303</v>
      </c>
      <c r="C230">
        <f t="shared" si="7"/>
        <v>5.046454200723514</v>
      </c>
    </row>
    <row r="231" spans="1:3" x14ac:dyDescent="0.2">
      <c r="A231" s="3">
        <v>83.474999999999994</v>
      </c>
      <c r="B231">
        <f t="shared" si="6"/>
        <v>1.9215564277264083</v>
      </c>
      <c r="C231">
        <f t="shared" si="7"/>
        <v>9.1364653997046368</v>
      </c>
    </row>
    <row r="232" spans="1:3" x14ac:dyDescent="0.2">
      <c r="A232" s="3">
        <v>7.7750000000000004</v>
      </c>
      <c r="B232">
        <f t="shared" si="6"/>
        <v>0.8907003976988751</v>
      </c>
      <c r="C232">
        <f t="shared" si="7"/>
        <v>2.7883686987197374</v>
      </c>
    </row>
    <row r="233" spans="1:3" x14ac:dyDescent="0.2">
      <c r="A233" s="3">
        <v>13.5</v>
      </c>
      <c r="B233">
        <f t="shared" si="6"/>
        <v>1.1303337684950061</v>
      </c>
      <c r="C233">
        <f t="shared" si="7"/>
        <v>3.6742346141747673</v>
      </c>
    </row>
    <row r="234" spans="1:3" x14ac:dyDescent="0.2">
      <c r="A234" s="3">
        <v>31.387499999999999</v>
      </c>
      <c r="B234">
        <f t="shared" si="6"/>
        <v>1.4967567257209788</v>
      </c>
      <c r="C234">
        <f t="shared" si="7"/>
        <v>5.6024548190949295</v>
      </c>
    </row>
    <row r="235" spans="1:3" x14ac:dyDescent="0.2">
      <c r="A235" s="3">
        <v>10.5</v>
      </c>
      <c r="B235">
        <f t="shared" si="6"/>
        <v>1.0211892990699381</v>
      </c>
      <c r="C235">
        <f t="shared" si="7"/>
        <v>3.2403703492039302</v>
      </c>
    </row>
    <row r="236" spans="1:3" x14ac:dyDescent="0.2">
      <c r="A236" s="3">
        <v>7.55</v>
      </c>
      <c r="B236">
        <f t="shared" si="6"/>
        <v>0.87794695162918823</v>
      </c>
      <c r="C236">
        <f t="shared" si="7"/>
        <v>2.7477263328068173</v>
      </c>
    </row>
    <row r="237" spans="1:3" x14ac:dyDescent="0.2">
      <c r="A237" s="3">
        <v>26</v>
      </c>
      <c r="B237">
        <f t="shared" si="6"/>
        <v>1.414973347970818</v>
      </c>
      <c r="C237">
        <f t="shared" si="7"/>
        <v>5.0990195135927845</v>
      </c>
    </row>
    <row r="238" spans="1:3" x14ac:dyDescent="0.2">
      <c r="A238" s="3">
        <v>26.25</v>
      </c>
      <c r="B238">
        <f t="shared" si="6"/>
        <v>1.4191293077419758</v>
      </c>
      <c r="C238">
        <f t="shared" si="7"/>
        <v>5.123475382979799</v>
      </c>
    </row>
    <row r="239" spans="1:3" x14ac:dyDescent="0.2">
      <c r="A239" s="3">
        <v>10.5</v>
      </c>
      <c r="B239">
        <f t="shared" si="6"/>
        <v>1.0211892990699381</v>
      </c>
      <c r="C239">
        <f t="shared" si="7"/>
        <v>3.2403703492039302</v>
      </c>
    </row>
    <row r="240" spans="1:3" x14ac:dyDescent="0.2">
      <c r="A240" s="3">
        <v>12.275</v>
      </c>
      <c r="B240">
        <f t="shared" si="6"/>
        <v>1.0890215007950061</v>
      </c>
      <c r="C240">
        <f t="shared" si="7"/>
        <v>3.5035696082709702</v>
      </c>
    </row>
    <row r="241" spans="1:3" x14ac:dyDescent="0.2">
      <c r="A241" s="3">
        <v>14.4542</v>
      </c>
      <c r="B241">
        <f t="shared" si="6"/>
        <v>1.1599940596732181</v>
      </c>
      <c r="C241">
        <f t="shared" si="7"/>
        <v>3.8018679619366056</v>
      </c>
    </row>
    <row r="242" spans="1:3" x14ac:dyDescent="0.2">
      <c r="A242" s="3">
        <v>15.5</v>
      </c>
      <c r="B242">
        <f t="shared" si="6"/>
        <v>1.1903316981702914</v>
      </c>
      <c r="C242">
        <f t="shared" si="7"/>
        <v>3.9370039370059056</v>
      </c>
    </row>
    <row r="243" spans="1:3" x14ac:dyDescent="0.2">
      <c r="A243" s="3">
        <v>10.5</v>
      </c>
      <c r="B243">
        <f t="shared" si="6"/>
        <v>1.0211892990699381</v>
      </c>
      <c r="C243">
        <f t="shared" si="7"/>
        <v>3.2403703492039302</v>
      </c>
    </row>
    <row r="244" spans="1:3" x14ac:dyDescent="0.2">
      <c r="A244" s="3">
        <v>7.125</v>
      </c>
      <c r="B244">
        <f t="shared" si="6"/>
        <v>0.85278486868054781</v>
      </c>
      <c r="C244">
        <f t="shared" si="7"/>
        <v>2.6692695630078278</v>
      </c>
    </row>
    <row r="245" spans="1:3" x14ac:dyDescent="0.2">
      <c r="A245" s="3">
        <v>7.2249999999999996</v>
      </c>
      <c r="B245">
        <f t="shared" si="6"/>
        <v>0.85883785142858549</v>
      </c>
      <c r="C245">
        <f t="shared" si="7"/>
        <v>2.6879360111431225</v>
      </c>
    </row>
    <row r="246" spans="1:3" x14ac:dyDescent="0.2">
      <c r="A246" s="3">
        <v>90</v>
      </c>
      <c r="B246">
        <f t="shared" si="6"/>
        <v>1.954242509439325</v>
      </c>
      <c r="C246">
        <f t="shared" si="7"/>
        <v>9.4868329805051381</v>
      </c>
    </row>
    <row r="247" spans="1:3" x14ac:dyDescent="0.2">
      <c r="A247" s="3">
        <v>7.7750000000000004</v>
      </c>
      <c r="B247">
        <f t="shared" si="6"/>
        <v>0.8907003976988751</v>
      </c>
      <c r="C247">
        <f t="shared" si="7"/>
        <v>2.7883686987197374</v>
      </c>
    </row>
    <row r="248" spans="1:3" x14ac:dyDescent="0.2">
      <c r="A248" s="3">
        <v>14.5</v>
      </c>
      <c r="B248">
        <f t="shared" si="6"/>
        <v>1.1613680022349748</v>
      </c>
      <c r="C248">
        <f t="shared" si="7"/>
        <v>3.8078865529319543</v>
      </c>
    </row>
    <row r="249" spans="1:3" x14ac:dyDescent="0.2">
      <c r="A249" s="3">
        <v>52.554200000000002</v>
      </c>
      <c r="B249">
        <f t="shared" si="6"/>
        <v>1.7206074294781684</v>
      </c>
      <c r="C249">
        <f t="shared" si="7"/>
        <v>7.2494275636080401</v>
      </c>
    </row>
    <row r="250" spans="1:3" x14ac:dyDescent="0.2">
      <c r="A250" s="3">
        <v>26</v>
      </c>
      <c r="B250">
        <f t="shared" si="6"/>
        <v>1.414973347970818</v>
      </c>
      <c r="C250">
        <f t="shared" si="7"/>
        <v>5.0990195135927845</v>
      </c>
    </row>
    <row r="251" spans="1:3" x14ac:dyDescent="0.2">
      <c r="A251" s="3">
        <v>7.25</v>
      </c>
      <c r="B251">
        <f t="shared" si="6"/>
        <v>0.86033800657099369</v>
      </c>
      <c r="C251">
        <f t="shared" si="7"/>
        <v>2.6925824035672519</v>
      </c>
    </row>
    <row r="252" spans="1:3" x14ac:dyDescent="0.2">
      <c r="A252" s="3">
        <v>10.4625</v>
      </c>
      <c r="B252">
        <f t="shared" si="6"/>
        <v>1.0196354710013165</v>
      </c>
      <c r="C252">
        <f t="shared" si="7"/>
        <v>3.2345787979271736</v>
      </c>
    </row>
    <row r="253" spans="1:3" x14ac:dyDescent="0.2">
      <c r="A253" s="3">
        <v>26.55</v>
      </c>
      <c r="B253">
        <f t="shared" si="6"/>
        <v>1.424064525417488</v>
      </c>
      <c r="C253">
        <f t="shared" si="7"/>
        <v>5.1526692111953007</v>
      </c>
    </row>
    <row r="254" spans="1:3" x14ac:dyDescent="0.2">
      <c r="A254" s="3">
        <v>16.100000000000001</v>
      </c>
      <c r="B254">
        <f t="shared" si="6"/>
        <v>1.2068258760318498</v>
      </c>
      <c r="C254">
        <f t="shared" si="7"/>
        <v>4.0124805295477763</v>
      </c>
    </row>
    <row r="255" spans="1:3" x14ac:dyDescent="0.2">
      <c r="A255" s="3">
        <v>20.212499999999999</v>
      </c>
      <c r="B255">
        <f t="shared" si="6"/>
        <v>1.3056200329144576</v>
      </c>
      <c r="C255">
        <f t="shared" si="7"/>
        <v>4.4958314025327946</v>
      </c>
    </row>
    <row r="256" spans="1:3" x14ac:dyDescent="0.2">
      <c r="A256" s="3">
        <v>15.245799999999999</v>
      </c>
      <c r="B256">
        <f t="shared" si="6"/>
        <v>1.1831502182369711</v>
      </c>
      <c r="C256">
        <f t="shared" si="7"/>
        <v>3.9045870460267627</v>
      </c>
    </row>
    <row r="257" spans="1:3" x14ac:dyDescent="0.2">
      <c r="A257" s="3">
        <v>79.2</v>
      </c>
      <c r="B257">
        <f t="shared" si="6"/>
        <v>1.8987251815894934</v>
      </c>
      <c r="C257">
        <f t="shared" si="7"/>
        <v>8.8994381845147963</v>
      </c>
    </row>
    <row r="258" spans="1:3" x14ac:dyDescent="0.2">
      <c r="A258" s="3">
        <v>86.5</v>
      </c>
      <c r="B258">
        <f t="shared" ref="B258:B321" si="8">LOG10(A258)</f>
        <v>1.9370161074648142</v>
      </c>
      <c r="C258">
        <f t="shared" ref="C258:C321" si="9">SQRT(A258)</f>
        <v>9.3005376188691375</v>
      </c>
    </row>
    <row r="259" spans="1:3" x14ac:dyDescent="0.2">
      <c r="A259" s="3">
        <v>512.32920000000001</v>
      </c>
      <c r="B259">
        <f t="shared" si="8"/>
        <v>2.7095491090238699</v>
      </c>
      <c r="C259">
        <f t="shared" si="9"/>
        <v>22.634690190060034</v>
      </c>
    </row>
    <row r="260" spans="1:3" x14ac:dyDescent="0.2">
      <c r="A260" s="3">
        <v>26</v>
      </c>
      <c r="B260">
        <f t="shared" si="8"/>
        <v>1.414973347970818</v>
      </c>
      <c r="C260">
        <f t="shared" si="9"/>
        <v>5.0990195135927845</v>
      </c>
    </row>
    <row r="261" spans="1:3" x14ac:dyDescent="0.2">
      <c r="A261" s="3">
        <v>7.75</v>
      </c>
      <c r="B261">
        <f t="shared" si="8"/>
        <v>0.88930170250631024</v>
      </c>
      <c r="C261">
        <f t="shared" si="9"/>
        <v>2.7838821814150108</v>
      </c>
    </row>
    <row r="262" spans="1:3" x14ac:dyDescent="0.2">
      <c r="A262" s="3">
        <v>31.387499999999999</v>
      </c>
      <c r="B262">
        <f t="shared" si="8"/>
        <v>1.4967567257209788</v>
      </c>
      <c r="C262">
        <f t="shared" si="9"/>
        <v>5.6024548190949295</v>
      </c>
    </row>
    <row r="263" spans="1:3" x14ac:dyDescent="0.2">
      <c r="A263" s="3">
        <v>79.650000000000006</v>
      </c>
      <c r="B263">
        <f t="shared" si="8"/>
        <v>1.9011857801371503</v>
      </c>
      <c r="C263">
        <f t="shared" si="9"/>
        <v>8.9246848683861106</v>
      </c>
    </row>
    <row r="264" spans="1:3" x14ac:dyDescent="0.2">
      <c r="A264" s="3">
        <v>0</v>
      </c>
      <c r="B264" t="e">
        <f t="shared" si="8"/>
        <v>#NUM!</v>
      </c>
      <c r="C264">
        <f t="shared" si="9"/>
        <v>0</v>
      </c>
    </row>
    <row r="265" spans="1:3" x14ac:dyDescent="0.2">
      <c r="A265" s="3">
        <v>7.75</v>
      </c>
      <c r="B265">
        <f t="shared" si="8"/>
        <v>0.88930170250631024</v>
      </c>
      <c r="C265">
        <f t="shared" si="9"/>
        <v>2.7838821814150108</v>
      </c>
    </row>
    <row r="266" spans="1:3" x14ac:dyDescent="0.2">
      <c r="A266" s="3">
        <v>10.5</v>
      </c>
      <c r="B266">
        <f t="shared" si="8"/>
        <v>1.0211892990699381</v>
      </c>
      <c r="C266">
        <f t="shared" si="9"/>
        <v>3.2403703492039302</v>
      </c>
    </row>
    <row r="267" spans="1:3" x14ac:dyDescent="0.2">
      <c r="A267" s="3">
        <v>39.6875</v>
      </c>
      <c r="B267">
        <f t="shared" si="8"/>
        <v>1.598653742636051</v>
      </c>
      <c r="C267">
        <f t="shared" si="9"/>
        <v>6.299801584177076</v>
      </c>
    </row>
    <row r="268" spans="1:3" x14ac:dyDescent="0.2">
      <c r="A268" s="3">
        <v>7.7750000000000004</v>
      </c>
      <c r="B268">
        <f t="shared" si="8"/>
        <v>0.8907003976988751</v>
      </c>
      <c r="C268">
        <f t="shared" si="9"/>
        <v>2.7883686987197374</v>
      </c>
    </row>
    <row r="269" spans="1:3" x14ac:dyDescent="0.2">
      <c r="A269" s="3">
        <v>153.46250000000001</v>
      </c>
      <c r="B269">
        <f t="shared" si="8"/>
        <v>2.1860022688507756</v>
      </c>
      <c r="C269">
        <f t="shared" si="9"/>
        <v>12.387998224087699</v>
      </c>
    </row>
    <row r="270" spans="1:3" x14ac:dyDescent="0.2">
      <c r="A270" s="3">
        <v>135.63329999999999</v>
      </c>
      <c r="B270">
        <f t="shared" si="8"/>
        <v>2.1323663284011247</v>
      </c>
      <c r="C270">
        <f t="shared" si="9"/>
        <v>11.646171044596588</v>
      </c>
    </row>
    <row r="271" spans="1:3" x14ac:dyDescent="0.2">
      <c r="A271" s="3">
        <v>31</v>
      </c>
      <c r="B271">
        <f t="shared" si="8"/>
        <v>1.4913616938342726</v>
      </c>
      <c r="C271">
        <f t="shared" si="9"/>
        <v>5.5677643628300215</v>
      </c>
    </row>
    <row r="272" spans="1:3" x14ac:dyDescent="0.2">
      <c r="A272" s="3">
        <v>0</v>
      </c>
      <c r="B272" t="e">
        <f t="shared" si="8"/>
        <v>#NUM!</v>
      </c>
      <c r="C272">
        <f t="shared" si="9"/>
        <v>0</v>
      </c>
    </row>
    <row r="273" spans="1:3" x14ac:dyDescent="0.2">
      <c r="A273" s="3">
        <v>19.5</v>
      </c>
      <c r="B273">
        <f t="shared" si="8"/>
        <v>1.2900346113625181</v>
      </c>
      <c r="C273">
        <f t="shared" si="9"/>
        <v>4.4158804331639239</v>
      </c>
    </row>
    <row r="274" spans="1:3" x14ac:dyDescent="0.2">
      <c r="A274" s="3">
        <v>29.7</v>
      </c>
      <c r="B274">
        <f t="shared" si="8"/>
        <v>1.4727564493172123</v>
      </c>
      <c r="C274">
        <f t="shared" si="9"/>
        <v>5.4497706373754848</v>
      </c>
    </row>
    <row r="275" spans="1:3" x14ac:dyDescent="0.2">
      <c r="A275" s="3">
        <v>7.75</v>
      </c>
      <c r="B275">
        <f t="shared" si="8"/>
        <v>0.88930170250631024</v>
      </c>
      <c r="C275">
        <f t="shared" si="9"/>
        <v>2.7838821814150108</v>
      </c>
    </row>
    <row r="276" spans="1:3" x14ac:dyDescent="0.2">
      <c r="A276" s="3">
        <v>77.958299999999994</v>
      </c>
      <c r="B276">
        <f t="shared" si="8"/>
        <v>1.8918623600932356</v>
      </c>
      <c r="C276">
        <f t="shared" si="9"/>
        <v>8.8293997530976025</v>
      </c>
    </row>
    <row r="277" spans="1:3" x14ac:dyDescent="0.2">
      <c r="A277" s="3">
        <v>7.75</v>
      </c>
      <c r="B277">
        <f t="shared" si="8"/>
        <v>0.88930170250631024</v>
      </c>
      <c r="C277">
        <f t="shared" si="9"/>
        <v>2.7838821814150108</v>
      </c>
    </row>
    <row r="278" spans="1:3" x14ac:dyDescent="0.2">
      <c r="A278" s="3">
        <v>0</v>
      </c>
      <c r="B278" t="e">
        <f t="shared" si="8"/>
        <v>#NUM!</v>
      </c>
      <c r="C278">
        <f t="shared" si="9"/>
        <v>0</v>
      </c>
    </row>
    <row r="279" spans="1:3" x14ac:dyDescent="0.2">
      <c r="A279" s="3">
        <v>29.125</v>
      </c>
      <c r="B279">
        <f t="shared" si="8"/>
        <v>1.4642659340340753</v>
      </c>
      <c r="C279">
        <f t="shared" si="9"/>
        <v>5.3967582862307255</v>
      </c>
    </row>
    <row r="280" spans="1:3" x14ac:dyDescent="0.2">
      <c r="A280" s="3">
        <v>20.25</v>
      </c>
      <c r="B280">
        <f t="shared" si="8"/>
        <v>1.3064250275506875</v>
      </c>
      <c r="C280">
        <f t="shared" si="9"/>
        <v>4.5</v>
      </c>
    </row>
    <row r="281" spans="1:3" x14ac:dyDescent="0.2">
      <c r="A281" s="3">
        <v>7.75</v>
      </c>
      <c r="B281">
        <f t="shared" si="8"/>
        <v>0.88930170250631024</v>
      </c>
      <c r="C281">
        <f t="shared" si="9"/>
        <v>2.7838821814150108</v>
      </c>
    </row>
    <row r="282" spans="1:3" x14ac:dyDescent="0.2">
      <c r="A282" s="3">
        <v>7.8541999999999996</v>
      </c>
      <c r="B282">
        <f t="shared" si="8"/>
        <v>0.89510195598589926</v>
      </c>
      <c r="C282">
        <f t="shared" si="9"/>
        <v>2.8025345671373976</v>
      </c>
    </row>
    <row r="283" spans="1:3" x14ac:dyDescent="0.2">
      <c r="A283" s="3">
        <v>9.5</v>
      </c>
      <c r="B283">
        <f t="shared" si="8"/>
        <v>0.97772360528884772</v>
      </c>
      <c r="C283">
        <f t="shared" si="9"/>
        <v>3.082207001484488</v>
      </c>
    </row>
    <row r="284" spans="1:3" x14ac:dyDescent="0.2">
      <c r="A284" s="3">
        <v>8.0500000000000007</v>
      </c>
      <c r="B284">
        <f t="shared" si="8"/>
        <v>0.90579588036786851</v>
      </c>
      <c r="C284">
        <f t="shared" si="9"/>
        <v>2.8372521918222215</v>
      </c>
    </row>
    <row r="285" spans="1:3" x14ac:dyDescent="0.2">
      <c r="A285" s="3">
        <v>26</v>
      </c>
      <c r="B285">
        <f t="shared" si="8"/>
        <v>1.414973347970818</v>
      </c>
      <c r="C285">
        <f t="shared" si="9"/>
        <v>5.0990195135927845</v>
      </c>
    </row>
    <row r="286" spans="1:3" x14ac:dyDescent="0.2">
      <c r="A286" s="3">
        <v>8.6624999999999996</v>
      </c>
      <c r="B286">
        <f t="shared" si="8"/>
        <v>0.93764324761986317</v>
      </c>
      <c r="C286">
        <f t="shared" si="9"/>
        <v>2.9432125305522874</v>
      </c>
    </row>
    <row r="287" spans="1:3" x14ac:dyDescent="0.2">
      <c r="A287" s="3">
        <v>9.5</v>
      </c>
      <c r="B287">
        <f t="shared" si="8"/>
        <v>0.97772360528884772</v>
      </c>
      <c r="C287">
        <f t="shared" si="9"/>
        <v>3.082207001484488</v>
      </c>
    </row>
    <row r="288" spans="1:3" x14ac:dyDescent="0.2">
      <c r="A288" s="3">
        <v>7.8958000000000004</v>
      </c>
      <c r="B288">
        <f t="shared" si="8"/>
        <v>0.89739613915544614</v>
      </c>
      <c r="C288">
        <f t="shared" si="9"/>
        <v>2.8099466187100424</v>
      </c>
    </row>
    <row r="289" spans="1:3" x14ac:dyDescent="0.2">
      <c r="A289" s="3">
        <v>13</v>
      </c>
      <c r="B289">
        <f t="shared" si="8"/>
        <v>1.1139433523068367</v>
      </c>
      <c r="C289">
        <f t="shared" si="9"/>
        <v>3.6055512754639891</v>
      </c>
    </row>
    <row r="290" spans="1:3" x14ac:dyDescent="0.2">
      <c r="A290" s="3">
        <v>7.75</v>
      </c>
      <c r="B290">
        <f t="shared" si="8"/>
        <v>0.88930170250631024</v>
      </c>
      <c r="C290">
        <f t="shared" si="9"/>
        <v>2.7838821814150108</v>
      </c>
    </row>
    <row r="291" spans="1:3" x14ac:dyDescent="0.2">
      <c r="A291" s="3">
        <v>78.849999999999994</v>
      </c>
      <c r="B291">
        <f t="shared" si="8"/>
        <v>1.8968016976649216</v>
      </c>
      <c r="C291">
        <f t="shared" si="9"/>
        <v>8.8797522487961338</v>
      </c>
    </row>
    <row r="292" spans="1:3" x14ac:dyDescent="0.2">
      <c r="A292" s="3">
        <v>91.0792</v>
      </c>
      <c r="B292">
        <f t="shared" si="8"/>
        <v>1.959419207306397</v>
      </c>
      <c r="C292">
        <f t="shared" si="9"/>
        <v>9.5435423192858533</v>
      </c>
    </row>
    <row r="293" spans="1:3" x14ac:dyDescent="0.2">
      <c r="A293" s="3">
        <v>12.875</v>
      </c>
      <c r="B293">
        <f t="shared" si="8"/>
        <v>1.1097472377132287</v>
      </c>
      <c r="C293">
        <f t="shared" si="9"/>
        <v>3.5881750236018308</v>
      </c>
    </row>
    <row r="294" spans="1:3" x14ac:dyDescent="0.2">
      <c r="A294" s="3">
        <v>8.85</v>
      </c>
      <c r="B294">
        <f t="shared" si="8"/>
        <v>0.94694327069782547</v>
      </c>
      <c r="C294">
        <f t="shared" si="9"/>
        <v>2.9748949561287032</v>
      </c>
    </row>
    <row r="295" spans="1:3" x14ac:dyDescent="0.2">
      <c r="A295" s="3">
        <v>7.8958000000000004</v>
      </c>
      <c r="B295">
        <f t="shared" si="8"/>
        <v>0.89739613915544614</v>
      </c>
      <c r="C295">
        <f t="shared" si="9"/>
        <v>2.8099466187100424</v>
      </c>
    </row>
    <row r="296" spans="1:3" x14ac:dyDescent="0.2">
      <c r="A296" s="3">
        <v>27.720800000000001</v>
      </c>
      <c r="B296">
        <f t="shared" si="8"/>
        <v>1.442805759510192</v>
      </c>
      <c r="C296">
        <f t="shared" si="9"/>
        <v>5.26505460560477</v>
      </c>
    </row>
    <row r="297" spans="1:3" x14ac:dyDescent="0.2">
      <c r="A297" s="3">
        <v>7.2291999999999996</v>
      </c>
      <c r="B297">
        <f t="shared" si="8"/>
        <v>0.85909023992124911</v>
      </c>
      <c r="C297">
        <f t="shared" si="9"/>
        <v>2.688717166233741</v>
      </c>
    </row>
    <row r="298" spans="1:3" x14ac:dyDescent="0.2">
      <c r="A298" s="3">
        <v>151.55000000000001</v>
      </c>
      <c r="B298">
        <f t="shared" si="8"/>
        <v>2.1805559407036412</v>
      </c>
      <c r="C298">
        <f t="shared" si="9"/>
        <v>12.310564568694646</v>
      </c>
    </row>
    <row r="299" spans="1:3" x14ac:dyDescent="0.2">
      <c r="A299" s="3">
        <v>30.5</v>
      </c>
      <c r="B299">
        <f t="shared" si="8"/>
        <v>1.4842998393467859</v>
      </c>
      <c r="C299">
        <f t="shared" si="9"/>
        <v>5.5226805085936306</v>
      </c>
    </row>
    <row r="300" spans="1:3" x14ac:dyDescent="0.2">
      <c r="A300" s="3">
        <v>247.52080000000001</v>
      </c>
      <c r="B300">
        <f t="shared" si="8"/>
        <v>2.3936117000197399</v>
      </c>
      <c r="C300">
        <f t="shared" si="9"/>
        <v>15.732793776058974</v>
      </c>
    </row>
    <row r="301" spans="1:3" x14ac:dyDescent="0.2">
      <c r="A301" s="3">
        <v>7.75</v>
      </c>
      <c r="B301">
        <f t="shared" si="8"/>
        <v>0.88930170250631024</v>
      </c>
      <c r="C301">
        <f t="shared" si="9"/>
        <v>2.7838821814150108</v>
      </c>
    </row>
    <row r="302" spans="1:3" x14ac:dyDescent="0.2">
      <c r="A302" s="3">
        <v>23.25</v>
      </c>
      <c r="B302">
        <f t="shared" si="8"/>
        <v>1.3664229572259727</v>
      </c>
      <c r="C302">
        <f t="shared" si="9"/>
        <v>4.8218253804964775</v>
      </c>
    </row>
    <row r="303" spans="1:3" x14ac:dyDescent="0.2">
      <c r="A303" s="3">
        <v>0</v>
      </c>
      <c r="B303" t="e">
        <f t="shared" si="8"/>
        <v>#NUM!</v>
      </c>
      <c r="C303">
        <f t="shared" si="9"/>
        <v>0</v>
      </c>
    </row>
    <row r="304" spans="1:3" x14ac:dyDescent="0.2">
      <c r="A304" s="3">
        <v>12.35</v>
      </c>
      <c r="B304">
        <f t="shared" si="8"/>
        <v>1.0916669575956846</v>
      </c>
      <c r="C304">
        <f t="shared" si="9"/>
        <v>3.5142566781611158</v>
      </c>
    </row>
    <row r="305" spans="1:3" x14ac:dyDescent="0.2">
      <c r="A305" s="3">
        <v>8.0500000000000007</v>
      </c>
      <c r="B305">
        <f t="shared" si="8"/>
        <v>0.90579588036786851</v>
      </c>
      <c r="C305">
        <f t="shared" si="9"/>
        <v>2.8372521918222215</v>
      </c>
    </row>
    <row r="306" spans="1:3" x14ac:dyDescent="0.2">
      <c r="A306" s="3">
        <v>151.55000000000001</v>
      </c>
      <c r="B306">
        <f t="shared" si="8"/>
        <v>2.1805559407036412</v>
      </c>
      <c r="C306">
        <f t="shared" si="9"/>
        <v>12.310564568694646</v>
      </c>
    </row>
    <row r="307" spans="1:3" x14ac:dyDescent="0.2">
      <c r="A307" s="3">
        <v>110.88330000000001</v>
      </c>
      <c r="B307">
        <f t="shared" si="8"/>
        <v>2.0448661425064016</v>
      </c>
      <c r="C307">
        <f t="shared" si="9"/>
        <v>10.530113959497305</v>
      </c>
    </row>
    <row r="308" spans="1:3" x14ac:dyDescent="0.2">
      <c r="A308" s="3">
        <v>108.9</v>
      </c>
      <c r="B308">
        <f t="shared" si="8"/>
        <v>2.037027879755775</v>
      </c>
      <c r="C308">
        <f t="shared" si="9"/>
        <v>10.435516278555651</v>
      </c>
    </row>
    <row r="309" spans="1:3" x14ac:dyDescent="0.2">
      <c r="A309" s="3">
        <v>24</v>
      </c>
      <c r="B309">
        <f t="shared" si="8"/>
        <v>1.3802112417116059</v>
      </c>
      <c r="C309">
        <f t="shared" si="9"/>
        <v>4.8989794855663558</v>
      </c>
    </row>
    <row r="310" spans="1:3" x14ac:dyDescent="0.2">
      <c r="A310" s="3">
        <v>56.929200000000002</v>
      </c>
      <c r="B310">
        <f t="shared" si="8"/>
        <v>1.7553350809127826</v>
      </c>
      <c r="C310">
        <f t="shared" si="9"/>
        <v>7.5451441338121565</v>
      </c>
    </row>
    <row r="311" spans="1:3" x14ac:dyDescent="0.2">
      <c r="A311" s="3">
        <v>83.158299999999997</v>
      </c>
      <c r="B311">
        <f t="shared" si="8"/>
        <v>1.9199056024948609</v>
      </c>
      <c r="C311">
        <f t="shared" si="9"/>
        <v>9.1191172818425787</v>
      </c>
    </row>
    <row r="312" spans="1:3" x14ac:dyDescent="0.2">
      <c r="A312" s="3">
        <v>262.375</v>
      </c>
      <c r="B312">
        <f t="shared" si="8"/>
        <v>2.4189224515904568</v>
      </c>
      <c r="C312">
        <f t="shared" si="9"/>
        <v>16.197993702925064</v>
      </c>
    </row>
    <row r="313" spans="1:3" x14ac:dyDescent="0.2">
      <c r="A313" s="3">
        <v>26</v>
      </c>
      <c r="B313">
        <f t="shared" si="8"/>
        <v>1.414973347970818</v>
      </c>
      <c r="C313">
        <f t="shared" si="9"/>
        <v>5.0990195135927845</v>
      </c>
    </row>
    <row r="314" spans="1:3" x14ac:dyDescent="0.2">
      <c r="A314" s="3">
        <v>7.8958000000000004</v>
      </c>
      <c r="B314">
        <f t="shared" si="8"/>
        <v>0.89739613915544614</v>
      </c>
      <c r="C314">
        <f t="shared" si="9"/>
        <v>2.8099466187100424</v>
      </c>
    </row>
    <row r="315" spans="1:3" x14ac:dyDescent="0.2">
      <c r="A315" s="3">
        <v>26.25</v>
      </c>
      <c r="B315">
        <f t="shared" si="8"/>
        <v>1.4191293077419758</v>
      </c>
      <c r="C315">
        <f t="shared" si="9"/>
        <v>5.123475382979799</v>
      </c>
    </row>
    <row r="316" spans="1:3" x14ac:dyDescent="0.2">
      <c r="A316" s="3">
        <v>7.8541999999999996</v>
      </c>
      <c r="B316">
        <f t="shared" si="8"/>
        <v>0.89510195598589926</v>
      </c>
      <c r="C316">
        <f t="shared" si="9"/>
        <v>2.8025345671373976</v>
      </c>
    </row>
    <row r="317" spans="1:3" x14ac:dyDescent="0.2">
      <c r="A317" s="3">
        <v>26</v>
      </c>
      <c r="B317">
        <f t="shared" si="8"/>
        <v>1.414973347970818</v>
      </c>
      <c r="C317">
        <f t="shared" si="9"/>
        <v>5.0990195135927845</v>
      </c>
    </row>
    <row r="318" spans="1:3" x14ac:dyDescent="0.2">
      <c r="A318" s="3">
        <v>14</v>
      </c>
      <c r="B318">
        <f t="shared" si="8"/>
        <v>1.146128035678238</v>
      </c>
      <c r="C318">
        <f t="shared" si="9"/>
        <v>3.7416573867739413</v>
      </c>
    </row>
    <row r="319" spans="1:3" x14ac:dyDescent="0.2">
      <c r="A319" s="3">
        <v>164.86670000000001</v>
      </c>
      <c r="B319">
        <f t="shared" si="8"/>
        <v>2.2171329451128217</v>
      </c>
      <c r="C319">
        <f t="shared" si="9"/>
        <v>12.840042834819517</v>
      </c>
    </row>
    <row r="320" spans="1:3" x14ac:dyDescent="0.2">
      <c r="A320" s="3">
        <v>134.5</v>
      </c>
      <c r="B320">
        <f t="shared" si="8"/>
        <v>2.1287222843384268</v>
      </c>
      <c r="C320">
        <f t="shared" si="9"/>
        <v>11.597413504743201</v>
      </c>
    </row>
    <row r="321" spans="1:3" x14ac:dyDescent="0.2">
      <c r="A321" s="3">
        <v>7.25</v>
      </c>
      <c r="B321">
        <f t="shared" si="8"/>
        <v>0.86033800657099369</v>
      </c>
      <c r="C321">
        <f t="shared" si="9"/>
        <v>2.6925824035672519</v>
      </c>
    </row>
    <row r="322" spans="1:3" x14ac:dyDescent="0.2">
      <c r="A322" s="3">
        <v>7.8958000000000004</v>
      </c>
      <c r="B322">
        <f t="shared" ref="B322:B385" si="10">LOG10(A322)</f>
        <v>0.89739613915544614</v>
      </c>
      <c r="C322">
        <f t="shared" ref="C322:C385" si="11">SQRT(A322)</f>
        <v>2.8099466187100424</v>
      </c>
    </row>
    <row r="323" spans="1:3" x14ac:dyDescent="0.2">
      <c r="A323" s="3">
        <v>12.35</v>
      </c>
      <c r="B323">
        <f t="shared" si="10"/>
        <v>1.0916669575956846</v>
      </c>
      <c r="C323">
        <f t="shared" si="11"/>
        <v>3.5142566781611158</v>
      </c>
    </row>
    <row r="324" spans="1:3" x14ac:dyDescent="0.2">
      <c r="A324" s="3">
        <v>29</v>
      </c>
      <c r="B324">
        <f t="shared" si="10"/>
        <v>1.4623979978989561</v>
      </c>
      <c r="C324">
        <f t="shared" si="11"/>
        <v>5.3851648071345037</v>
      </c>
    </row>
    <row r="325" spans="1:3" x14ac:dyDescent="0.2">
      <c r="A325" s="3">
        <v>69.55</v>
      </c>
      <c r="B325">
        <f t="shared" si="10"/>
        <v>1.8422971343280652</v>
      </c>
      <c r="C325">
        <f t="shared" si="11"/>
        <v>8.3396642618273304</v>
      </c>
    </row>
    <row r="326" spans="1:3" x14ac:dyDescent="0.2">
      <c r="A326" s="3">
        <v>135.63329999999999</v>
      </c>
      <c r="B326">
        <f t="shared" si="10"/>
        <v>2.1323663284011247</v>
      </c>
      <c r="C326">
        <f t="shared" si="11"/>
        <v>11.646171044596588</v>
      </c>
    </row>
    <row r="327" spans="1:3" x14ac:dyDescent="0.2">
      <c r="A327" s="3">
        <v>6.2374999999999998</v>
      </c>
      <c r="B327">
        <f t="shared" si="10"/>
        <v>0.79501055863144632</v>
      </c>
      <c r="C327">
        <f t="shared" si="11"/>
        <v>2.4974987487484355</v>
      </c>
    </row>
    <row r="328" spans="1:3" x14ac:dyDescent="0.2">
      <c r="A328" s="3">
        <v>13</v>
      </c>
      <c r="B328">
        <f t="shared" si="10"/>
        <v>1.1139433523068367</v>
      </c>
      <c r="C328">
        <f t="shared" si="11"/>
        <v>3.6055512754639891</v>
      </c>
    </row>
    <row r="329" spans="1:3" x14ac:dyDescent="0.2">
      <c r="A329" s="3">
        <v>20.524999999999999</v>
      </c>
      <c r="B329">
        <f t="shared" si="10"/>
        <v>1.3122831657914784</v>
      </c>
      <c r="C329">
        <f t="shared" si="11"/>
        <v>4.530452516029718</v>
      </c>
    </row>
    <row r="330" spans="1:3" x14ac:dyDescent="0.2">
      <c r="A330" s="3">
        <v>57.979199999999999</v>
      </c>
      <c r="B330">
        <f t="shared" si="10"/>
        <v>1.7632722186425993</v>
      </c>
      <c r="C330">
        <f t="shared" si="11"/>
        <v>7.6144073965082795</v>
      </c>
    </row>
    <row r="331" spans="1:3" x14ac:dyDescent="0.2">
      <c r="A331" s="3">
        <v>23.25</v>
      </c>
      <c r="B331">
        <f t="shared" si="10"/>
        <v>1.3664229572259727</v>
      </c>
      <c r="C331">
        <f t="shared" si="11"/>
        <v>4.8218253804964775</v>
      </c>
    </row>
    <row r="332" spans="1:3" x14ac:dyDescent="0.2">
      <c r="A332" s="3">
        <v>28.5</v>
      </c>
      <c r="B332">
        <f t="shared" si="10"/>
        <v>1.4548448600085102</v>
      </c>
      <c r="C332">
        <f t="shared" si="11"/>
        <v>5.3385391260156556</v>
      </c>
    </row>
    <row r="333" spans="1:3" x14ac:dyDescent="0.2">
      <c r="A333" s="3">
        <v>153.46250000000001</v>
      </c>
      <c r="B333">
        <f t="shared" si="10"/>
        <v>2.1860022688507756</v>
      </c>
      <c r="C333">
        <f t="shared" si="11"/>
        <v>12.387998224087699</v>
      </c>
    </row>
    <row r="334" spans="1:3" x14ac:dyDescent="0.2">
      <c r="A334" s="3">
        <v>18</v>
      </c>
      <c r="B334">
        <f t="shared" si="10"/>
        <v>1.255272505103306</v>
      </c>
      <c r="C334">
        <f t="shared" si="11"/>
        <v>4.2426406871192848</v>
      </c>
    </row>
    <row r="335" spans="1:3" x14ac:dyDescent="0.2">
      <c r="A335" s="3">
        <v>133.65</v>
      </c>
      <c r="B335">
        <f t="shared" si="10"/>
        <v>2.1259689630925562</v>
      </c>
      <c r="C335">
        <f t="shared" si="11"/>
        <v>11.560709320798617</v>
      </c>
    </row>
    <row r="336" spans="1:3" x14ac:dyDescent="0.2">
      <c r="A336" s="3">
        <v>7.8958000000000004</v>
      </c>
      <c r="B336">
        <f t="shared" si="10"/>
        <v>0.89739613915544614</v>
      </c>
      <c r="C336">
        <f t="shared" si="11"/>
        <v>2.8099466187100424</v>
      </c>
    </row>
    <row r="337" spans="1:3" x14ac:dyDescent="0.2">
      <c r="A337" s="3">
        <v>66.599999999999994</v>
      </c>
      <c r="B337">
        <f t="shared" si="10"/>
        <v>1.823474229170301</v>
      </c>
      <c r="C337">
        <f t="shared" si="11"/>
        <v>8.160882305241266</v>
      </c>
    </row>
    <row r="338" spans="1:3" x14ac:dyDescent="0.2">
      <c r="A338" s="3">
        <v>134.5</v>
      </c>
      <c r="B338">
        <f t="shared" si="10"/>
        <v>2.1287222843384268</v>
      </c>
      <c r="C338">
        <f t="shared" si="11"/>
        <v>11.597413504743201</v>
      </c>
    </row>
    <row r="339" spans="1:3" x14ac:dyDescent="0.2">
      <c r="A339" s="3">
        <v>8.0500000000000007</v>
      </c>
      <c r="B339">
        <f t="shared" si="10"/>
        <v>0.90579588036786851</v>
      </c>
      <c r="C339">
        <f t="shared" si="11"/>
        <v>2.8372521918222215</v>
      </c>
    </row>
    <row r="340" spans="1:3" x14ac:dyDescent="0.2">
      <c r="A340" s="3">
        <v>35.5</v>
      </c>
      <c r="B340">
        <f t="shared" si="10"/>
        <v>1.550228353055094</v>
      </c>
      <c r="C340">
        <f t="shared" si="11"/>
        <v>5.9581876439064922</v>
      </c>
    </row>
    <row r="341" spans="1:3" x14ac:dyDescent="0.2">
      <c r="A341" s="3">
        <v>26</v>
      </c>
      <c r="B341">
        <f t="shared" si="10"/>
        <v>1.414973347970818</v>
      </c>
      <c r="C341">
        <f t="shared" si="11"/>
        <v>5.0990195135927845</v>
      </c>
    </row>
    <row r="342" spans="1:3" x14ac:dyDescent="0.2">
      <c r="A342" s="3">
        <v>263</v>
      </c>
      <c r="B342">
        <f t="shared" si="10"/>
        <v>2.419955748489758</v>
      </c>
      <c r="C342">
        <f t="shared" si="11"/>
        <v>16.217274740226856</v>
      </c>
    </row>
    <row r="343" spans="1:3" x14ac:dyDescent="0.2">
      <c r="A343" s="3">
        <v>13</v>
      </c>
      <c r="B343">
        <f t="shared" si="10"/>
        <v>1.1139433523068367</v>
      </c>
      <c r="C343">
        <f t="shared" si="11"/>
        <v>3.6055512754639891</v>
      </c>
    </row>
    <row r="344" spans="1:3" x14ac:dyDescent="0.2">
      <c r="A344" s="3">
        <v>13</v>
      </c>
      <c r="B344">
        <f t="shared" si="10"/>
        <v>1.1139433523068367</v>
      </c>
      <c r="C344">
        <f t="shared" si="11"/>
        <v>3.6055512754639891</v>
      </c>
    </row>
    <row r="345" spans="1:3" x14ac:dyDescent="0.2">
      <c r="A345" s="3">
        <v>13</v>
      </c>
      <c r="B345">
        <f t="shared" si="10"/>
        <v>1.1139433523068367</v>
      </c>
      <c r="C345">
        <f t="shared" si="11"/>
        <v>3.6055512754639891</v>
      </c>
    </row>
    <row r="346" spans="1:3" x14ac:dyDescent="0.2">
      <c r="A346" s="3">
        <v>13</v>
      </c>
      <c r="B346">
        <f t="shared" si="10"/>
        <v>1.1139433523068367</v>
      </c>
      <c r="C346">
        <f t="shared" si="11"/>
        <v>3.6055512754639891</v>
      </c>
    </row>
    <row r="347" spans="1:3" x14ac:dyDescent="0.2">
      <c r="A347" s="3">
        <v>13</v>
      </c>
      <c r="B347">
        <f t="shared" si="10"/>
        <v>1.1139433523068367</v>
      </c>
      <c r="C347">
        <f t="shared" si="11"/>
        <v>3.6055512754639891</v>
      </c>
    </row>
    <row r="348" spans="1:3" x14ac:dyDescent="0.2">
      <c r="A348" s="3">
        <v>16.100000000000001</v>
      </c>
      <c r="B348">
        <f t="shared" si="10"/>
        <v>1.2068258760318498</v>
      </c>
      <c r="C348">
        <f t="shared" si="11"/>
        <v>4.0124805295477763</v>
      </c>
    </row>
    <row r="349" spans="1:3" x14ac:dyDescent="0.2">
      <c r="A349" s="3">
        <v>15.9</v>
      </c>
      <c r="B349">
        <f t="shared" si="10"/>
        <v>1.2013971243204515</v>
      </c>
      <c r="C349">
        <f t="shared" si="11"/>
        <v>3.9874804074753771</v>
      </c>
    </row>
    <row r="350" spans="1:3" x14ac:dyDescent="0.2">
      <c r="A350" s="3">
        <v>8.6624999999999996</v>
      </c>
      <c r="B350">
        <f t="shared" si="10"/>
        <v>0.93764324761986317</v>
      </c>
      <c r="C350">
        <f t="shared" si="11"/>
        <v>2.9432125305522874</v>
      </c>
    </row>
    <row r="351" spans="1:3" x14ac:dyDescent="0.2">
      <c r="A351" s="3">
        <v>9.2249999999999996</v>
      </c>
      <c r="B351">
        <f t="shared" si="10"/>
        <v>0.96496637483109793</v>
      </c>
      <c r="C351">
        <f t="shared" si="11"/>
        <v>3.0372685096974879</v>
      </c>
    </row>
    <row r="352" spans="1:3" x14ac:dyDescent="0.2">
      <c r="A352" s="3">
        <v>35</v>
      </c>
      <c r="B352">
        <f t="shared" si="10"/>
        <v>1.5440680443502757</v>
      </c>
      <c r="C352">
        <f t="shared" si="11"/>
        <v>5.9160797830996161</v>
      </c>
    </row>
    <row r="353" spans="1:3" x14ac:dyDescent="0.2">
      <c r="A353" s="3">
        <v>7.2291999999999996</v>
      </c>
      <c r="B353">
        <f t="shared" si="10"/>
        <v>0.85909023992124911</v>
      </c>
      <c r="C353">
        <f t="shared" si="11"/>
        <v>2.688717166233741</v>
      </c>
    </row>
    <row r="354" spans="1:3" x14ac:dyDescent="0.2">
      <c r="A354" s="3">
        <v>17.8</v>
      </c>
      <c r="B354">
        <f t="shared" si="10"/>
        <v>1.2504200023088941</v>
      </c>
      <c r="C354">
        <f t="shared" si="11"/>
        <v>4.2190046219457971</v>
      </c>
    </row>
    <row r="355" spans="1:3" x14ac:dyDescent="0.2">
      <c r="A355" s="3">
        <v>7.2249999999999996</v>
      </c>
      <c r="B355">
        <f t="shared" si="10"/>
        <v>0.85883785142858549</v>
      </c>
      <c r="C355">
        <f t="shared" si="11"/>
        <v>2.6879360111431225</v>
      </c>
    </row>
    <row r="356" spans="1:3" x14ac:dyDescent="0.2">
      <c r="A356" s="3">
        <v>9.5</v>
      </c>
      <c r="B356">
        <f t="shared" si="10"/>
        <v>0.97772360528884772</v>
      </c>
      <c r="C356">
        <f t="shared" si="11"/>
        <v>3.082207001484488</v>
      </c>
    </row>
    <row r="357" spans="1:3" x14ac:dyDescent="0.2">
      <c r="A357" s="3">
        <v>55</v>
      </c>
      <c r="B357">
        <f t="shared" si="10"/>
        <v>1.7403626894942439</v>
      </c>
      <c r="C357">
        <f t="shared" si="11"/>
        <v>7.416198487095663</v>
      </c>
    </row>
    <row r="358" spans="1:3" x14ac:dyDescent="0.2">
      <c r="A358" s="3">
        <v>13</v>
      </c>
      <c r="B358">
        <f t="shared" si="10"/>
        <v>1.1139433523068367</v>
      </c>
      <c r="C358">
        <f t="shared" si="11"/>
        <v>3.6055512754639891</v>
      </c>
    </row>
    <row r="359" spans="1:3" x14ac:dyDescent="0.2">
      <c r="A359" s="3">
        <v>7.8792</v>
      </c>
      <c r="B359">
        <f t="shared" si="10"/>
        <v>0.8964821244409461</v>
      </c>
      <c r="C359">
        <f t="shared" si="11"/>
        <v>2.8069912718068788</v>
      </c>
    </row>
    <row r="360" spans="1:3" x14ac:dyDescent="0.2">
      <c r="A360" s="3">
        <v>7.8792</v>
      </c>
      <c r="B360">
        <f t="shared" si="10"/>
        <v>0.8964821244409461</v>
      </c>
      <c r="C360">
        <f t="shared" si="11"/>
        <v>2.8069912718068788</v>
      </c>
    </row>
    <row r="361" spans="1:3" x14ac:dyDescent="0.2">
      <c r="A361" s="3">
        <v>27.9</v>
      </c>
      <c r="B361">
        <f t="shared" si="10"/>
        <v>1.4456042032735976</v>
      </c>
      <c r="C361">
        <f t="shared" si="11"/>
        <v>5.2820450584977028</v>
      </c>
    </row>
    <row r="362" spans="1:3" x14ac:dyDescent="0.2">
      <c r="A362" s="3">
        <v>27.720800000000001</v>
      </c>
      <c r="B362">
        <f t="shared" si="10"/>
        <v>1.442805759510192</v>
      </c>
      <c r="C362">
        <f t="shared" si="11"/>
        <v>5.26505460560477</v>
      </c>
    </row>
    <row r="363" spans="1:3" x14ac:dyDescent="0.2">
      <c r="A363" s="3">
        <v>14.4542</v>
      </c>
      <c r="B363">
        <f t="shared" si="10"/>
        <v>1.1599940596732181</v>
      </c>
      <c r="C363">
        <f t="shared" si="11"/>
        <v>3.8018679619366056</v>
      </c>
    </row>
    <row r="364" spans="1:3" x14ac:dyDescent="0.2">
      <c r="A364" s="3">
        <v>7.05</v>
      </c>
      <c r="B364">
        <f t="shared" si="10"/>
        <v>0.84818911699139865</v>
      </c>
      <c r="C364">
        <f t="shared" si="11"/>
        <v>2.6551836094703507</v>
      </c>
    </row>
    <row r="365" spans="1:3" x14ac:dyDescent="0.2">
      <c r="A365" s="3">
        <v>15.5</v>
      </c>
      <c r="B365">
        <f t="shared" si="10"/>
        <v>1.1903316981702914</v>
      </c>
      <c r="C365">
        <f t="shared" si="11"/>
        <v>3.9370039370059056</v>
      </c>
    </row>
    <row r="366" spans="1:3" x14ac:dyDescent="0.2">
      <c r="A366" s="3">
        <v>7.25</v>
      </c>
      <c r="B366">
        <f t="shared" si="10"/>
        <v>0.86033800657099369</v>
      </c>
      <c r="C366">
        <f t="shared" si="11"/>
        <v>2.6925824035672519</v>
      </c>
    </row>
    <row r="367" spans="1:3" x14ac:dyDescent="0.2">
      <c r="A367" s="3">
        <v>75.25</v>
      </c>
      <c r="B367">
        <f t="shared" si="10"/>
        <v>1.8765065042658811</v>
      </c>
      <c r="C367">
        <f t="shared" si="11"/>
        <v>8.674675786448736</v>
      </c>
    </row>
    <row r="368" spans="1:3" x14ac:dyDescent="0.2">
      <c r="A368" s="3">
        <v>7.2291999999999996</v>
      </c>
      <c r="B368">
        <f t="shared" si="10"/>
        <v>0.85909023992124911</v>
      </c>
      <c r="C368">
        <f t="shared" si="11"/>
        <v>2.688717166233741</v>
      </c>
    </row>
    <row r="369" spans="1:3" x14ac:dyDescent="0.2">
      <c r="A369" s="3">
        <v>7.75</v>
      </c>
      <c r="B369">
        <f t="shared" si="10"/>
        <v>0.88930170250631024</v>
      </c>
      <c r="C369">
        <f t="shared" si="11"/>
        <v>2.7838821814150108</v>
      </c>
    </row>
    <row r="370" spans="1:3" x14ac:dyDescent="0.2">
      <c r="A370" s="3">
        <v>69.3</v>
      </c>
      <c r="B370">
        <f t="shared" si="10"/>
        <v>1.8407332346118068</v>
      </c>
      <c r="C370">
        <f t="shared" si="11"/>
        <v>8.3246621553069637</v>
      </c>
    </row>
    <row r="371" spans="1:3" x14ac:dyDescent="0.2">
      <c r="A371" s="3">
        <v>55.441699999999997</v>
      </c>
      <c r="B371">
        <f t="shared" si="10"/>
        <v>1.7438365385103145</v>
      </c>
      <c r="C371">
        <f t="shared" si="11"/>
        <v>7.4459183449726334</v>
      </c>
    </row>
    <row r="372" spans="1:3" x14ac:dyDescent="0.2">
      <c r="A372" s="3">
        <v>6.4958</v>
      </c>
      <c r="B372">
        <f t="shared" si="10"/>
        <v>0.81263264489175169</v>
      </c>
      <c r="C372">
        <f t="shared" si="11"/>
        <v>2.5486859359285523</v>
      </c>
    </row>
    <row r="373" spans="1:3" x14ac:dyDescent="0.2">
      <c r="A373" s="3">
        <v>8.0500000000000007</v>
      </c>
      <c r="B373">
        <f t="shared" si="10"/>
        <v>0.90579588036786851</v>
      </c>
      <c r="C373">
        <f t="shared" si="11"/>
        <v>2.8372521918222215</v>
      </c>
    </row>
    <row r="374" spans="1:3" x14ac:dyDescent="0.2">
      <c r="A374" s="3">
        <v>135.63329999999999</v>
      </c>
      <c r="B374">
        <f t="shared" si="10"/>
        <v>2.1323663284011247</v>
      </c>
      <c r="C374">
        <f t="shared" si="11"/>
        <v>11.646171044596588</v>
      </c>
    </row>
    <row r="375" spans="1:3" x14ac:dyDescent="0.2">
      <c r="A375" s="3">
        <v>21.074999999999999</v>
      </c>
      <c r="B375">
        <f t="shared" si="10"/>
        <v>1.3237675832967799</v>
      </c>
      <c r="C375">
        <f t="shared" si="11"/>
        <v>4.5907515724552121</v>
      </c>
    </row>
    <row r="376" spans="1:3" x14ac:dyDescent="0.2">
      <c r="A376" s="3">
        <v>82.1708</v>
      </c>
      <c r="B376">
        <f t="shared" si="10"/>
        <v>1.9147175152064853</v>
      </c>
      <c r="C376">
        <f t="shared" si="11"/>
        <v>9.0648110846282943</v>
      </c>
    </row>
    <row r="377" spans="1:3" x14ac:dyDescent="0.2">
      <c r="A377" s="3">
        <v>7.25</v>
      </c>
      <c r="B377">
        <f t="shared" si="10"/>
        <v>0.86033800657099369</v>
      </c>
      <c r="C377">
        <f t="shared" si="11"/>
        <v>2.6925824035672519</v>
      </c>
    </row>
    <row r="378" spans="1:3" x14ac:dyDescent="0.2">
      <c r="A378" s="3">
        <v>211.5</v>
      </c>
      <c r="B378">
        <f t="shared" si="10"/>
        <v>2.325310371711061</v>
      </c>
      <c r="C378">
        <f t="shared" si="11"/>
        <v>14.543039572248986</v>
      </c>
    </row>
    <row r="379" spans="1:3" x14ac:dyDescent="0.2">
      <c r="A379" s="3">
        <v>4.0125000000000002</v>
      </c>
      <c r="B379">
        <f t="shared" si="10"/>
        <v>0.60341504541292856</v>
      </c>
      <c r="C379">
        <f t="shared" si="11"/>
        <v>2.0031225624010132</v>
      </c>
    </row>
    <row r="380" spans="1:3" x14ac:dyDescent="0.2">
      <c r="A380" s="3">
        <v>7.7750000000000004</v>
      </c>
      <c r="B380">
        <f t="shared" si="10"/>
        <v>0.8907003976988751</v>
      </c>
      <c r="C380">
        <f t="shared" si="11"/>
        <v>2.7883686987197374</v>
      </c>
    </row>
    <row r="381" spans="1:3" x14ac:dyDescent="0.2">
      <c r="A381" s="3">
        <v>227.52500000000001</v>
      </c>
      <c r="B381">
        <f t="shared" si="10"/>
        <v>2.35702912303943</v>
      </c>
      <c r="C381">
        <f t="shared" si="11"/>
        <v>15.083931848162136</v>
      </c>
    </row>
    <row r="382" spans="1:3" x14ac:dyDescent="0.2">
      <c r="A382" s="3">
        <v>15.7417</v>
      </c>
      <c r="B382">
        <f t="shared" si="10"/>
        <v>1.1970516315015716</v>
      </c>
      <c r="C382">
        <f t="shared" si="11"/>
        <v>3.967581127084864</v>
      </c>
    </row>
    <row r="383" spans="1:3" x14ac:dyDescent="0.2">
      <c r="A383" s="3">
        <v>7.9249999999999998</v>
      </c>
      <c r="B383">
        <f t="shared" si="10"/>
        <v>0.89899927088978915</v>
      </c>
      <c r="C383">
        <f t="shared" si="11"/>
        <v>2.8151376520518494</v>
      </c>
    </row>
    <row r="384" spans="1:3" x14ac:dyDescent="0.2">
      <c r="A384" s="3">
        <v>52</v>
      </c>
      <c r="B384">
        <f t="shared" si="10"/>
        <v>1.7160033436347992</v>
      </c>
      <c r="C384">
        <f t="shared" si="11"/>
        <v>7.2111025509279782</v>
      </c>
    </row>
    <row r="385" spans="1:3" x14ac:dyDescent="0.2">
      <c r="A385" s="3">
        <v>7.8958000000000004</v>
      </c>
      <c r="B385">
        <f t="shared" si="10"/>
        <v>0.89739613915544614</v>
      </c>
      <c r="C385">
        <f t="shared" si="11"/>
        <v>2.8099466187100424</v>
      </c>
    </row>
    <row r="386" spans="1:3" x14ac:dyDescent="0.2">
      <c r="A386" s="3">
        <v>73.5</v>
      </c>
      <c r="B386">
        <f t="shared" ref="B386:B449" si="12">LOG10(A386)</f>
        <v>1.866287339084195</v>
      </c>
      <c r="C386">
        <f t="shared" ref="C386:C449" si="13">SQRT(A386)</f>
        <v>8.5732140997411239</v>
      </c>
    </row>
    <row r="387" spans="1:3" x14ac:dyDescent="0.2">
      <c r="A387" s="3">
        <v>46.9</v>
      </c>
      <c r="B387">
        <f t="shared" si="12"/>
        <v>1.6711728427150832</v>
      </c>
      <c r="C387">
        <f t="shared" si="13"/>
        <v>6.8483574673055729</v>
      </c>
    </row>
    <row r="388" spans="1:3" x14ac:dyDescent="0.2">
      <c r="A388" s="3">
        <v>13</v>
      </c>
      <c r="B388">
        <f t="shared" si="12"/>
        <v>1.1139433523068367</v>
      </c>
      <c r="C388">
        <f t="shared" si="13"/>
        <v>3.6055512754639891</v>
      </c>
    </row>
    <row r="389" spans="1:3" x14ac:dyDescent="0.2">
      <c r="A389" s="3">
        <v>7.7291999999999996</v>
      </c>
      <c r="B389">
        <f t="shared" si="12"/>
        <v>0.88813454520353596</v>
      </c>
      <c r="C389">
        <f t="shared" si="13"/>
        <v>2.7801438811687427</v>
      </c>
    </row>
    <row r="390" spans="1:3" x14ac:dyDescent="0.2">
      <c r="A390" s="3">
        <v>12</v>
      </c>
      <c r="B390">
        <f t="shared" si="12"/>
        <v>1.0791812460476249</v>
      </c>
      <c r="C390">
        <f t="shared" si="13"/>
        <v>3.4641016151377544</v>
      </c>
    </row>
    <row r="391" spans="1:3" x14ac:dyDescent="0.2">
      <c r="A391" s="3">
        <v>120</v>
      </c>
      <c r="B391">
        <f t="shared" si="12"/>
        <v>2.0791812460476247</v>
      </c>
      <c r="C391">
        <f t="shared" si="13"/>
        <v>10.954451150103322</v>
      </c>
    </row>
    <row r="392" spans="1:3" x14ac:dyDescent="0.2">
      <c r="A392" s="3">
        <v>7.7957999999999998</v>
      </c>
      <c r="B392">
        <f t="shared" si="12"/>
        <v>0.8918606888331484</v>
      </c>
      <c r="C392">
        <f t="shared" si="13"/>
        <v>2.792095986888703</v>
      </c>
    </row>
    <row r="393" spans="1:3" x14ac:dyDescent="0.2">
      <c r="A393" s="3">
        <v>7.9249999999999998</v>
      </c>
      <c r="B393">
        <f t="shared" si="12"/>
        <v>0.89899927088978915</v>
      </c>
      <c r="C393">
        <f t="shared" si="13"/>
        <v>2.8151376520518494</v>
      </c>
    </row>
    <row r="394" spans="1:3" x14ac:dyDescent="0.2">
      <c r="A394" s="3">
        <v>113.27500000000001</v>
      </c>
      <c r="B394">
        <f t="shared" si="12"/>
        <v>2.0541340708512235</v>
      </c>
      <c r="C394">
        <f t="shared" si="13"/>
        <v>10.643072864544337</v>
      </c>
    </row>
    <row r="395" spans="1:3" x14ac:dyDescent="0.2">
      <c r="A395" s="3">
        <v>16.7</v>
      </c>
      <c r="B395">
        <f t="shared" si="12"/>
        <v>1.2227164711475833</v>
      </c>
      <c r="C395">
        <f t="shared" si="13"/>
        <v>4.0865633483405102</v>
      </c>
    </row>
    <row r="396" spans="1:3" x14ac:dyDescent="0.2">
      <c r="A396" s="3">
        <v>7.7957999999999998</v>
      </c>
      <c r="B396">
        <f t="shared" si="12"/>
        <v>0.8918606888331484</v>
      </c>
      <c r="C396">
        <f t="shared" si="13"/>
        <v>2.792095986888703</v>
      </c>
    </row>
    <row r="397" spans="1:3" x14ac:dyDescent="0.2">
      <c r="A397" s="3">
        <v>7.8541999999999996</v>
      </c>
      <c r="B397">
        <f t="shared" si="12"/>
        <v>0.89510195598589926</v>
      </c>
      <c r="C397">
        <f t="shared" si="13"/>
        <v>2.8025345671373976</v>
      </c>
    </row>
    <row r="398" spans="1:3" x14ac:dyDescent="0.2">
      <c r="A398" s="3">
        <v>26</v>
      </c>
      <c r="B398">
        <f t="shared" si="12"/>
        <v>1.414973347970818</v>
      </c>
      <c r="C398">
        <f t="shared" si="13"/>
        <v>5.0990195135927845</v>
      </c>
    </row>
    <row r="399" spans="1:3" x14ac:dyDescent="0.2">
      <c r="A399" s="3">
        <v>10.5</v>
      </c>
      <c r="B399">
        <f t="shared" si="12"/>
        <v>1.0211892990699381</v>
      </c>
      <c r="C399">
        <f t="shared" si="13"/>
        <v>3.2403703492039302</v>
      </c>
    </row>
    <row r="400" spans="1:3" x14ac:dyDescent="0.2">
      <c r="A400" s="3">
        <v>12.65</v>
      </c>
      <c r="B400">
        <f t="shared" si="12"/>
        <v>1.1020905255118367</v>
      </c>
      <c r="C400">
        <f t="shared" si="13"/>
        <v>3.5566838487557479</v>
      </c>
    </row>
    <row r="401" spans="1:3" x14ac:dyDescent="0.2">
      <c r="A401" s="3">
        <v>7.9249999999999998</v>
      </c>
      <c r="B401">
        <f t="shared" si="12"/>
        <v>0.89899927088978915</v>
      </c>
      <c r="C401">
        <f t="shared" si="13"/>
        <v>2.8151376520518494</v>
      </c>
    </row>
    <row r="402" spans="1:3" x14ac:dyDescent="0.2">
      <c r="A402" s="3">
        <v>8.0500000000000007</v>
      </c>
      <c r="B402">
        <f t="shared" si="12"/>
        <v>0.90579588036786851</v>
      </c>
      <c r="C402">
        <f t="shared" si="13"/>
        <v>2.8372521918222215</v>
      </c>
    </row>
    <row r="403" spans="1:3" x14ac:dyDescent="0.2">
      <c r="A403" s="3">
        <v>9.8249999999999993</v>
      </c>
      <c r="B403">
        <f t="shared" si="12"/>
        <v>0.99233255904746431</v>
      </c>
      <c r="C403">
        <f t="shared" si="13"/>
        <v>3.1344856037314957</v>
      </c>
    </row>
    <row r="404" spans="1:3" x14ac:dyDescent="0.2">
      <c r="A404" s="3">
        <v>15.85</v>
      </c>
      <c r="B404">
        <f t="shared" si="12"/>
        <v>1.2000292665537702</v>
      </c>
      <c r="C404">
        <f t="shared" si="13"/>
        <v>3.9812058474788765</v>
      </c>
    </row>
    <row r="405" spans="1:3" x14ac:dyDescent="0.2">
      <c r="A405" s="3">
        <v>8.6624999999999996</v>
      </c>
      <c r="B405">
        <f t="shared" si="12"/>
        <v>0.93764324761986317</v>
      </c>
      <c r="C405">
        <f t="shared" si="13"/>
        <v>2.9432125305522874</v>
      </c>
    </row>
    <row r="406" spans="1:3" x14ac:dyDescent="0.2">
      <c r="A406" s="3">
        <v>21</v>
      </c>
      <c r="B406">
        <f t="shared" si="12"/>
        <v>1.3222192947339193</v>
      </c>
      <c r="C406">
        <f t="shared" si="13"/>
        <v>4.5825756949558398</v>
      </c>
    </row>
    <row r="407" spans="1:3" x14ac:dyDescent="0.2">
      <c r="A407" s="3">
        <v>7.75</v>
      </c>
      <c r="B407">
        <f t="shared" si="12"/>
        <v>0.88930170250631024</v>
      </c>
      <c r="C407">
        <f t="shared" si="13"/>
        <v>2.7838821814150108</v>
      </c>
    </row>
    <row r="408" spans="1:3" x14ac:dyDescent="0.2">
      <c r="A408" s="3">
        <v>18.75</v>
      </c>
      <c r="B408">
        <f t="shared" si="12"/>
        <v>1.2730012720637376</v>
      </c>
      <c r="C408">
        <f t="shared" si="13"/>
        <v>4.3301270189221936</v>
      </c>
    </row>
    <row r="409" spans="1:3" x14ac:dyDescent="0.2">
      <c r="A409" s="3">
        <v>7.7750000000000004</v>
      </c>
      <c r="B409">
        <f t="shared" si="12"/>
        <v>0.8907003976988751</v>
      </c>
      <c r="C409">
        <f t="shared" si="13"/>
        <v>2.7883686987197374</v>
      </c>
    </row>
    <row r="410" spans="1:3" x14ac:dyDescent="0.2">
      <c r="A410" s="3">
        <v>25.466699999999999</v>
      </c>
      <c r="B410">
        <f t="shared" si="12"/>
        <v>1.4059726723039303</v>
      </c>
      <c r="C410">
        <f t="shared" si="13"/>
        <v>5.046454200723514</v>
      </c>
    </row>
    <row r="411" spans="1:3" x14ac:dyDescent="0.2">
      <c r="A411" s="3">
        <v>7.8958000000000004</v>
      </c>
      <c r="B411">
        <f t="shared" si="12"/>
        <v>0.89739613915544614</v>
      </c>
      <c r="C411">
        <f t="shared" si="13"/>
        <v>2.8099466187100424</v>
      </c>
    </row>
    <row r="412" spans="1:3" x14ac:dyDescent="0.2">
      <c r="A412" s="3">
        <v>6.8582999999999998</v>
      </c>
      <c r="B412">
        <f t="shared" si="12"/>
        <v>0.83621647837224011</v>
      </c>
      <c r="C412">
        <f t="shared" si="13"/>
        <v>2.6188356191254156</v>
      </c>
    </row>
    <row r="413" spans="1:3" x14ac:dyDescent="0.2">
      <c r="A413" s="3">
        <v>90</v>
      </c>
      <c r="B413">
        <f t="shared" si="12"/>
        <v>1.954242509439325</v>
      </c>
      <c r="C413">
        <f t="shared" si="13"/>
        <v>9.4868329805051381</v>
      </c>
    </row>
    <row r="414" spans="1:3" x14ac:dyDescent="0.2">
      <c r="A414" s="3">
        <v>0</v>
      </c>
      <c r="B414" t="e">
        <f t="shared" si="12"/>
        <v>#NUM!</v>
      </c>
      <c r="C414">
        <f t="shared" si="13"/>
        <v>0</v>
      </c>
    </row>
    <row r="415" spans="1:3" x14ac:dyDescent="0.2">
      <c r="A415" s="3">
        <v>7.9249999999999998</v>
      </c>
      <c r="B415">
        <f t="shared" si="12"/>
        <v>0.89899927088978915</v>
      </c>
      <c r="C415">
        <f t="shared" si="13"/>
        <v>2.8151376520518494</v>
      </c>
    </row>
    <row r="416" spans="1:3" x14ac:dyDescent="0.2">
      <c r="A416" s="3">
        <v>8.0500000000000007</v>
      </c>
      <c r="B416">
        <f t="shared" si="12"/>
        <v>0.90579588036786851</v>
      </c>
      <c r="C416">
        <f t="shared" si="13"/>
        <v>2.8372521918222215</v>
      </c>
    </row>
    <row r="417" spans="1:3" x14ac:dyDescent="0.2">
      <c r="A417" s="3">
        <v>32.5</v>
      </c>
      <c r="B417">
        <f t="shared" si="12"/>
        <v>1.5118833609788744</v>
      </c>
      <c r="C417">
        <f t="shared" si="13"/>
        <v>5.7008771254956896</v>
      </c>
    </row>
    <row r="418" spans="1:3" x14ac:dyDescent="0.2">
      <c r="A418" s="3">
        <v>13</v>
      </c>
      <c r="B418">
        <f t="shared" si="12"/>
        <v>1.1139433523068367</v>
      </c>
      <c r="C418">
        <f t="shared" si="13"/>
        <v>3.6055512754639891</v>
      </c>
    </row>
    <row r="419" spans="1:3" x14ac:dyDescent="0.2">
      <c r="A419" s="3">
        <v>13</v>
      </c>
      <c r="B419">
        <f t="shared" si="12"/>
        <v>1.1139433523068367</v>
      </c>
      <c r="C419">
        <f t="shared" si="13"/>
        <v>3.6055512754639891</v>
      </c>
    </row>
    <row r="420" spans="1:3" x14ac:dyDescent="0.2">
      <c r="A420" s="3">
        <v>24.15</v>
      </c>
      <c r="B420">
        <f t="shared" si="12"/>
        <v>1.3829171350875309</v>
      </c>
      <c r="C420">
        <f t="shared" si="13"/>
        <v>4.914264950122246</v>
      </c>
    </row>
    <row r="421" spans="1:3" x14ac:dyDescent="0.2">
      <c r="A421" s="3">
        <v>7.8958000000000004</v>
      </c>
      <c r="B421">
        <f t="shared" si="12"/>
        <v>0.89739613915544614</v>
      </c>
      <c r="C421">
        <f t="shared" si="13"/>
        <v>2.8099466187100424</v>
      </c>
    </row>
    <row r="422" spans="1:3" x14ac:dyDescent="0.2">
      <c r="A422" s="3">
        <v>7.7332999999999998</v>
      </c>
      <c r="B422">
        <f t="shared" si="12"/>
        <v>0.88836485820822908</v>
      </c>
      <c r="C422">
        <f t="shared" si="13"/>
        <v>2.780881155317501</v>
      </c>
    </row>
    <row r="423" spans="1:3" x14ac:dyDescent="0.2">
      <c r="A423" s="3">
        <v>7.875</v>
      </c>
      <c r="B423">
        <f t="shared" si="12"/>
        <v>0.89625056246163814</v>
      </c>
      <c r="C423">
        <f t="shared" si="13"/>
        <v>2.8062430400804561</v>
      </c>
    </row>
    <row r="424" spans="1:3" x14ac:dyDescent="0.2">
      <c r="A424" s="3">
        <v>14.4</v>
      </c>
      <c r="B424">
        <f t="shared" si="12"/>
        <v>1.1583624920952498</v>
      </c>
      <c r="C424">
        <f t="shared" si="13"/>
        <v>3.7947331922020551</v>
      </c>
    </row>
    <row r="425" spans="1:3" x14ac:dyDescent="0.2">
      <c r="A425" s="3">
        <v>20.212499999999999</v>
      </c>
      <c r="B425">
        <f t="shared" si="12"/>
        <v>1.3056200329144576</v>
      </c>
      <c r="C425">
        <f t="shared" si="13"/>
        <v>4.4958314025327946</v>
      </c>
    </row>
    <row r="426" spans="1:3" x14ac:dyDescent="0.2">
      <c r="A426" s="3">
        <v>7.25</v>
      </c>
      <c r="B426">
        <f t="shared" si="12"/>
        <v>0.86033800657099369</v>
      </c>
      <c r="C426">
        <f t="shared" si="13"/>
        <v>2.6925824035672519</v>
      </c>
    </row>
    <row r="427" spans="1:3" x14ac:dyDescent="0.2">
      <c r="A427" s="3">
        <v>26</v>
      </c>
      <c r="B427">
        <f t="shared" si="12"/>
        <v>1.414973347970818</v>
      </c>
      <c r="C427">
        <f t="shared" si="13"/>
        <v>5.0990195135927845</v>
      </c>
    </row>
    <row r="428" spans="1:3" x14ac:dyDescent="0.2">
      <c r="A428" s="3">
        <v>26</v>
      </c>
      <c r="B428">
        <f t="shared" si="12"/>
        <v>1.414973347970818</v>
      </c>
      <c r="C428">
        <f t="shared" si="13"/>
        <v>5.0990195135927845</v>
      </c>
    </row>
    <row r="429" spans="1:3" x14ac:dyDescent="0.2">
      <c r="A429" s="3">
        <v>7.75</v>
      </c>
      <c r="B429">
        <f t="shared" si="12"/>
        <v>0.88930170250631024</v>
      </c>
      <c r="C429">
        <f t="shared" si="13"/>
        <v>2.7838821814150108</v>
      </c>
    </row>
    <row r="430" spans="1:3" x14ac:dyDescent="0.2">
      <c r="A430" s="3">
        <v>8.0500000000000007</v>
      </c>
      <c r="B430">
        <f t="shared" si="12"/>
        <v>0.90579588036786851</v>
      </c>
      <c r="C430">
        <f t="shared" si="13"/>
        <v>2.8372521918222215</v>
      </c>
    </row>
    <row r="431" spans="1:3" x14ac:dyDescent="0.2">
      <c r="A431" s="3">
        <v>26.55</v>
      </c>
      <c r="B431">
        <f t="shared" si="12"/>
        <v>1.424064525417488</v>
      </c>
      <c r="C431">
        <f t="shared" si="13"/>
        <v>5.1526692111953007</v>
      </c>
    </row>
    <row r="432" spans="1:3" x14ac:dyDescent="0.2">
      <c r="A432" s="3">
        <v>16.100000000000001</v>
      </c>
      <c r="B432">
        <f t="shared" si="12"/>
        <v>1.2068258760318498</v>
      </c>
      <c r="C432">
        <f t="shared" si="13"/>
        <v>4.0124805295477763</v>
      </c>
    </row>
    <row r="433" spans="1:3" x14ac:dyDescent="0.2">
      <c r="A433" s="3">
        <v>26</v>
      </c>
      <c r="B433">
        <f t="shared" si="12"/>
        <v>1.414973347970818</v>
      </c>
      <c r="C433">
        <f t="shared" si="13"/>
        <v>5.0990195135927845</v>
      </c>
    </row>
    <row r="434" spans="1:3" x14ac:dyDescent="0.2">
      <c r="A434" s="3">
        <v>7.125</v>
      </c>
      <c r="B434">
        <f t="shared" si="12"/>
        <v>0.85278486868054781</v>
      </c>
      <c r="C434">
        <f t="shared" si="13"/>
        <v>2.6692695630078278</v>
      </c>
    </row>
    <row r="435" spans="1:3" x14ac:dyDescent="0.2">
      <c r="A435" s="3">
        <v>55.9</v>
      </c>
      <c r="B435">
        <f t="shared" si="12"/>
        <v>1.7474118078864234</v>
      </c>
      <c r="C435">
        <f t="shared" si="13"/>
        <v>7.4766302570074972</v>
      </c>
    </row>
    <row r="436" spans="1:3" x14ac:dyDescent="0.2">
      <c r="A436" s="3">
        <v>120</v>
      </c>
      <c r="B436">
        <f t="shared" si="12"/>
        <v>2.0791812460476247</v>
      </c>
      <c r="C436">
        <f t="shared" si="13"/>
        <v>10.954451150103322</v>
      </c>
    </row>
    <row r="437" spans="1:3" x14ac:dyDescent="0.2">
      <c r="A437" s="3">
        <v>34.375</v>
      </c>
      <c r="B437">
        <f t="shared" si="12"/>
        <v>1.5362427068383191</v>
      </c>
      <c r="C437">
        <f t="shared" si="13"/>
        <v>5.8630196997792874</v>
      </c>
    </row>
    <row r="438" spans="1:3" x14ac:dyDescent="0.2">
      <c r="A438" s="3">
        <v>18.75</v>
      </c>
      <c r="B438">
        <f t="shared" si="12"/>
        <v>1.2730012720637376</v>
      </c>
      <c r="C438">
        <f t="shared" si="13"/>
        <v>4.3301270189221936</v>
      </c>
    </row>
    <row r="439" spans="1:3" x14ac:dyDescent="0.2">
      <c r="A439" s="3">
        <v>263</v>
      </c>
      <c r="B439">
        <f t="shared" si="12"/>
        <v>2.419955748489758</v>
      </c>
      <c r="C439">
        <f t="shared" si="13"/>
        <v>16.217274740226856</v>
      </c>
    </row>
    <row r="440" spans="1:3" x14ac:dyDescent="0.2">
      <c r="A440" s="3">
        <v>10.5</v>
      </c>
      <c r="B440">
        <f t="shared" si="12"/>
        <v>1.0211892990699381</v>
      </c>
      <c r="C440">
        <f t="shared" si="13"/>
        <v>3.2403703492039302</v>
      </c>
    </row>
    <row r="441" spans="1:3" x14ac:dyDescent="0.2">
      <c r="A441" s="3">
        <v>26.25</v>
      </c>
      <c r="B441">
        <f t="shared" si="12"/>
        <v>1.4191293077419758</v>
      </c>
      <c r="C441">
        <f t="shared" si="13"/>
        <v>5.123475382979799</v>
      </c>
    </row>
    <row r="442" spans="1:3" x14ac:dyDescent="0.2">
      <c r="A442" s="3">
        <v>9.5</v>
      </c>
      <c r="B442">
        <f t="shared" si="12"/>
        <v>0.97772360528884772</v>
      </c>
      <c r="C442">
        <f t="shared" si="13"/>
        <v>3.082207001484488</v>
      </c>
    </row>
    <row r="443" spans="1:3" x14ac:dyDescent="0.2">
      <c r="A443" s="3">
        <v>7.7750000000000004</v>
      </c>
      <c r="B443">
        <f t="shared" si="12"/>
        <v>0.8907003976988751</v>
      </c>
      <c r="C443">
        <f t="shared" si="13"/>
        <v>2.7883686987197374</v>
      </c>
    </row>
    <row r="444" spans="1:3" x14ac:dyDescent="0.2">
      <c r="A444" s="3">
        <v>13</v>
      </c>
      <c r="B444">
        <f t="shared" si="12"/>
        <v>1.1139433523068367</v>
      </c>
      <c r="C444">
        <f t="shared" si="13"/>
        <v>3.6055512754639891</v>
      </c>
    </row>
    <row r="445" spans="1:3" x14ac:dyDescent="0.2">
      <c r="A445" s="3">
        <v>8.1125000000000007</v>
      </c>
      <c r="B445">
        <f t="shared" si="12"/>
        <v>0.90915470980842572</v>
      </c>
      <c r="C445">
        <f t="shared" si="13"/>
        <v>2.8482450737252227</v>
      </c>
    </row>
    <row r="446" spans="1:3" x14ac:dyDescent="0.2">
      <c r="A446" s="3">
        <v>81.8583</v>
      </c>
      <c r="B446">
        <f t="shared" si="12"/>
        <v>1.9130627211511082</v>
      </c>
      <c r="C446">
        <f t="shared" si="13"/>
        <v>9.0475576814961514</v>
      </c>
    </row>
    <row r="447" spans="1:3" x14ac:dyDescent="0.2">
      <c r="A447" s="3">
        <v>19.5</v>
      </c>
      <c r="B447">
        <f t="shared" si="12"/>
        <v>1.2900346113625181</v>
      </c>
      <c r="C447">
        <f t="shared" si="13"/>
        <v>4.4158804331639239</v>
      </c>
    </row>
    <row r="448" spans="1:3" x14ac:dyDescent="0.2">
      <c r="A448" s="3">
        <v>26.55</v>
      </c>
      <c r="B448">
        <f t="shared" si="12"/>
        <v>1.424064525417488</v>
      </c>
      <c r="C448">
        <f t="shared" si="13"/>
        <v>5.1526692111953007</v>
      </c>
    </row>
    <row r="449" spans="1:3" x14ac:dyDescent="0.2">
      <c r="A449" s="3">
        <v>19.258299999999998</v>
      </c>
      <c r="B449">
        <f t="shared" si="12"/>
        <v>1.2846179477311681</v>
      </c>
      <c r="C449">
        <f t="shared" si="13"/>
        <v>4.3884279645449347</v>
      </c>
    </row>
    <row r="450" spans="1:3" x14ac:dyDescent="0.2">
      <c r="A450" s="3">
        <v>30.5</v>
      </c>
      <c r="B450">
        <f t="shared" ref="B450:B513" si="14">LOG10(A450)</f>
        <v>1.4842998393467859</v>
      </c>
      <c r="C450">
        <f t="shared" ref="C450:C513" si="15">SQRT(A450)</f>
        <v>5.5226805085936306</v>
      </c>
    </row>
    <row r="451" spans="1:3" x14ac:dyDescent="0.2">
      <c r="A451" s="3">
        <v>27.75</v>
      </c>
      <c r="B451">
        <f t="shared" si="14"/>
        <v>1.4432629874586951</v>
      </c>
      <c r="C451">
        <f t="shared" si="15"/>
        <v>5.2678268764263692</v>
      </c>
    </row>
    <row r="452" spans="1:3" x14ac:dyDescent="0.2">
      <c r="A452" s="3">
        <v>19.966699999999999</v>
      </c>
      <c r="B452">
        <f t="shared" si="14"/>
        <v>1.3003062927015678</v>
      </c>
      <c r="C452">
        <f t="shared" si="15"/>
        <v>4.4684113508046686</v>
      </c>
    </row>
    <row r="453" spans="1:3" x14ac:dyDescent="0.2">
      <c r="A453" s="3">
        <v>27.75</v>
      </c>
      <c r="B453">
        <f t="shared" si="14"/>
        <v>1.4432629874586951</v>
      </c>
      <c r="C453">
        <f t="shared" si="15"/>
        <v>5.2678268764263692</v>
      </c>
    </row>
    <row r="454" spans="1:3" x14ac:dyDescent="0.2">
      <c r="A454" s="3">
        <v>89.104200000000006</v>
      </c>
      <c r="B454">
        <f t="shared" si="14"/>
        <v>1.9498981753481495</v>
      </c>
      <c r="C454">
        <f t="shared" si="15"/>
        <v>9.439502105513828</v>
      </c>
    </row>
    <row r="455" spans="1:3" x14ac:dyDescent="0.2">
      <c r="A455" s="3">
        <v>8.0500000000000007</v>
      </c>
      <c r="B455">
        <f t="shared" si="14"/>
        <v>0.90579588036786851</v>
      </c>
      <c r="C455">
        <f t="shared" si="15"/>
        <v>2.8372521918222215</v>
      </c>
    </row>
    <row r="456" spans="1:3" x14ac:dyDescent="0.2">
      <c r="A456" s="3">
        <v>7.8958000000000004</v>
      </c>
      <c r="B456">
        <f t="shared" si="14"/>
        <v>0.89739613915544614</v>
      </c>
      <c r="C456">
        <f t="shared" si="15"/>
        <v>2.8099466187100424</v>
      </c>
    </row>
    <row r="457" spans="1:3" x14ac:dyDescent="0.2">
      <c r="A457" s="3">
        <v>26.55</v>
      </c>
      <c r="B457">
        <f t="shared" si="14"/>
        <v>1.424064525417488</v>
      </c>
      <c r="C457">
        <f t="shared" si="15"/>
        <v>5.1526692111953007</v>
      </c>
    </row>
    <row r="458" spans="1:3" x14ac:dyDescent="0.2">
      <c r="A458" s="3">
        <v>51.862499999999997</v>
      </c>
      <c r="B458">
        <f t="shared" si="14"/>
        <v>1.7148534478370294</v>
      </c>
      <c r="C458">
        <f t="shared" si="15"/>
        <v>7.2015623304946823</v>
      </c>
    </row>
    <row r="459" spans="1:3" x14ac:dyDescent="0.2">
      <c r="A459" s="3">
        <v>10.5</v>
      </c>
      <c r="B459">
        <f t="shared" si="14"/>
        <v>1.0211892990699381</v>
      </c>
      <c r="C459">
        <f t="shared" si="15"/>
        <v>3.2403703492039302</v>
      </c>
    </row>
    <row r="460" spans="1:3" x14ac:dyDescent="0.2">
      <c r="A460" s="3">
        <v>7.75</v>
      </c>
      <c r="B460">
        <f t="shared" si="14"/>
        <v>0.88930170250631024</v>
      </c>
      <c r="C460">
        <f t="shared" si="15"/>
        <v>2.7838821814150108</v>
      </c>
    </row>
    <row r="461" spans="1:3" x14ac:dyDescent="0.2">
      <c r="A461" s="3">
        <v>26.55</v>
      </c>
      <c r="B461">
        <f t="shared" si="14"/>
        <v>1.424064525417488</v>
      </c>
      <c r="C461">
        <f t="shared" si="15"/>
        <v>5.1526692111953007</v>
      </c>
    </row>
    <row r="462" spans="1:3" x14ac:dyDescent="0.2">
      <c r="A462" s="3">
        <v>8.0500000000000007</v>
      </c>
      <c r="B462">
        <f t="shared" si="14"/>
        <v>0.90579588036786851</v>
      </c>
      <c r="C462">
        <f t="shared" si="15"/>
        <v>2.8372521918222215</v>
      </c>
    </row>
    <row r="463" spans="1:3" x14ac:dyDescent="0.2">
      <c r="A463" s="3">
        <v>38.5</v>
      </c>
      <c r="B463">
        <f t="shared" si="14"/>
        <v>1.5854607295085006</v>
      </c>
      <c r="C463">
        <f t="shared" si="15"/>
        <v>6.2048368229954285</v>
      </c>
    </row>
    <row r="464" spans="1:3" x14ac:dyDescent="0.2">
      <c r="A464" s="3">
        <v>13</v>
      </c>
      <c r="B464">
        <f t="shared" si="14"/>
        <v>1.1139433523068367</v>
      </c>
      <c r="C464">
        <f t="shared" si="15"/>
        <v>3.6055512754639891</v>
      </c>
    </row>
    <row r="465" spans="1:3" x14ac:dyDescent="0.2">
      <c r="A465" s="3">
        <v>8.0500000000000007</v>
      </c>
      <c r="B465">
        <f t="shared" si="14"/>
        <v>0.90579588036786851</v>
      </c>
      <c r="C465">
        <f t="shared" si="15"/>
        <v>2.8372521918222215</v>
      </c>
    </row>
    <row r="466" spans="1:3" x14ac:dyDescent="0.2">
      <c r="A466" s="3">
        <v>7.05</v>
      </c>
      <c r="B466">
        <f t="shared" si="14"/>
        <v>0.84818911699139865</v>
      </c>
      <c r="C466">
        <f t="shared" si="15"/>
        <v>2.6551836094703507</v>
      </c>
    </row>
    <row r="467" spans="1:3" x14ac:dyDescent="0.2">
      <c r="A467" s="3">
        <v>0</v>
      </c>
      <c r="B467" t="e">
        <f t="shared" si="14"/>
        <v>#NUM!</v>
      </c>
      <c r="C467">
        <f t="shared" si="15"/>
        <v>0</v>
      </c>
    </row>
    <row r="468" spans="1:3" x14ac:dyDescent="0.2">
      <c r="A468" s="3">
        <v>26.55</v>
      </c>
      <c r="B468">
        <f t="shared" si="14"/>
        <v>1.424064525417488</v>
      </c>
      <c r="C468">
        <f t="shared" si="15"/>
        <v>5.1526692111953007</v>
      </c>
    </row>
    <row r="469" spans="1:3" x14ac:dyDescent="0.2">
      <c r="A469" s="3">
        <v>7.7249999999999996</v>
      </c>
      <c r="B469">
        <f t="shared" si="14"/>
        <v>0.88789848809687222</v>
      </c>
      <c r="C469">
        <f t="shared" si="15"/>
        <v>2.7793884219374592</v>
      </c>
    </row>
    <row r="470" spans="1:3" x14ac:dyDescent="0.2">
      <c r="A470" s="3">
        <v>19.258299999999998</v>
      </c>
      <c r="B470">
        <f t="shared" si="14"/>
        <v>1.2846179477311681</v>
      </c>
      <c r="C470">
        <f t="shared" si="15"/>
        <v>4.3884279645449347</v>
      </c>
    </row>
    <row r="471" spans="1:3" x14ac:dyDescent="0.2">
      <c r="A471" s="3">
        <v>7.25</v>
      </c>
      <c r="B471">
        <f t="shared" si="14"/>
        <v>0.86033800657099369</v>
      </c>
      <c r="C471">
        <f t="shared" si="15"/>
        <v>2.6925824035672519</v>
      </c>
    </row>
    <row r="472" spans="1:3" x14ac:dyDescent="0.2">
      <c r="A472" s="3">
        <v>8.6624999999999996</v>
      </c>
      <c r="B472">
        <f t="shared" si="14"/>
        <v>0.93764324761986317</v>
      </c>
      <c r="C472">
        <f t="shared" si="15"/>
        <v>2.9432125305522874</v>
      </c>
    </row>
    <row r="473" spans="1:3" x14ac:dyDescent="0.2">
      <c r="A473" s="3">
        <v>27.75</v>
      </c>
      <c r="B473">
        <f t="shared" si="14"/>
        <v>1.4432629874586951</v>
      </c>
      <c r="C473">
        <f t="shared" si="15"/>
        <v>5.2678268764263692</v>
      </c>
    </row>
    <row r="474" spans="1:3" x14ac:dyDescent="0.2">
      <c r="A474" s="3">
        <v>13.791700000000001</v>
      </c>
      <c r="B474">
        <f t="shared" si="14"/>
        <v>1.1396178017171812</v>
      </c>
      <c r="C474">
        <f t="shared" si="15"/>
        <v>3.713717813727909</v>
      </c>
    </row>
    <row r="475" spans="1:3" x14ac:dyDescent="0.2">
      <c r="A475" s="3">
        <v>9.8375000000000004</v>
      </c>
      <c r="B475">
        <f t="shared" si="14"/>
        <v>0.99288474536712101</v>
      </c>
      <c r="C475">
        <f t="shared" si="15"/>
        <v>3.1364789175124388</v>
      </c>
    </row>
    <row r="476" spans="1:3" x14ac:dyDescent="0.2">
      <c r="A476" s="3">
        <v>52</v>
      </c>
      <c r="B476">
        <f t="shared" si="14"/>
        <v>1.7160033436347992</v>
      </c>
      <c r="C476">
        <f t="shared" si="15"/>
        <v>7.2111025509279782</v>
      </c>
    </row>
    <row r="477" spans="1:3" x14ac:dyDescent="0.2">
      <c r="A477" s="3">
        <v>21</v>
      </c>
      <c r="B477">
        <f t="shared" si="14"/>
        <v>1.3222192947339193</v>
      </c>
      <c r="C477">
        <f t="shared" si="15"/>
        <v>4.5825756949558398</v>
      </c>
    </row>
    <row r="478" spans="1:3" x14ac:dyDescent="0.2">
      <c r="A478" s="3">
        <v>7.0457999999999998</v>
      </c>
      <c r="B478">
        <f t="shared" si="14"/>
        <v>0.84793031126515772</v>
      </c>
      <c r="C478">
        <f t="shared" si="15"/>
        <v>2.654392585884763</v>
      </c>
    </row>
    <row r="479" spans="1:3" x14ac:dyDescent="0.2">
      <c r="A479" s="3">
        <v>7.5208000000000004</v>
      </c>
      <c r="B479">
        <f t="shared" si="14"/>
        <v>0.87626403967491584</v>
      </c>
      <c r="C479">
        <f t="shared" si="15"/>
        <v>2.7424077012727337</v>
      </c>
    </row>
    <row r="480" spans="1:3" x14ac:dyDescent="0.2">
      <c r="A480" s="3">
        <v>12.2875</v>
      </c>
      <c r="B480">
        <f t="shared" si="14"/>
        <v>1.0894635308401921</v>
      </c>
      <c r="C480">
        <f t="shared" si="15"/>
        <v>3.5053530492662217</v>
      </c>
    </row>
    <row r="481" spans="1:3" x14ac:dyDescent="0.2">
      <c r="A481" s="3">
        <v>46.9</v>
      </c>
      <c r="B481">
        <f t="shared" si="14"/>
        <v>1.6711728427150832</v>
      </c>
      <c r="C481">
        <f t="shared" si="15"/>
        <v>6.8483574673055729</v>
      </c>
    </row>
    <row r="482" spans="1:3" x14ac:dyDescent="0.2">
      <c r="A482" s="3">
        <v>0</v>
      </c>
      <c r="B482" t="e">
        <f t="shared" si="14"/>
        <v>#NUM!</v>
      </c>
      <c r="C482">
        <f t="shared" si="15"/>
        <v>0</v>
      </c>
    </row>
    <row r="483" spans="1:3" x14ac:dyDescent="0.2">
      <c r="A483" s="3">
        <v>8.0500000000000007</v>
      </c>
      <c r="B483">
        <f t="shared" si="14"/>
        <v>0.90579588036786851</v>
      </c>
      <c r="C483">
        <f t="shared" si="15"/>
        <v>2.8372521918222215</v>
      </c>
    </row>
    <row r="484" spans="1:3" x14ac:dyDescent="0.2">
      <c r="A484" s="3">
        <v>9.5875000000000004</v>
      </c>
      <c r="B484">
        <f t="shared" si="14"/>
        <v>0.98170537695703741</v>
      </c>
      <c r="C484">
        <f t="shared" si="15"/>
        <v>3.0963688410782071</v>
      </c>
    </row>
    <row r="485" spans="1:3" x14ac:dyDescent="0.2">
      <c r="A485" s="3">
        <v>91.0792</v>
      </c>
      <c r="B485">
        <f t="shared" si="14"/>
        <v>1.959419207306397</v>
      </c>
      <c r="C485">
        <f t="shared" si="15"/>
        <v>9.5435423192858533</v>
      </c>
    </row>
    <row r="486" spans="1:3" x14ac:dyDescent="0.2">
      <c r="A486" s="3">
        <v>25.466699999999999</v>
      </c>
      <c r="B486">
        <f t="shared" si="14"/>
        <v>1.4059726723039303</v>
      </c>
      <c r="C486">
        <f t="shared" si="15"/>
        <v>5.046454200723514</v>
      </c>
    </row>
    <row r="487" spans="1:3" x14ac:dyDescent="0.2">
      <c r="A487" s="3">
        <v>90</v>
      </c>
      <c r="B487">
        <f t="shared" si="14"/>
        <v>1.954242509439325</v>
      </c>
      <c r="C487">
        <f t="shared" si="15"/>
        <v>9.4868329805051381</v>
      </c>
    </row>
    <row r="488" spans="1:3" x14ac:dyDescent="0.2">
      <c r="A488" s="3">
        <v>29.7</v>
      </c>
      <c r="B488">
        <f t="shared" si="14"/>
        <v>1.4727564493172123</v>
      </c>
      <c r="C488">
        <f t="shared" si="15"/>
        <v>5.4497706373754848</v>
      </c>
    </row>
    <row r="489" spans="1:3" x14ac:dyDescent="0.2">
      <c r="A489" s="3">
        <v>8.0500000000000007</v>
      </c>
      <c r="B489">
        <f t="shared" si="14"/>
        <v>0.90579588036786851</v>
      </c>
      <c r="C489">
        <f t="shared" si="15"/>
        <v>2.8372521918222215</v>
      </c>
    </row>
    <row r="490" spans="1:3" x14ac:dyDescent="0.2">
      <c r="A490" s="3">
        <v>15.9</v>
      </c>
      <c r="B490">
        <f t="shared" si="14"/>
        <v>1.2013971243204515</v>
      </c>
      <c r="C490">
        <f t="shared" si="15"/>
        <v>3.9874804074753771</v>
      </c>
    </row>
    <row r="491" spans="1:3" x14ac:dyDescent="0.2">
      <c r="A491" s="3">
        <v>19.966699999999999</v>
      </c>
      <c r="B491">
        <f t="shared" si="14"/>
        <v>1.3003062927015678</v>
      </c>
      <c r="C491">
        <f t="shared" si="15"/>
        <v>4.4684113508046686</v>
      </c>
    </row>
    <row r="492" spans="1:3" x14ac:dyDescent="0.2">
      <c r="A492" s="3">
        <v>7.25</v>
      </c>
      <c r="B492">
        <f t="shared" si="14"/>
        <v>0.86033800657099369</v>
      </c>
      <c r="C492">
        <f t="shared" si="15"/>
        <v>2.6925824035672519</v>
      </c>
    </row>
    <row r="493" spans="1:3" x14ac:dyDescent="0.2">
      <c r="A493" s="3">
        <v>30.5</v>
      </c>
      <c r="B493">
        <f t="shared" si="14"/>
        <v>1.4842998393467859</v>
      </c>
      <c r="C493">
        <f t="shared" si="15"/>
        <v>5.5226805085936306</v>
      </c>
    </row>
    <row r="494" spans="1:3" x14ac:dyDescent="0.2">
      <c r="A494" s="3">
        <v>49.504199999999997</v>
      </c>
      <c r="B494">
        <f t="shared" si="14"/>
        <v>1.6946420465991241</v>
      </c>
      <c r="C494">
        <f t="shared" si="15"/>
        <v>7.0359221144068957</v>
      </c>
    </row>
    <row r="495" spans="1:3" x14ac:dyDescent="0.2">
      <c r="A495" s="3">
        <v>8.0500000000000007</v>
      </c>
      <c r="B495">
        <f t="shared" si="14"/>
        <v>0.90579588036786851</v>
      </c>
      <c r="C495">
        <f t="shared" si="15"/>
        <v>2.8372521918222215</v>
      </c>
    </row>
    <row r="496" spans="1:3" x14ac:dyDescent="0.2">
      <c r="A496" s="3">
        <v>14.458299999999999</v>
      </c>
      <c r="B496">
        <f t="shared" si="14"/>
        <v>1.1601172318228239</v>
      </c>
      <c r="C496">
        <f t="shared" si="15"/>
        <v>3.802407132330782</v>
      </c>
    </row>
    <row r="497" spans="1:3" x14ac:dyDescent="0.2">
      <c r="A497" s="3">
        <v>78.2667</v>
      </c>
      <c r="B497">
        <f t="shared" si="14"/>
        <v>1.8935770228194533</v>
      </c>
      <c r="C497">
        <f t="shared" si="15"/>
        <v>8.8468468959285147</v>
      </c>
    </row>
    <row r="498" spans="1:3" x14ac:dyDescent="0.2">
      <c r="A498" s="3">
        <v>15.1</v>
      </c>
      <c r="B498">
        <f t="shared" si="14"/>
        <v>1.1789769472931695</v>
      </c>
      <c r="C498">
        <f t="shared" si="15"/>
        <v>3.8858718455450894</v>
      </c>
    </row>
    <row r="499" spans="1:3" x14ac:dyDescent="0.2">
      <c r="A499" s="3">
        <v>151.55000000000001</v>
      </c>
      <c r="B499">
        <f t="shared" si="14"/>
        <v>2.1805559407036412</v>
      </c>
      <c r="C499">
        <f t="shared" si="15"/>
        <v>12.310564568694646</v>
      </c>
    </row>
    <row r="500" spans="1:3" x14ac:dyDescent="0.2">
      <c r="A500" s="3">
        <v>7.7957999999999998</v>
      </c>
      <c r="B500">
        <f t="shared" si="14"/>
        <v>0.8918606888331484</v>
      </c>
      <c r="C500">
        <f t="shared" si="15"/>
        <v>2.792095986888703</v>
      </c>
    </row>
    <row r="501" spans="1:3" x14ac:dyDescent="0.2">
      <c r="A501" s="3">
        <v>8.6624999999999996</v>
      </c>
      <c r="B501">
        <f t="shared" si="14"/>
        <v>0.93764324761986317</v>
      </c>
      <c r="C501">
        <f t="shared" si="15"/>
        <v>2.9432125305522874</v>
      </c>
    </row>
    <row r="502" spans="1:3" x14ac:dyDescent="0.2">
      <c r="A502" s="3">
        <v>7.75</v>
      </c>
      <c r="B502">
        <f t="shared" si="14"/>
        <v>0.88930170250631024</v>
      </c>
      <c r="C502">
        <f t="shared" si="15"/>
        <v>2.7838821814150108</v>
      </c>
    </row>
    <row r="503" spans="1:3" x14ac:dyDescent="0.2">
      <c r="A503" s="3">
        <v>7.6292</v>
      </c>
      <c r="B503">
        <f t="shared" si="14"/>
        <v>0.88247900010416214</v>
      </c>
      <c r="C503">
        <f t="shared" si="15"/>
        <v>2.7621006498677776</v>
      </c>
    </row>
    <row r="504" spans="1:3" x14ac:dyDescent="0.2">
      <c r="A504" s="3">
        <v>9.5875000000000004</v>
      </c>
      <c r="B504">
        <f t="shared" si="14"/>
        <v>0.98170537695703741</v>
      </c>
      <c r="C504">
        <f t="shared" si="15"/>
        <v>3.0963688410782071</v>
      </c>
    </row>
    <row r="505" spans="1:3" x14ac:dyDescent="0.2">
      <c r="A505" s="3">
        <v>86.5</v>
      </c>
      <c r="B505">
        <f t="shared" si="14"/>
        <v>1.9370161074648142</v>
      </c>
      <c r="C505">
        <f t="shared" si="15"/>
        <v>9.3005376188691375</v>
      </c>
    </row>
    <row r="506" spans="1:3" x14ac:dyDescent="0.2">
      <c r="A506" s="3">
        <v>108.9</v>
      </c>
      <c r="B506">
        <f t="shared" si="14"/>
        <v>2.037027879755775</v>
      </c>
      <c r="C506">
        <f t="shared" si="15"/>
        <v>10.435516278555651</v>
      </c>
    </row>
    <row r="507" spans="1:3" x14ac:dyDescent="0.2">
      <c r="A507" s="3">
        <v>26</v>
      </c>
      <c r="B507">
        <f t="shared" si="14"/>
        <v>1.414973347970818</v>
      </c>
      <c r="C507">
        <f t="shared" si="15"/>
        <v>5.0990195135927845</v>
      </c>
    </row>
    <row r="508" spans="1:3" x14ac:dyDescent="0.2">
      <c r="A508" s="3">
        <v>26.55</v>
      </c>
      <c r="B508">
        <f t="shared" si="14"/>
        <v>1.424064525417488</v>
      </c>
      <c r="C508">
        <f t="shared" si="15"/>
        <v>5.1526692111953007</v>
      </c>
    </row>
    <row r="509" spans="1:3" x14ac:dyDescent="0.2">
      <c r="A509" s="3">
        <v>22.524999999999999</v>
      </c>
      <c r="B509">
        <f t="shared" si="14"/>
        <v>1.3526647996511005</v>
      </c>
      <c r="C509">
        <f t="shared" si="15"/>
        <v>4.746050990033714</v>
      </c>
    </row>
    <row r="510" spans="1:3" x14ac:dyDescent="0.2">
      <c r="A510" s="3">
        <v>56.495800000000003</v>
      </c>
      <c r="B510">
        <f t="shared" si="14"/>
        <v>1.752016162781856</v>
      </c>
      <c r="C510">
        <f t="shared" si="15"/>
        <v>7.5163688041500469</v>
      </c>
    </row>
    <row r="511" spans="1:3" x14ac:dyDescent="0.2">
      <c r="A511" s="3">
        <v>7.75</v>
      </c>
      <c r="B511">
        <f t="shared" si="14"/>
        <v>0.88930170250631024</v>
      </c>
      <c r="C511">
        <f t="shared" si="15"/>
        <v>2.7838821814150108</v>
      </c>
    </row>
    <row r="512" spans="1:3" x14ac:dyDescent="0.2">
      <c r="A512" s="3">
        <v>8.0500000000000007</v>
      </c>
      <c r="B512">
        <f t="shared" si="14"/>
        <v>0.90579588036786851</v>
      </c>
      <c r="C512">
        <f t="shared" si="15"/>
        <v>2.8372521918222215</v>
      </c>
    </row>
    <row r="513" spans="1:3" x14ac:dyDescent="0.2">
      <c r="A513" s="3">
        <v>26.287500000000001</v>
      </c>
      <c r="B513">
        <f t="shared" si="14"/>
        <v>1.4197492856943776</v>
      </c>
      <c r="C513">
        <f t="shared" si="15"/>
        <v>5.1271337021770753</v>
      </c>
    </row>
    <row r="514" spans="1:3" x14ac:dyDescent="0.2">
      <c r="A514" s="3">
        <v>59.4</v>
      </c>
      <c r="B514">
        <f t="shared" ref="B514:B577" si="16">LOG10(A514)</f>
        <v>1.7737864449811935</v>
      </c>
      <c r="C514">
        <f t="shared" ref="C514:C577" si="17">SQRT(A514)</f>
        <v>7.7071395471990769</v>
      </c>
    </row>
    <row r="515" spans="1:3" x14ac:dyDescent="0.2">
      <c r="A515" s="3">
        <v>7.4958</v>
      </c>
      <c r="B515">
        <f t="shared" si="16"/>
        <v>0.87481799035902574</v>
      </c>
      <c r="C515">
        <f t="shared" si="17"/>
        <v>2.7378458685616325</v>
      </c>
    </row>
    <row r="516" spans="1:3" x14ac:dyDescent="0.2">
      <c r="A516" s="3">
        <v>34.020800000000001</v>
      </c>
      <c r="B516">
        <f t="shared" si="16"/>
        <v>1.5317445218427028</v>
      </c>
      <c r="C516">
        <f t="shared" si="17"/>
        <v>5.8327352074305585</v>
      </c>
    </row>
    <row r="517" spans="1:3" x14ac:dyDescent="0.2">
      <c r="A517" s="3">
        <v>10.5</v>
      </c>
      <c r="B517">
        <f t="shared" si="16"/>
        <v>1.0211892990699381</v>
      </c>
      <c r="C517">
        <f t="shared" si="17"/>
        <v>3.2403703492039302</v>
      </c>
    </row>
    <row r="518" spans="1:3" x14ac:dyDescent="0.2">
      <c r="A518" s="3">
        <v>24.15</v>
      </c>
      <c r="B518">
        <f t="shared" si="16"/>
        <v>1.3829171350875309</v>
      </c>
      <c r="C518">
        <f t="shared" si="17"/>
        <v>4.914264950122246</v>
      </c>
    </row>
    <row r="519" spans="1:3" x14ac:dyDescent="0.2">
      <c r="A519" s="3">
        <v>26</v>
      </c>
      <c r="B519">
        <f t="shared" si="16"/>
        <v>1.414973347970818</v>
      </c>
      <c r="C519">
        <f t="shared" si="17"/>
        <v>5.0990195135927845</v>
      </c>
    </row>
    <row r="520" spans="1:3" x14ac:dyDescent="0.2">
      <c r="A520" s="3">
        <v>7.8958000000000004</v>
      </c>
      <c r="B520">
        <f t="shared" si="16"/>
        <v>0.89739613915544614</v>
      </c>
      <c r="C520">
        <f t="shared" si="17"/>
        <v>2.8099466187100424</v>
      </c>
    </row>
    <row r="521" spans="1:3" x14ac:dyDescent="0.2">
      <c r="A521" s="3">
        <v>93.5</v>
      </c>
      <c r="B521">
        <f t="shared" si="16"/>
        <v>1.9708116108725178</v>
      </c>
      <c r="C521">
        <f t="shared" si="17"/>
        <v>9.6695398029068578</v>
      </c>
    </row>
    <row r="522" spans="1:3" x14ac:dyDescent="0.2">
      <c r="A522" s="3">
        <v>7.8958000000000004</v>
      </c>
      <c r="B522">
        <f t="shared" si="16"/>
        <v>0.89739613915544614</v>
      </c>
      <c r="C522">
        <f t="shared" si="17"/>
        <v>2.8099466187100424</v>
      </c>
    </row>
    <row r="523" spans="1:3" x14ac:dyDescent="0.2">
      <c r="A523" s="3">
        <v>7.2249999999999996</v>
      </c>
      <c r="B523">
        <f t="shared" si="16"/>
        <v>0.85883785142858549</v>
      </c>
      <c r="C523">
        <f t="shared" si="17"/>
        <v>2.6879360111431225</v>
      </c>
    </row>
    <row r="524" spans="1:3" x14ac:dyDescent="0.2">
      <c r="A524" s="3">
        <v>57.979199999999999</v>
      </c>
      <c r="B524">
        <f t="shared" si="16"/>
        <v>1.7632722186425993</v>
      </c>
      <c r="C524">
        <f t="shared" si="17"/>
        <v>7.6144073965082795</v>
      </c>
    </row>
    <row r="525" spans="1:3" x14ac:dyDescent="0.2">
      <c r="A525" s="3">
        <v>7.2291999999999996</v>
      </c>
      <c r="B525">
        <f t="shared" si="16"/>
        <v>0.85909023992124911</v>
      </c>
      <c r="C525">
        <f t="shared" si="17"/>
        <v>2.688717166233741</v>
      </c>
    </row>
    <row r="526" spans="1:3" x14ac:dyDescent="0.2">
      <c r="A526" s="3">
        <v>7.75</v>
      </c>
      <c r="B526">
        <f t="shared" si="16"/>
        <v>0.88930170250631024</v>
      </c>
      <c r="C526">
        <f t="shared" si="17"/>
        <v>2.7838821814150108</v>
      </c>
    </row>
    <row r="527" spans="1:3" x14ac:dyDescent="0.2">
      <c r="A527" s="3">
        <v>10.5</v>
      </c>
      <c r="B527">
        <f t="shared" si="16"/>
        <v>1.0211892990699381</v>
      </c>
      <c r="C527">
        <f t="shared" si="17"/>
        <v>3.2403703492039302</v>
      </c>
    </row>
    <row r="528" spans="1:3" x14ac:dyDescent="0.2">
      <c r="A528" s="3">
        <v>221.7792</v>
      </c>
      <c r="B528">
        <f t="shared" si="16"/>
        <v>2.3459208125578912</v>
      </c>
      <c r="C528">
        <f t="shared" si="17"/>
        <v>14.892253019607208</v>
      </c>
    </row>
    <row r="529" spans="1:3" x14ac:dyDescent="0.2">
      <c r="A529" s="3">
        <v>7.9249999999999998</v>
      </c>
      <c r="B529">
        <f t="shared" si="16"/>
        <v>0.89899927088978915</v>
      </c>
      <c r="C529">
        <f t="shared" si="17"/>
        <v>2.8151376520518494</v>
      </c>
    </row>
    <row r="530" spans="1:3" x14ac:dyDescent="0.2">
      <c r="A530" s="3">
        <v>11.5</v>
      </c>
      <c r="B530">
        <f t="shared" si="16"/>
        <v>1.0606978403536116</v>
      </c>
      <c r="C530">
        <f t="shared" si="17"/>
        <v>3.3911649915626341</v>
      </c>
    </row>
    <row r="531" spans="1:3" x14ac:dyDescent="0.2">
      <c r="A531" s="3">
        <v>26</v>
      </c>
      <c r="B531">
        <f t="shared" si="16"/>
        <v>1.414973347970818</v>
      </c>
      <c r="C531">
        <f t="shared" si="17"/>
        <v>5.0990195135927845</v>
      </c>
    </row>
    <row r="532" spans="1:3" x14ac:dyDescent="0.2">
      <c r="A532" s="3">
        <v>7.2291999999999996</v>
      </c>
      <c r="B532">
        <f t="shared" si="16"/>
        <v>0.85909023992124911</v>
      </c>
      <c r="C532">
        <f t="shared" si="17"/>
        <v>2.688717166233741</v>
      </c>
    </row>
    <row r="533" spans="1:3" x14ac:dyDescent="0.2">
      <c r="A533" s="3">
        <v>7.2291999999999996</v>
      </c>
      <c r="B533">
        <f t="shared" si="16"/>
        <v>0.85909023992124911</v>
      </c>
      <c r="C533">
        <f t="shared" si="17"/>
        <v>2.688717166233741</v>
      </c>
    </row>
    <row r="534" spans="1:3" x14ac:dyDescent="0.2">
      <c r="A534" s="3">
        <v>22.3583</v>
      </c>
      <c r="B534">
        <f t="shared" si="16"/>
        <v>1.3494387791478988</v>
      </c>
      <c r="C534">
        <f t="shared" si="17"/>
        <v>4.7284564077508424</v>
      </c>
    </row>
    <row r="535" spans="1:3" x14ac:dyDescent="0.2">
      <c r="A535" s="3">
        <v>8.6624999999999996</v>
      </c>
      <c r="B535">
        <f t="shared" si="16"/>
        <v>0.93764324761986317</v>
      </c>
      <c r="C535">
        <f t="shared" si="17"/>
        <v>2.9432125305522874</v>
      </c>
    </row>
    <row r="536" spans="1:3" x14ac:dyDescent="0.2">
      <c r="A536" s="3">
        <v>26.25</v>
      </c>
      <c r="B536">
        <f t="shared" si="16"/>
        <v>1.4191293077419758</v>
      </c>
      <c r="C536">
        <f t="shared" si="17"/>
        <v>5.123475382979799</v>
      </c>
    </row>
    <row r="537" spans="1:3" x14ac:dyDescent="0.2">
      <c r="A537" s="3">
        <v>26.55</v>
      </c>
      <c r="B537">
        <f t="shared" si="16"/>
        <v>1.424064525417488</v>
      </c>
      <c r="C537">
        <f t="shared" si="17"/>
        <v>5.1526692111953007</v>
      </c>
    </row>
    <row r="538" spans="1:3" x14ac:dyDescent="0.2">
      <c r="A538" s="3">
        <v>106.425</v>
      </c>
      <c r="B538">
        <f t="shared" si="16"/>
        <v>2.0270436588491743</v>
      </c>
      <c r="C538">
        <f t="shared" si="17"/>
        <v>10.316249318429639</v>
      </c>
    </row>
    <row r="539" spans="1:3" x14ac:dyDescent="0.2">
      <c r="A539" s="3">
        <v>14.5</v>
      </c>
      <c r="B539">
        <f t="shared" si="16"/>
        <v>1.1613680022349748</v>
      </c>
      <c r="C539">
        <f t="shared" si="17"/>
        <v>3.8078865529319543</v>
      </c>
    </row>
    <row r="540" spans="1:3" x14ac:dyDescent="0.2">
      <c r="A540" s="3">
        <v>49.5</v>
      </c>
      <c r="B540">
        <f t="shared" si="16"/>
        <v>1.6946051989335686</v>
      </c>
      <c r="C540">
        <f t="shared" si="17"/>
        <v>7.0356236397351442</v>
      </c>
    </row>
    <row r="541" spans="1:3" x14ac:dyDescent="0.2">
      <c r="A541" s="3">
        <v>71</v>
      </c>
      <c r="B541">
        <f t="shared" si="16"/>
        <v>1.8512583487190752</v>
      </c>
      <c r="C541">
        <f t="shared" si="17"/>
        <v>8.426149773176359</v>
      </c>
    </row>
    <row r="542" spans="1:3" x14ac:dyDescent="0.2">
      <c r="A542" s="3">
        <v>31.274999999999999</v>
      </c>
      <c r="B542">
        <f t="shared" si="16"/>
        <v>1.4951973183654574</v>
      </c>
      <c r="C542">
        <f t="shared" si="17"/>
        <v>5.5924055646921742</v>
      </c>
    </row>
    <row r="543" spans="1:3" x14ac:dyDescent="0.2">
      <c r="A543" s="3">
        <v>31.274999999999999</v>
      </c>
      <c r="B543">
        <f t="shared" si="16"/>
        <v>1.4951973183654574</v>
      </c>
      <c r="C543">
        <f t="shared" si="17"/>
        <v>5.5924055646921742</v>
      </c>
    </row>
    <row r="544" spans="1:3" x14ac:dyDescent="0.2">
      <c r="A544" s="3">
        <v>26</v>
      </c>
      <c r="B544">
        <f t="shared" si="16"/>
        <v>1.414973347970818</v>
      </c>
      <c r="C544">
        <f t="shared" si="17"/>
        <v>5.0990195135927845</v>
      </c>
    </row>
    <row r="545" spans="1:3" x14ac:dyDescent="0.2">
      <c r="A545" s="3">
        <v>106.425</v>
      </c>
      <c r="B545">
        <f t="shared" si="16"/>
        <v>2.0270436588491743</v>
      </c>
      <c r="C545">
        <f t="shared" si="17"/>
        <v>10.316249318429639</v>
      </c>
    </row>
    <row r="546" spans="1:3" x14ac:dyDescent="0.2">
      <c r="A546" s="3">
        <v>26</v>
      </c>
      <c r="B546">
        <f t="shared" si="16"/>
        <v>1.414973347970818</v>
      </c>
      <c r="C546">
        <f t="shared" si="17"/>
        <v>5.0990195135927845</v>
      </c>
    </row>
    <row r="547" spans="1:3" x14ac:dyDescent="0.2">
      <c r="A547" s="3">
        <v>26</v>
      </c>
      <c r="B547">
        <f t="shared" si="16"/>
        <v>1.414973347970818</v>
      </c>
      <c r="C547">
        <f t="shared" si="17"/>
        <v>5.0990195135927845</v>
      </c>
    </row>
    <row r="548" spans="1:3" x14ac:dyDescent="0.2">
      <c r="A548" s="3">
        <v>13.862500000000001</v>
      </c>
      <c r="B548">
        <f t="shared" si="16"/>
        <v>1.1418415591572164</v>
      </c>
      <c r="C548">
        <f t="shared" si="17"/>
        <v>3.723237838226293</v>
      </c>
    </row>
    <row r="549" spans="1:3" x14ac:dyDescent="0.2">
      <c r="A549" s="3">
        <v>20.524999999999999</v>
      </c>
      <c r="B549">
        <f t="shared" si="16"/>
        <v>1.3122831657914784</v>
      </c>
      <c r="C549">
        <f t="shared" si="17"/>
        <v>4.530452516029718</v>
      </c>
    </row>
    <row r="550" spans="1:3" x14ac:dyDescent="0.2">
      <c r="A550" s="3">
        <v>36.75</v>
      </c>
      <c r="B550">
        <f t="shared" si="16"/>
        <v>1.5652573434202137</v>
      </c>
      <c r="C550">
        <f t="shared" si="17"/>
        <v>6.0621778264910704</v>
      </c>
    </row>
    <row r="551" spans="1:3" x14ac:dyDescent="0.2">
      <c r="A551" s="3">
        <v>110.88330000000001</v>
      </c>
      <c r="B551">
        <f t="shared" si="16"/>
        <v>2.0448661425064016</v>
      </c>
      <c r="C551">
        <f t="shared" si="17"/>
        <v>10.530113959497305</v>
      </c>
    </row>
    <row r="552" spans="1:3" x14ac:dyDescent="0.2">
      <c r="A552" s="3">
        <v>26</v>
      </c>
      <c r="B552">
        <f t="shared" si="16"/>
        <v>1.414973347970818</v>
      </c>
      <c r="C552">
        <f t="shared" si="17"/>
        <v>5.0990195135927845</v>
      </c>
    </row>
    <row r="553" spans="1:3" x14ac:dyDescent="0.2">
      <c r="A553" s="3">
        <v>7.8292000000000002</v>
      </c>
      <c r="B553">
        <f t="shared" si="16"/>
        <v>0.89371738743014317</v>
      </c>
      <c r="C553">
        <f t="shared" si="17"/>
        <v>2.7980707639371811</v>
      </c>
    </row>
    <row r="554" spans="1:3" x14ac:dyDescent="0.2">
      <c r="A554" s="3">
        <v>7.2249999999999996</v>
      </c>
      <c r="B554">
        <f t="shared" si="16"/>
        <v>0.85883785142858549</v>
      </c>
      <c r="C554">
        <f t="shared" si="17"/>
        <v>2.6879360111431225</v>
      </c>
    </row>
    <row r="555" spans="1:3" x14ac:dyDescent="0.2">
      <c r="A555" s="3">
        <v>7.7750000000000004</v>
      </c>
      <c r="B555">
        <f t="shared" si="16"/>
        <v>0.8907003976988751</v>
      </c>
      <c r="C555">
        <f t="shared" si="17"/>
        <v>2.7883686987197374</v>
      </c>
    </row>
    <row r="556" spans="1:3" x14ac:dyDescent="0.2">
      <c r="A556" s="3">
        <v>26.55</v>
      </c>
      <c r="B556">
        <f t="shared" si="16"/>
        <v>1.424064525417488</v>
      </c>
      <c r="C556">
        <f t="shared" si="17"/>
        <v>5.1526692111953007</v>
      </c>
    </row>
    <row r="557" spans="1:3" x14ac:dyDescent="0.2">
      <c r="A557" s="3">
        <v>39.6</v>
      </c>
      <c r="B557">
        <f t="shared" si="16"/>
        <v>1.5976951859255124</v>
      </c>
      <c r="C557">
        <f t="shared" si="17"/>
        <v>6.2928530890209098</v>
      </c>
    </row>
    <row r="558" spans="1:3" x14ac:dyDescent="0.2">
      <c r="A558" s="3">
        <v>227.52500000000001</v>
      </c>
      <c r="B558">
        <f t="shared" si="16"/>
        <v>2.35702912303943</v>
      </c>
      <c r="C558">
        <f t="shared" si="17"/>
        <v>15.083931848162136</v>
      </c>
    </row>
    <row r="559" spans="1:3" x14ac:dyDescent="0.2">
      <c r="A559" s="3">
        <v>79.650000000000006</v>
      </c>
      <c r="B559">
        <f t="shared" si="16"/>
        <v>1.9011857801371503</v>
      </c>
      <c r="C559">
        <f t="shared" si="17"/>
        <v>8.9246848683861106</v>
      </c>
    </row>
    <row r="560" spans="1:3" x14ac:dyDescent="0.2">
      <c r="A560" s="3">
        <v>17.399999999999999</v>
      </c>
      <c r="B560">
        <f t="shared" si="16"/>
        <v>1.2405492482825997</v>
      </c>
      <c r="C560">
        <f t="shared" si="17"/>
        <v>4.1713307229228418</v>
      </c>
    </row>
    <row r="561" spans="1:3" x14ac:dyDescent="0.2">
      <c r="A561" s="3">
        <v>7.75</v>
      </c>
      <c r="B561">
        <f t="shared" si="16"/>
        <v>0.88930170250631024</v>
      </c>
      <c r="C561">
        <f t="shared" si="17"/>
        <v>2.7838821814150108</v>
      </c>
    </row>
    <row r="562" spans="1:3" x14ac:dyDescent="0.2">
      <c r="A562" s="3">
        <v>7.8958000000000004</v>
      </c>
      <c r="B562">
        <f t="shared" si="16"/>
        <v>0.89739613915544614</v>
      </c>
      <c r="C562">
        <f t="shared" si="17"/>
        <v>2.8099466187100424</v>
      </c>
    </row>
    <row r="563" spans="1:3" x14ac:dyDescent="0.2">
      <c r="A563" s="3">
        <v>13.5</v>
      </c>
      <c r="B563">
        <f t="shared" si="16"/>
        <v>1.1303337684950061</v>
      </c>
      <c r="C563">
        <f t="shared" si="17"/>
        <v>3.6742346141747673</v>
      </c>
    </row>
    <row r="564" spans="1:3" x14ac:dyDescent="0.2">
      <c r="A564" s="3">
        <v>8.0500000000000007</v>
      </c>
      <c r="B564">
        <f t="shared" si="16"/>
        <v>0.90579588036786851</v>
      </c>
      <c r="C564">
        <f t="shared" si="17"/>
        <v>2.8372521918222215</v>
      </c>
    </row>
    <row r="565" spans="1:3" x14ac:dyDescent="0.2">
      <c r="A565" s="3">
        <v>8.0500000000000007</v>
      </c>
      <c r="B565">
        <f t="shared" si="16"/>
        <v>0.90579588036786851</v>
      </c>
      <c r="C565">
        <f t="shared" si="17"/>
        <v>2.8372521918222215</v>
      </c>
    </row>
    <row r="566" spans="1:3" x14ac:dyDescent="0.2">
      <c r="A566" s="3">
        <v>24.15</v>
      </c>
      <c r="B566">
        <f t="shared" si="16"/>
        <v>1.3829171350875309</v>
      </c>
      <c r="C566">
        <f t="shared" si="17"/>
        <v>4.914264950122246</v>
      </c>
    </row>
    <row r="567" spans="1:3" x14ac:dyDescent="0.2">
      <c r="A567" s="3">
        <v>7.8958000000000004</v>
      </c>
      <c r="B567">
        <f t="shared" si="16"/>
        <v>0.89739613915544614</v>
      </c>
      <c r="C567">
        <f t="shared" si="17"/>
        <v>2.8099466187100424</v>
      </c>
    </row>
    <row r="568" spans="1:3" x14ac:dyDescent="0.2">
      <c r="A568" s="3">
        <v>21.074999999999999</v>
      </c>
      <c r="B568">
        <f t="shared" si="16"/>
        <v>1.3237675832967799</v>
      </c>
      <c r="C568">
        <f t="shared" si="17"/>
        <v>4.5907515724552121</v>
      </c>
    </row>
    <row r="569" spans="1:3" x14ac:dyDescent="0.2">
      <c r="A569" s="3">
        <v>7.2291999999999996</v>
      </c>
      <c r="B569">
        <f t="shared" si="16"/>
        <v>0.85909023992124911</v>
      </c>
      <c r="C569">
        <f t="shared" si="17"/>
        <v>2.688717166233741</v>
      </c>
    </row>
    <row r="570" spans="1:3" x14ac:dyDescent="0.2">
      <c r="A570" s="3">
        <v>7.8541999999999996</v>
      </c>
      <c r="B570">
        <f t="shared" si="16"/>
        <v>0.89510195598589926</v>
      </c>
      <c r="C570">
        <f t="shared" si="17"/>
        <v>2.8025345671373976</v>
      </c>
    </row>
    <row r="571" spans="1:3" x14ac:dyDescent="0.2">
      <c r="A571" s="3">
        <v>10.5</v>
      </c>
      <c r="B571">
        <f t="shared" si="16"/>
        <v>1.0211892990699381</v>
      </c>
      <c r="C571">
        <f t="shared" si="17"/>
        <v>3.2403703492039302</v>
      </c>
    </row>
    <row r="572" spans="1:3" x14ac:dyDescent="0.2">
      <c r="A572" s="3">
        <v>51.479199999999999</v>
      </c>
      <c r="B572">
        <f t="shared" si="16"/>
        <v>1.7116317892369115</v>
      </c>
      <c r="C572">
        <f t="shared" si="17"/>
        <v>7.1749006961769162</v>
      </c>
    </row>
    <row r="573" spans="1:3" x14ac:dyDescent="0.2">
      <c r="A573" s="3">
        <v>26.387499999999999</v>
      </c>
      <c r="B573">
        <f t="shared" si="16"/>
        <v>1.4213982463157129</v>
      </c>
      <c r="C573">
        <f t="shared" si="17"/>
        <v>5.1368764828444142</v>
      </c>
    </row>
    <row r="574" spans="1:3" x14ac:dyDescent="0.2">
      <c r="A574" s="3">
        <v>7.75</v>
      </c>
      <c r="B574">
        <f t="shared" si="16"/>
        <v>0.88930170250631024</v>
      </c>
      <c r="C574">
        <f t="shared" si="17"/>
        <v>2.7838821814150108</v>
      </c>
    </row>
    <row r="575" spans="1:3" x14ac:dyDescent="0.2">
      <c r="A575" s="3">
        <v>8.0500000000000007</v>
      </c>
      <c r="B575">
        <f t="shared" si="16"/>
        <v>0.90579588036786851</v>
      </c>
      <c r="C575">
        <f t="shared" si="17"/>
        <v>2.8372521918222215</v>
      </c>
    </row>
    <row r="576" spans="1:3" x14ac:dyDescent="0.2">
      <c r="A576" s="3">
        <v>14.5</v>
      </c>
      <c r="B576">
        <f t="shared" si="16"/>
        <v>1.1613680022349748</v>
      </c>
      <c r="C576">
        <f t="shared" si="17"/>
        <v>3.8078865529319543</v>
      </c>
    </row>
    <row r="577" spans="1:3" x14ac:dyDescent="0.2">
      <c r="A577" s="3">
        <v>13</v>
      </c>
      <c r="B577">
        <f t="shared" si="16"/>
        <v>1.1139433523068367</v>
      </c>
      <c r="C577">
        <f t="shared" si="17"/>
        <v>3.6055512754639891</v>
      </c>
    </row>
    <row r="578" spans="1:3" x14ac:dyDescent="0.2">
      <c r="A578" s="3">
        <v>55.9</v>
      </c>
      <c r="B578">
        <f t="shared" ref="B578:B641" si="18">LOG10(A578)</f>
        <v>1.7474118078864234</v>
      </c>
      <c r="C578">
        <f t="shared" ref="C578:C641" si="19">SQRT(A578)</f>
        <v>7.4766302570074972</v>
      </c>
    </row>
    <row r="579" spans="1:3" x14ac:dyDescent="0.2">
      <c r="A579" s="3">
        <v>14.458299999999999</v>
      </c>
      <c r="B579">
        <f t="shared" si="18"/>
        <v>1.1601172318228239</v>
      </c>
      <c r="C579">
        <f t="shared" si="19"/>
        <v>3.802407132330782</v>
      </c>
    </row>
    <row r="580" spans="1:3" x14ac:dyDescent="0.2">
      <c r="A580" s="3">
        <v>7.9249999999999998</v>
      </c>
      <c r="B580">
        <f t="shared" si="18"/>
        <v>0.89899927088978915</v>
      </c>
      <c r="C580">
        <f t="shared" si="19"/>
        <v>2.8151376520518494</v>
      </c>
    </row>
    <row r="581" spans="1:3" x14ac:dyDescent="0.2">
      <c r="A581" s="3">
        <v>30</v>
      </c>
      <c r="B581">
        <f t="shared" si="18"/>
        <v>1.4771212547196624</v>
      </c>
      <c r="C581">
        <f t="shared" si="19"/>
        <v>5.4772255750516612</v>
      </c>
    </row>
    <row r="582" spans="1:3" x14ac:dyDescent="0.2">
      <c r="A582" s="3">
        <v>110.88330000000001</v>
      </c>
      <c r="B582">
        <f t="shared" si="18"/>
        <v>2.0448661425064016</v>
      </c>
      <c r="C582">
        <f t="shared" si="19"/>
        <v>10.530113959497305</v>
      </c>
    </row>
    <row r="583" spans="1:3" x14ac:dyDescent="0.2">
      <c r="A583" s="3">
        <v>26</v>
      </c>
      <c r="B583">
        <f t="shared" si="18"/>
        <v>1.414973347970818</v>
      </c>
      <c r="C583">
        <f t="shared" si="19"/>
        <v>5.0990195135927845</v>
      </c>
    </row>
    <row r="584" spans="1:3" x14ac:dyDescent="0.2">
      <c r="A584" s="3">
        <v>40.125</v>
      </c>
      <c r="B584">
        <f t="shared" si="18"/>
        <v>1.6034150454129286</v>
      </c>
      <c r="C584">
        <f t="shared" si="19"/>
        <v>6.3344297296599636</v>
      </c>
    </row>
    <row r="585" spans="1:3" x14ac:dyDescent="0.2">
      <c r="A585" s="3">
        <v>8.7125000000000004</v>
      </c>
      <c r="B585">
        <f t="shared" si="18"/>
        <v>0.9401427911060658</v>
      </c>
      <c r="C585">
        <f t="shared" si="19"/>
        <v>2.9516944286290885</v>
      </c>
    </row>
    <row r="586" spans="1:3" x14ac:dyDescent="0.2">
      <c r="A586" s="3">
        <v>79.650000000000006</v>
      </c>
      <c r="B586">
        <f t="shared" si="18"/>
        <v>1.9011857801371503</v>
      </c>
      <c r="C586">
        <f t="shared" si="19"/>
        <v>8.9246848683861106</v>
      </c>
    </row>
    <row r="587" spans="1:3" x14ac:dyDescent="0.2">
      <c r="A587" s="3">
        <v>15</v>
      </c>
      <c r="B587">
        <f t="shared" si="18"/>
        <v>1.1760912590556813</v>
      </c>
      <c r="C587">
        <f t="shared" si="19"/>
        <v>3.872983346207417</v>
      </c>
    </row>
    <row r="588" spans="1:3" x14ac:dyDescent="0.2">
      <c r="A588" s="3">
        <v>79.2</v>
      </c>
      <c r="B588">
        <f t="shared" si="18"/>
        <v>1.8987251815894934</v>
      </c>
      <c r="C588">
        <f t="shared" si="19"/>
        <v>8.8994381845147963</v>
      </c>
    </row>
    <row r="589" spans="1:3" x14ac:dyDescent="0.2">
      <c r="A589" s="3">
        <v>8.0500000000000007</v>
      </c>
      <c r="B589">
        <f t="shared" si="18"/>
        <v>0.90579588036786851</v>
      </c>
      <c r="C589">
        <f t="shared" si="19"/>
        <v>2.8372521918222215</v>
      </c>
    </row>
    <row r="590" spans="1:3" x14ac:dyDescent="0.2">
      <c r="A590" s="3">
        <v>8.0500000000000007</v>
      </c>
      <c r="B590">
        <f t="shared" si="18"/>
        <v>0.90579588036786851</v>
      </c>
      <c r="C590">
        <f t="shared" si="19"/>
        <v>2.8372521918222215</v>
      </c>
    </row>
    <row r="591" spans="1:3" x14ac:dyDescent="0.2">
      <c r="A591" s="3">
        <v>7.125</v>
      </c>
      <c r="B591">
        <f t="shared" si="18"/>
        <v>0.85278486868054781</v>
      </c>
      <c r="C591">
        <f t="shared" si="19"/>
        <v>2.6692695630078278</v>
      </c>
    </row>
    <row r="592" spans="1:3" x14ac:dyDescent="0.2">
      <c r="A592" s="3">
        <v>78.2667</v>
      </c>
      <c r="B592">
        <f t="shared" si="18"/>
        <v>1.8935770228194533</v>
      </c>
      <c r="C592">
        <f t="shared" si="19"/>
        <v>8.8468468959285147</v>
      </c>
    </row>
    <row r="593" spans="1:3" x14ac:dyDescent="0.2">
      <c r="A593" s="3">
        <v>7.25</v>
      </c>
      <c r="B593">
        <f t="shared" si="18"/>
        <v>0.86033800657099369</v>
      </c>
      <c r="C593">
        <f t="shared" si="19"/>
        <v>2.6925824035672519</v>
      </c>
    </row>
    <row r="594" spans="1:3" x14ac:dyDescent="0.2">
      <c r="A594" s="3">
        <v>7.75</v>
      </c>
      <c r="B594">
        <f t="shared" si="18"/>
        <v>0.88930170250631024</v>
      </c>
      <c r="C594">
        <f t="shared" si="19"/>
        <v>2.7838821814150108</v>
      </c>
    </row>
    <row r="595" spans="1:3" x14ac:dyDescent="0.2">
      <c r="A595" s="3">
        <v>26</v>
      </c>
      <c r="B595">
        <f t="shared" si="18"/>
        <v>1.414973347970818</v>
      </c>
      <c r="C595">
        <f t="shared" si="19"/>
        <v>5.0990195135927845</v>
      </c>
    </row>
    <row r="596" spans="1:3" x14ac:dyDescent="0.2">
      <c r="A596" s="3">
        <v>24.15</v>
      </c>
      <c r="B596">
        <f t="shared" si="18"/>
        <v>1.3829171350875309</v>
      </c>
      <c r="C596">
        <f t="shared" si="19"/>
        <v>4.914264950122246</v>
      </c>
    </row>
    <row r="597" spans="1:3" x14ac:dyDescent="0.2">
      <c r="A597" s="3">
        <v>33</v>
      </c>
      <c r="B597">
        <f t="shared" si="18"/>
        <v>1.5185139398778875</v>
      </c>
      <c r="C597">
        <f t="shared" si="19"/>
        <v>5.7445626465380286</v>
      </c>
    </row>
    <row r="598" spans="1:3" x14ac:dyDescent="0.2">
      <c r="A598" s="3">
        <v>0</v>
      </c>
      <c r="B598" t="e">
        <f t="shared" si="18"/>
        <v>#NUM!</v>
      </c>
      <c r="C598">
        <f t="shared" si="19"/>
        <v>0</v>
      </c>
    </row>
    <row r="599" spans="1:3" x14ac:dyDescent="0.2">
      <c r="A599" s="3">
        <v>7.2249999999999996</v>
      </c>
      <c r="B599">
        <f t="shared" si="18"/>
        <v>0.85883785142858549</v>
      </c>
      <c r="C599">
        <f t="shared" si="19"/>
        <v>2.6879360111431225</v>
      </c>
    </row>
    <row r="600" spans="1:3" x14ac:dyDescent="0.2">
      <c r="A600" s="3">
        <v>56.929200000000002</v>
      </c>
      <c r="B600">
        <f t="shared" si="18"/>
        <v>1.7553350809127826</v>
      </c>
      <c r="C600">
        <f t="shared" si="19"/>
        <v>7.5451441338121565</v>
      </c>
    </row>
    <row r="601" spans="1:3" x14ac:dyDescent="0.2">
      <c r="A601" s="3">
        <v>27</v>
      </c>
      <c r="B601">
        <f t="shared" si="18"/>
        <v>1.4313637641589874</v>
      </c>
      <c r="C601">
        <f t="shared" si="19"/>
        <v>5.196152422706632</v>
      </c>
    </row>
    <row r="602" spans="1:3" x14ac:dyDescent="0.2">
      <c r="A602" s="3">
        <v>7.8958000000000004</v>
      </c>
      <c r="B602">
        <f t="shared" si="18"/>
        <v>0.89739613915544614</v>
      </c>
      <c r="C602">
        <f t="shared" si="19"/>
        <v>2.8099466187100424</v>
      </c>
    </row>
    <row r="603" spans="1:3" x14ac:dyDescent="0.2">
      <c r="A603" s="3">
        <v>42.4</v>
      </c>
      <c r="B603">
        <f t="shared" si="18"/>
        <v>1.6273658565927327</v>
      </c>
      <c r="C603">
        <f t="shared" si="19"/>
        <v>6.5115282384398823</v>
      </c>
    </row>
    <row r="604" spans="1:3" x14ac:dyDescent="0.2">
      <c r="A604" s="3">
        <v>8.0500000000000007</v>
      </c>
      <c r="B604">
        <f t="shared" si="18"/>
        <v>0.90579588036786851</v>
      </c>
      <c r="C604">
        <f t="shared" si="19"/>
        <v>2.8372521918222215</v>
      </c>
    </row>
    <row r="605" spans="1:3" x14ac:dyDescent="0.2">
      <c r="A605" s="3">
        <v>26.55</v>
      </c>
      <c r="B605">
        <f t="shared" si="18"/>
        <v>1.424064525417488</v>
      </c>
      <c r="C605">
        <f t="shared" si="19"/>
        <v>5.1526692111953007</v>
      </c>
    </row>
    <row r="606" spans="1:3" x14ac:dyDescent="0.2">
      <c r="A606" s="3">
        <v>15.55</v>
      </c>
      <c r="B606">
        <f t="shared" si="18"/>
        <v>1.1917303933628562</v>
      </c>
      <c r="C606">
        <f t="shared" si="19"/>
        <v>3.9433488306260709</v>
      </c>
    </row>
    <row r="607" spans="1:3" x14ac:dyDescent="0.2">
      <c r="A607" s="3">
        <v>7.8958000000000004</v>
      </c>
      <c r="B607">
        <f t="shared" si="18"/>
        <v>0.89739613915544614</v>
      </c>
      <c r="C607">
        <f t="shared" si="19"/>
        <v>2.8099466187100424</v>
      </c>
    </row>
    <row r="608" spans="1:3" x14ac:dyDescent="0.2">
      <c r="A608" s="3">
        <v>30.5</v>
      </c>
      <c r="B608">
        <f t="shared" si="18"/>
        <v>1.4842998393467859</v>
      </c>
      <c r="C608">
        <f t="shared" si="19"/>
        <v>5.5226805085936306</v>
      </c>
    </row>
    <row r="609" spans="1:3" x14ac:dyDescent="0.2">
      <c r="A609" s="3">
        <v>41.5792</v>
      </c>
      <c r="B609">
        <f t="shared" si="18"/>
        <v>1.6188761290808784</v>
      </c>
      <c r="C609">
        <f t="shared" si="19"/>
        <v>6.4481935454823311</v>
      </c>
    </row>
    <row r="610" spans="1:3" x14ac:dyDescent="0.2">
      <c r="A610" s="3">
        <v>153.46250000000001</v>
      </c>
      <c r="B610">
        <f t="shared" si="18"/>
        <v>2.1860022688507756</v>
      </c>
      <c r="C610">
        <f t="shared" si="19"/>
        <v>12.387998224087699</v>
      </c>
    </row>
    <row r="611" spans="1:3" x14ac:dyDescent="0.2">
      <c r="A611" s="3">
        <v>31.274999999999999</v>
      </c>
      <c r="B611">
        <f t="shared" si="18"/>
        <v>1.4951973183654574</v>
      </c>
      <c r="C611">
        <f t="shared" si="19"/>
        <v>5.5924055646921742</v>
      </c>
    </row>
    <row r="612" spans="1:3" x14ac:dyDescent="0.2">
      <c r="A612" s="3">
        <v>7.05</v>
      </c>
      <c r="B612">
        <f t="shared" si="18"/>
        <v>0.84818911699139865</v>
      </c>
      <c r="C612">
        <f t="shared" si="19"/>
        <v>2.6551836094703507</v>
      </c>
    </row>
    <row r="613" spans="1:3" x14ac:dyDescent="0.2">
      <c r="A613" s="3">
        <v>15.5</v>
      </c>
      <c r="B613">
        <f t="shared" si="18"/>
        <v>1.1903316981702914</v>
      </c>
      <c r="C613">
        <f t="shared" si="19"/>
        <v>3.9370039370059056</v>
      </c>
    </row>
    <row r="614" spans="1:3" x14ac:dyDescent="0.2">
      <c r="A614" s="3">
        <v>7.75</v>
      </c>
      <c r="B614">
        <f t="shared" si="18"/>
        <v>0.88930170250631024</v>
      </c>
      <c r="C614">
        <f t="shared" si="19"/>
        <v>2.7838821814150108</v>
      </c>
    </row>
    <row r="615" spans="1:3" x14ac:dyDescent="0.2">
      <c r="A615" s="3">
        <v>8.0500000000000007</v>
      </c>
      <c r="B615">
        <f t="shared" si="18"/>
        <v>0.90579588036786851</v>
      </c>
      <c r="C615">
        <f t="shared" si="19"/>
        <v>2.8372521918222215</v>
      </c>
    </row>
    <row r="616" spans="1:3" x14ac:dyDescent="0.2">
      <c r="A616" s="3">
        <v>65</v>
      </c>
      <c r="B616">
        <f t="shared" si="18"/>
        <v>1.8129133566428555</v>
      </c>
      <c r="C616">
        <f t="shared" si="19"/>
        <v>8.0622577482985491</v>
      </c>
    </row>
    <row r="617" spans="1:3" x14ac:dyDescent="0.2">
      <c r="A617" s="3">
        <v>14.4</v>
      </c>
      <c r="B617">
        <f t="shared" si="18"/>
        <v>1.1583624920952498</v>
      </c>
      <c r="C617">
        <f t="shared" si="19"/>
        <v>3.7947331922020551</v>
      </c>
    </row>
    <row r="618" spans="1:3" x14ac:dyDescent="0.2">
      <c r="A618" s="3">
        <v>16.100000000000001</v>
      </c>
      <c r="B618">
        <f t="shared" si="18"/>
        <v>1.2068258760318498</v>
      </c>
      <c r="C618">
        <f t="shared" si="19"/>
        <v>4.0124805295477763</v>
      </c>
    </row>
    <row r="619" spans="1:3" x14ac:dyDescent="0.2">
      <c r="A619" s="3">
        <v>39</v>
      </c>
      <c r="B619">
        <f t="shared" si="18"/>
        <v>1.5910646070264991</v>
      </c>
      <c r="C619">
        <f t="shared" si="19"/>
        <v>6.2449979983983983</v>
      </c>
    </row>
    <row r="620" spans="1:3" x14ac:dyDescent="0.2">
      <c r="A620" s="3">
        <v>10.5</v>
      </c>
      <c r="B620">
        <f t="shared" si="18"/>
        <v>1.0211892990699381</v>
      </c>
      <c r="C620">
        <f t="shared" si="19"/>
        <v>3.2403703492039302</v>
      </c>
    </row>
    <row r="621" spans="1:3" x14ac:dyDescent="0.2">
      <c r="A621" s="3">
        <v>14.4542</v>
      </c>
      <c r="B621">
        <f t="shared" si="18"/>
        <v>1.1599940596732181</v>
      </c>
      <c r="C621">
        <f t="shared" si="19"/>
        <v>3.8018679619366056</v>
      </c>
    </row>
    <row r="622" spans="1:3" x14ac:dyDescent="0.2">
      <c r="A622" s="3">
        <v>52.554200000000002</v>
      </c>
      <c r="B622">
        <f t="shared" si="18"/>
        <v>1.7206074294781684</v>
      </c>
      <c r="C622">
        <f t="shared" si="19"/>
        <v>7.2494275636080401</v>
      </c>
    </row>
    <row r="623" spans="1:3" x14ac:dyDescent="0.2">
      <c r="A623" s="3">
        <v>15.7417</v>
      </c>
      <c r="B623">
        <f t="shared" si="18"/>
        <v>1.1970516315015716</v>
      </c>
      <c r="C623">
        <f t="shared" si="19"/>
        <v>3.967581127084864</v>
      </c>
    </row>
    <row r="624" spans="1:3" x14ac:dyDescent="0.2">
      <c r="A624" s="3">
        <v>7.8541999999999996</v>
      </c>
      <c r="B624">
        <f t="shared" si="18"/>
        <v>0.89510195598589926</v>
      </c>
      <c r="C624">
        <f t="shared" si="19"/>
        <v>2.8025345671373976</v>
      </c>
    </row>
    <row r="625" spans="1:3" x14ac:dyDescent="0.2">
      <c r="A625" s="3">
        <v>16.100000000000001</v>
      </c>
      <c r="B625">
        <f t="shared" si="18"/>
        <v>1.2068258760318498</v>
      </c>
      <c r="C625">
        <f t="shared" si="19"/>
        <v>4.0124805295477763</v>
      </c>
    </row>
    <row r="626" spans="1:3" x14ac:dyDescent="0.2">
      <c r="A626" s="3">
        <v>32.320799999999998</v>
      </c>
      <c r="B626">
        <f t="shared" si="18"/>
        <v>1.5094821018329212</v>
      </c>
      <c r="C626">
        <f t="shared" si="19"/>
        <v>5.6851385207398417</v>
      </c>
    </row>
    <row r="627" spans="1:3" x14ac:dyDescent="0.2">
      <c r="A627" s="3">
        <v>12.35</v>
      </c>
      <c r="B627">
        <f t="shared" si="18"/>
        <v>1.0916669575956846</v>
      </c>
      <c r="C627">
        <f t="shared" si="19"/>
        <v>3.5142566781611158</v>
      </c>
    </row>
    <row r="628" spans="1:3" x14ac:dyDescent="0.2">
      <c r="A628" s="3">
        <v>77.958299999999994</v>
      </c>
      <c r="B628">
        <f t="shared" si="18"/>
        <v>1.8918623600932356</v>
      </c>
      <c r="C628">
        <f t="shared" si="19"/>
        <v>8.8293997530976025</v>
      </c>
    </row>
    <row r="629" spans="1:3" x14ac:dyDescent="0.2">
      <c r="A629" s="3">
        <v>7.8958000000000004</v>
      </c>
      <c r="B629">
        <f t="shared" si="18"/>
        <v>0.89739613915544614</v>
      </c>
      <c r="C629">
        <f t="shared" si="19"/>
        <v>2.8099466187100424</v>
      </c>
    </row>
    <row r="630" spans="1:3" x14ac:dyDescent="0.2">
      <c r="A630" s="3">
        <v>7.7332999999999998</v>
      </c>
      <c r="B630">
        <f t="shared" si="18"/>
        <v>0.88836485820822908</v>
      </c>
      <c r="C630">
        <f t="shared" si="19"/>
        <v>2.780881155317501</v>
      </c>
    </row>
    <row r="631" spans="1:3" x14ac:dyDescent="0.2">
      <c r="A631" s="3">
        <v>30</v>
      </c>
      <c r="B631">
        <f t="shared" si="18"/>
        <v>1.4771212547196624</v>
      </c>
      <c r="C631">
        <f t="shared" si="19"/>
        <v>5.4772255750516612</v>
      </c>
    </row>
    <row r="632" spans="1:3" x14ac:dyDescent="0.2">
      <c r="A632" s="3">
        <v>7.0541999999999998</v>
      </c>
      <c r="B632">
        <f t="shared" si="18"/>
        <v>0.84844776858140869</v>
      </c>
      <c r="C632">
        <f t="shared" si="19"/>
        <v>2.6559743974669634</v>
      </c>
    </row>
    <row r="633" spans="1:3" x14ac:dyDescent="0.2">
      <c r="A633" s="3">
        <v>30.5</v>
      </c>
      <c r="B633">
        <f t="shared" si="18"/>
        <v>1.4842998393467859</v>
      </c>
      <c r="C633">
        <f t="shared" si="19"/>
        <v>5.5226805085936306</v>
      </c>
    </row>
    <row r="634" spans="1:3" x14ac:dyDescent="0.2">
      <c r="A634" s="3">
        <v>0</v>
      </c>
      <c r="B634" t="e">
        <f t="shared" si="18"/>
        <v>#NUM!</v>
      </c>
      <c r="C634">
        <f t="shared" si="19"/>
        <v>0</v>
      </c>
    </row>
    <row r="635" spans="1:3" x14ac:dyDescent="0.2">
      <c r="A635" s="3">
        <v>27.9</v>
      </c>
      <c r="B635">
        <f t="shared" si="18"/>
        <v>1.4456042032735976</v>
      </c>
      <c r="C635">
        <f t="shared" si="19"/>
        <v>5.2820450584977028</v>
      </c>
    </row>
    <row r="636" spans="1:3" x14ac:dyDescent="0.2">
      <c r="A636" s="3">
        <v>13</v>
      </c>
      <c r="B636">
        <f t="shared" si="18"/>
        <v>1.1139433523068367</v>
      </c>
      <c r="C636">
        <f t="shared" si="19"/>
        <v>3.6055512754639891</v>
      </c>
    </row>
    <row r="637" spans="1:3" x14ac:dyDescent="0.2">
      <c r="A637" s="3">
        <v>7.9249999999999998</v>
      </c>
      <c r="B637">
        <f t="shared" si="18"/>
        <v>0.89899927088978915</v>
      </c>
      <c r="C637">
        <f t="shared" si="19"/>
        <v>2.8151376520518494</v>
      </c>
    </row>
    <row r="638" spans="1:3" x14ac:dyDescent="0.2">
      <c r="A638" s="3">
        <v>26.25</v>
      </c>
      <c r="B638">
        <f t="shared" si="18"/>
        <v>1.4191293077419758</v>
      </c>
      <c r="C638">
        <f t="shared" si="19"/>
        <v>5.123475382979799</v>
      </c>
    </row>
    <row r="639" spans="1:3" x14ac:dyDescent="0.2">
      <c r="A639" s="3">
        <v>39.6875</v>
      </c>
      <c r="B639">
        <f t="shared" si="18"/>
        <v>1.598653742636051</v>
      </c>
      <c r="C639">
        <f t="shared" si="19"/>
        <v>6.299801584177076</v>
      </c>
    </row>
    <row r="640" spans="1:3" x14ac:dyDescent="0.2">
      <c r="A640" s="3">
        <v>16.100000000000001</v>
      </c>
      <c r="B640">
        <f t="shared" si="18"/>
        <v>1.2068258760318498</v>
      </c>
      <c r="C640">
        <f t="shared" si="19"/>
        <v>4.0124805295477763</v>
      </c>
    </row>
    <row r="641" spans="1:3" x14ac:dyDescent="0.2">
      <c r="A641" s="3">
        <v>7.8541999999999996</v>
      </c>
      <c r="B641">
        <f t="shared" si="18"/>
        <v>0.89510195598589926</v>
      </c>
      <c r="C641">
        <f t="shared" si="19"/>
        <v>2.8025345671373976</v>
      </c>
    </row>
    <row r="642" spans="1:3" x14ac:dyDescent="0.2">
      <c r="A642" s="3">
        <v>69.3</v>
      </c>
      <c r="B642">
        <f t="shared" ref="B642:B705" si="20">LOG10(A642)</f>
        <v>1.8407332346118068</v>
      </c>
      <c r="C642">
        <f t="shared" ref="C642:C705" si="21">SQRT(A642)</f>
        <v>8.3246621553069637</v>
      </c>
    </row>
    <row r="643" spans="1:3" x14ac:dyDescent="0.2">
      <c r="A643" s="3">
        <v>27.9</v>
      </c>
      <c r="B643">
        <f t="shared" si="20"/>
        <v>1.4456042032735976</v>
      </c>
      <c r="C643">
        <f t="shared" si="21"/>
        <v>5.2820450584977028</v>
      </c>
    </row>
    <row r="644" spans="1:3" x14ac:dyDescent="0.2">
      <c r="A644" s="3">
        <v>56.495800000000003</v>
      </c>
      <c r="B644">
        <f t="shared" si="20"/>
        <v>1.752016162781856</v>
      </c>
      <c r="C644">
        <f t="shared" si="21"/>
        <v>7.5163688041500469</v>
      </c>
    </row>
    <row r="645" spans="1:3" x14ac:dyDescent="0.2">
      <c r="A645" s="3">
        <v>19.258299999999998</v>
      </c>
      <c r="B645">
        <f t="shared" si="20"/>
        <v>1.2846179477311681</v>
      </c>
      <c r="C645">
        <f t="shared" si="21"/>
        <v>4.3884279645449347</v>
      </c>
    </row>
    <row r="646" spans="1:3" x14ac:dyDescent="0.2">
      <c r="A646" s="3">
        <v>76.729200000000006</v>
      </c>
      <c r="B646">
        <f t="shared" si="20"/>
        <v>1.8849606701491657</v>
      </c>
      <c r="C646">
        <f t="shared" si="21"/>
        <v>8.7595205348238103</v>
      </c>
    </row>
    <row r="647" spans="1:3" x14ac:dyDescent="0.2">
      <c r="A647" s="3">
        <v>7.8958000000000004</v>
      </c>
      <c r="B647">
        <f t="shared" si="20"/>
        <v>0.89739613915544614</v>
      </c>
      <c r="C647">
        <f t="shared" si="21"/>
        <v>2.8099466187100424</v>
      </c>
    </row>
    <row r="648" spans="1:3" x14ac:dyDescent="0.2">
      <c r="A648" s="3">
        <v>35.5</v>
      </c>
      <c r="B648">
        <f t="shared" si="20"/>
        <v>1.550228353055094</v>
      </c>
      <c r="C648">
        <f t="shared" si="21"/>
        <v>5.9581876439064922</v>
      </c>
    </row>
    <row r="649" spans="1:3" x14ac:dyDescent="0.2">
      <c r="A649" s="3">
        <v>7.55</v>
      </c>
      <c r="B649">
        <f t="shared" si="20"/>
        <v>0.87794695162918823</v>
      </c>
      <c r="C649">
        <f t="shared" si="21"/>
        <v>2.7477263328068173</v>
      </c>
    </row>
    <row r="650" spans="1:3" x14ac:dyDescent="0.2">
      <c r="A650" s="3">
        <v>7.55</v>
      </c>
      <c r="B650">
        <f t="shared" si="20"/>
        <v>0.87794695162918823</v>
      </c>
      <c r="C650">
        <f t="shared" si="21"/>
        <v>2.7477263328068173</v>
      </c>
    </row>
    <row r="651" spans="1:3" x14ac:dyDescent="0.2">
      <c r="A651" s="3">
        <v>7.8958000000000004</v>
      </c>
      <c r="B651">
        <f t="shared" si="20"/>
        <v>0.89739613915544614</v>
      </c>
      <c r="C651">
        <f t="shared" si="21"/>
        <v>2.8099466187100424</v>
      </c>
    </row>
    <row r="652" spans="1:3" x14ac:dyDescent="0.2">
      <c r="A652" s="3">
        <v>23</v>
      </c>
      <c r="B652">
        <f t="shared" si="20"/>
        <v>1.3617278360175928</v>
      </c>
      <c r="C652">
        <f t="shared" si="21"/>
        <v>4.7958315233127191</v>
      </c>
    </row>
    <row r="653" spans="1:3" x14ac:dyDescent="0.2">
      <c r="A653" s="3">
        <v>8.4332999999999991</v>
      </c>
      <c r="B653">
        <f t="shared" si="20"/>
        <v>0.92599754987378313</v>
      </c>
      <c r="C653">
        <f t="shared" si="21"/>
        <v>2.9040144627739028</v>
      </c>
    </row>
    <row r="654" spans="1:3" x14ac:dyDescent="0.2">
      <c r="A654" s="3">
        <v>7.8292000000000002</v>
      </c>
      <c r="B654">
        <f t="shared" si="20"/>
        <v>0.89371738743014317</v>
      </c>
      <c r="C654">
        <f t="shared" si="21"/>
        <v>2.7980707639371811</v>
      </c>
    </row>
    <row r="655" spans="1:3" x14ac:dyDescent="0.2">
      <c r="A655" s="3">
        <v>6.75</v>
      </c>
      <c r="B655">
        <f t="shared" si="20"/>
        <v>0.82930377283102497</v>
      </c>
      <c r="C655">
        <f t="shared" si="21"/>
        <v>2.598076211353316</v>
      </c>
    </row>
    <row r="656" spans="1:3" x14ac:dyDescent="0.2">
      <c r="A656" s="3">
        <v>73.5</v>
      </c>
      <c r="B656">
        <f t="shared" si="20"/>
        <v>1.866287339084195</v>
      </c>
      <c r="C656">
        <f t="shared" si="21"/>
        <v>8.5732140997411239</v>
      </c>
    </row>
    <row r="657" spans="1:3" x14ac:dyDescent="0.2">
      <c r="A657" s="3">
        <v>7.8958000000000004</v>
      </c>
      <c r="B657">
        <f t="shared" si="20"/>
        <v>0.89739613915544614</v>
      </c>
      <c r="C657">
        <f t="shared" si="21"/>
        <v>2.8099466187100424</v>
      </c>
    </row>
    <row r="658" spans="1:3" x14ac:dyDescent="0.2">
      <c r="A658" s="3">
        <v>15.5</v>
      </c>
      <c r="B658">
        <f t="shared" si="20"/>
        <v>1.1903316981702914</v>
      </c>
      <c r="C658">
        <f t="shared" si="21"/>
        <v>3.9370039370059056</v>
      </c>
    </row>
    <row r="659" spans="1:3" x14ac:dyDescent="0.2">
      <c r="A659" s="3">
        <v>13</v>
      </c>
      <c r="B659">
        <f t="shared" si="20"/>
        <v>1.1139433523068367</v>
      </c>
      <c r="C659">
        <f t="shared" si="21"/>
        <v>3.6055512754639891</v>
      </c>
    </row>
    <row r="660" spans="1:3" x14ac:dyDescent="0.2">
      <c r="A660" s="3">
        <v>113.27500000000001</v>
      </c>
      <c r="B660">
        <f t="shared" si="20"/>
        <v>2.0541340708512235</v>
      </c>
      <c r="C660">
        <f t="shared" si="21"/>
        <v>10.643072864544337</v>
      </c>
    </row>
    <row r="661" spans="1:3" x14ac:dyDescent="0.2">
      <c r="A661" s="3">
        <v>133.65</v>
      </c>
      <c r="B661">
        <f t="shared" si="20"/>
        <v>2.1259689630925562</v>
      </c>
      <c r="C661">
        <f t="shared" si="21"/>
        <v>11.560709320798617</v>
      </c>
    </row>
    <row r="662" spans="1:3" x14ac:dyDescent="0.2">
      <c r="A662" s="3">
        <v>7.2249999999999996</v>
      </c>
      <c r="B662">
        <f t="shared" si="20"/>
        <v>0.85883785142858549</v>
      </c>
      <c r="C662">
        <f t="shared" si="21"/>
        <v>2.6879360111431225</v>
      </c>
    </row>
    <row r="663" spans="1:3" x14ac:dyDescent="0.2">
      <c r="A663" s="3">
        <v>25.587499999999999</v>
      </c>
      <c r="B663">
        <f t="shared" si="20"/>
        <v>1.4080278556705621</v>
      </c>
      <c r="C663">
        <f t="shared" si="21"/>
        <v>5.0584088407324295</v>
      </c>
    </row>
    <row r="664" spans="1:3" x14ac:dyDescent="0.2">
      <c r="A664" s="3">
        <v>7.4958</v>
      </c>
      <c r="B664">
        <f t="shared" si="20"/>
        <v>0.87481799035902574</v>
      </c>
      <c r="C664">
        <f t="shared" si="21"/>
        <v>2.7378458685616325</v>
      </c>
    </row>
    <row r="665" spans="1:3" x14ac:dyDescent="0.2">
      <c r="A665" s="3">
        <v>7.9249999999999998</v>
      </c>
      <c r="B665">
        <f t="shared" si="20"/>
        <v>0.89899927088978915</v>
      </c>
      <c r="C665">
        <f t="shared" si="21"/>
        <v>2.8151376520518494</v>
      </c>
    </row>
    <row r="666" spans="1:3" x14ac:dyDescent="0.2">
      <c r="A666" s="3">
        <v>73.5</v>
      </c>
      <c r="B666">
        <f t="shared" si="20"/>
        <v>1.866287339084195</v>
      </c>
      <c r="C666">
        <f t="shared" si="21"/>
        <v>8.5732140997411239</v>
      </c>
    </row>
    <row r="667" spans="1:3" x14ac:dyDescent="0.2">
      <c r="A667" s="3">
        <v>13</v>
      </c>
      <c r="B667">
        <f t="shared" si="20"/>
        <v>1.1139433523068367</v>
      </c>
      <c r="C667">
        <f t="shared" si="21"/>
        <v>3.6055512754639891</v>
      </c>
    </row>
    <row r="668" spans="1:3" x14ac:dyDescent="0.2">
      <c r="A668" s="3">
        <v>7.7750000000000004</v>
      </c>
      <c r="B668">
        <f t="shared" si="20"/>
        <v>0.8907003976988751</v>
      </c>
      <c r="C668">
        <f t="shared" si="21"/>
        <v>2.7883686987197374</v>
      </c>
    </row>
    <row r="669" spans="1:3" x14ac:dyDescent="0.2">
      <c r="A669" s="3">
        <v>8.0500000000000007</v>
      </c>
      <c r="B669">
        <f t="shared" si="20"/>
        <v>0.90579588036786851</v>
      </c>
      <c r="C669">
        <f t="shared" si="21"/>
        <v>2.8372521918222215</v>
      </c>
    </row>
    <row r="670" spans="1:3" x14ac:dyDescent="0.2">
      <c r="A670" s="3">
        <v>52</v>
      </c>
      <c r="B670">
        <f t="shared" si="20"/>
        <v>1.7160033436347992</v>
      </c>
      <c r="C670">
        <f t="shared" si="21"/>
        <v>7.2111025509279782</v>
      </c>
    </row>
    <row r="671" spans="1:3" x14ac:dyDescent="0.2">
      <c r="A671" s="3">
        <v>39</v>
      </c>
      <c r="B671">
        <f t="shared" si="20"/>
        <v>1.5910646070264991</v>
      </c>
      <c r="C671">
        <f t="shared" si="21"/>
        <v>6.2449979983983983</v>
      </c>
    </row>
    <row r="672" spans="1:3" x14ac:dyDescent="0.2">
      <c r="A672" s="3">
        <v>52</v>
      </c>
      <c r="B672">
        <f t="shared" si="20"/>
        <v>1.7160033436347992</v>
      </c>
      <c r="C672">
        <f t="shared" si="21"/>
        <v>7.2111025509279782</v>
      </c>
    </row>
    <row r="673" spans="1:3" x14ac:dyDescent="0.2">
      <c r="A673" s="3">
        <v>10.5</v>
      </c>
      <c r="B673">
        <f t="shared" si="20"/>
        <v>1.0211892990699381</v>
      </c>
      <c r="C673">
        <f t="shared" si="21"/>
        <v>3.2403703492039302</v>
      </c>
    </row>
    <row r="674" spans="1:3" x14ac:dyDescent="0.2">
      <c r="A674" s="3">
        <v>13</v>
      </c>
      <c r="B674">
        <f t="shared" si="20"/>
        <v>1.1139433523068367</v>
      </c>
      <c r="C674">
        <f t="shared" si="21"/>
        <v>3.6055512754639891</v>
      </c>
    </row>
    <row r="675" spans="1:3" x14ac:dyDescent="0.2">
      <c r="A675" s="3">
        <v>0</v>
      </c>
      <c r="B675" t="e">
        <f t="shared" si="20"/>
        <v>#NUM!</v>
      </c>
      <c r="C675">
        <f t="shared" si="21"/>
        <v>0</v>
      </c>
    </row>
    <row r="676" spans="1:3" x14ac:dyDescent="0.2">
      <c r="A676" s="3">
        <v>7.7750000000000004</v>
      </c>
      <c r="B676">
        <f t="shared" si="20"/>
        <v>0.8907003976988751</v>
      </c>
      <c r="C676">
        <f t="shared" si="21"/>
        <v>2.7883686987197374</v>
      </c>
    </row>
    <row r="677" spans="1:3" x14ac:dyDescent="0.2">
      <c r="A677" s="3">
        <v>8.0500000000000007</v>
      </c>
      <c r="B677">
        <f t="shared" si="20"/>
        <v>0.90579588036786851</v>
      </c>
      <c r="C677">
        <f t="shared" si="21"/>
        <v>2.8372521918222215</v>
      </c>
    </row>
    <row r="678" spans="1:3" x14ac:dyDescent="0.2">
      <c r="A678" s="3">
        <v>9.8416999999999994</v>
      </c>
      <c r="B678">
        <f t="shared" si="20"/>
        <v>0.9930701225015256</v>
      </c>
      <c r="C678">
        <f t="shared" si="21"/>
        <v>3.1371483866722021</v>
      </c>
    </row>
    <row r="679" spans="1:3" x14ac:dyDescent="0.2">
      <c r="A679" s="3">
        <v>46.9</v>
      </c>
      <c r="B679">
        <f t="shared" si="20"/>
        <v>1.6711728427150832</v>
      </c>
      <c r="C679">
        <f t="shared" si="21"/>
        <v>6.8483574673055729</v>
      </c>
    </row>
    <row r="680" spans="1:3" x14ac:dyDescent="0.2">
      <c r="A680" s="3">
        <v>512.32920000000001</v>
      </c>
      <c r="B680">
        <f t="shared" si="20"/>
        <v>2.7095491090238699</v>
      </c>
      <c r="C680">
        <f t="shared" si="21"/>
        <v>22.634690190060034</v>
      </c>
    </row>
    <row r="681" spans="1:3" x14ac:dyDescent="0.2">
      <c r="A681" s="3">
        <v>8.1374999999999993</v>
      </c>
      <c r="B681">
        <f t="shared" si="20"/>
        <v>0.91049100157624829</v>
      </c>
      <c r="C681">
        <f t="shared" si="21"/>
        <v>2.8526303651191824</v>
      </c>
    </row>
    <row r="682" spans="1:3" x14ac:dyDescent="0.2">
      <c r="A682" s="3">
        <v>76.729200000000006</v>
      </c>
      <c r="B682">
        <f t="shared" si="20"/>
        <v>1.8849606701491657</v>
      </c>
      <c r="C682">
        <f t="shared" si="21"/>
        <v>8.7595205348238103</v>
      </c>
    </row>
    <row r="683" spans="1:3" x14ac:dyDescent="0.2">
      <c r="A683" s="3">
        <v>9.2249999999999996</v>
      </c>
      <c r="B683">
        <f t="shared" si="20"/>
        <v>0.96496637483109793</v>
      </c>
      <c r="C683">
        <f t="shared" si="21"/>
        <v>3.0372685096974879</v>
      </c>
    </row>
    <row r="684" spans="1:3" x14ac:dyDescent="0.2">
      <c r="A684" s="3">
        <v>46.9</v>
      </c>
      <c r="B684">
        <f t="shared" si="20"/>
        <v>1.6711728427150832</v>
      </c>
      <c r="C684">
        <f t="shared" si="21"/>
        <v>6.8483574673055729</v>
      </c>
    </row>
    <row r="685" spans="1:3" x14ac:dyDescent="0.2">
      <c r="A685" s="3">
        <v>39</v>
      </c>
      <c r="B685">
        <f t="shared" si="20"/>
        <v>1.5910646070264991</v>
      </c>
      <c r="C685">
        <f t="shared" si="21"/>
        <v>6.2449979983983983</v>
      </c>
    </row>
    <row r="686" spans="1:3" x14ac:dyDescent="0.2">
      <c r="A686" s="3">
        <v>41.5792</v>
      </c>
      <c r="B686">
        <f t="shared" si="20"/>
        <v>1.6188761290808784</v>
      </c>
      <c r="C686">
        <f t="shared" si="21"/>
        <v>6.4481935454823311</v>
      </c>
    </row>
    <row r="687" spans="1:3" x14ac:dyDescent="0.2">
      <c r="A687" s="3">
        <v>39.6875</v>
      </c>
      <c r="B687">
        <f t="shared" si="20"/>
        <v>1.598653742636051</v>
      </c>
      <c r="C687">
        <f t="shared" si="21"/>
        <v>6.299801584177076</v>
      </c>
    </row>
    <row r="688" spans="1:3" x14ac:dyDescent="0.2">
      <c r="A688" s="3">
        <v>10.1708</v>
      </c>
      <c r="B688">
        <f t="shared" si="20"/>
        <v>1.0073551143702493</v>
      </c>
      <c r="C688">
        <f t="shared" si="21"/>
        <v>3.1891691708029537</v>
      </c>
    </row>
    <row r="689" spans="1:3" x14ac:dyDescent="0.2">
      <c r="A689" s="3">
        <v>7.7957999999999998</v>
      </c>
      <c r="B689">
        <f t="shared" si="20"/>
        <v>0.8918606888331484</v>
      </c>
      <c r="C689">
        <f t="shared" si="21"/>
        <v>2.792095986888703</v>
      </c>
    </row>
    <row r="690" spans="1:3" x14ac:dyDescent="0.2">
      <c r="A690" s="3">
        <v>211.33750000000001</v>
      </c>
      <c r="B690">
        <f t="shared" si="20"/>
        <v>2.3249765656660264</v>
      </c>
      <c r="C690">
        <f t="shared" si="21"/>
        <v>14.537451633625475</v>
      </c>
    </row>
    <row r="691" spans="1:3" x14ac:dyDescent="0.2">
      <c r="A691" s="3">
        <v>57</v>
      </c>
      <c r="B691">
        <f t="shared" si="20"/>
        <v>1.7558748556724915</v>
      </c>
      <c r="C691">
        <f t="shared" si="21"/>
        <v>7.5498344352707498</v>
      </c>
    </row>
    <row r="692" spans="1:3" x14ac:dyDescent="0.2">
      <c r="A692" s="3">
        <v>13.416700000000001</v>
      </c>
      <c r="B692">
        <f t="shared" si="20"/>
        <v>1.1276457089753862</v>
      </c>
      <c r="C692">
        <f t="shared" si="21"/>
        <v>3.6628813794607109</v>
      </c>
    </row>
    <row r="693" spans="1:3" x14ac:dyDescent="0.2">
      <c r="A693" s="3">
        <v>56.495800000000003</v>
      </c>
      <c r="B693">
        <f t="shared" si="20"/>
        <v>1.752016162781856</v>
      </c>
      <c r="C693">
        <f t="shared" si="21"/>
        <v>7.5163688041500469</v>
      </c>
    </row>
    <row r="694" spans="1:3" x14ac:dyDescent="0.2">
      <c r="A694" s="3">
        <v>7.2249999999999996</v>
      </c>
      <c r="B694">
        <f t="shared" si="20"/>
        <v>0.85883785142858549</v>
      </c>
      <c r="C694">
        <f t="shared" si="21"/>
        <v>2.6879360111431225</v>
      </c>
    </row>
    <row r="695" spans="1:3" x14ac:dyDescent="0.2">
      <c r="A695" s="3">
        <v>26.55</v>
      </c>
      <c r="B695">
        <f t="shared" si="20"/>
        <v>1.424064525417488</v>
      </c>
      <c r="C695">
        <f t="shared" si="21"/>
        <v>5.1526692111953007</v>
      </c>
    </row>
    <row r="696" spans="1:3" x14ac:dyDescent="0.2">
      <c r="A696" s="3">
        <v>13.5</v>
      </c>
      <c r="B696">
        <f t="shared" si="20"/>
        <v>1.1303337684950061</v>
      </c>
      <c r="C696">
        <f t="shared" si="21"/>
        <v>3.6742346141747673</v>
      </c>
    </row>
    <row r="697" spans="1:3" x14ac:dyDescent="0.2">
      <c r="A697" s="3">
        <v>8.0500000000000007</v>
      </c>
      <c r="B697">
        <f t="shared" si="20"/>
        <v>0.90579588036786851</v>
      </c>
      <c r="C697">
        <f t="shared" si="21"/>
        <v>2.8372521918222215</v>
      </c>
    </row>
    <row r="698" spans="1:3" x14ac:dyDescent="0.2">
      <c r="A698" s="3">
        <v>7.7332999999999998</v>
      </c>
      <c r="B698">
        <f t="shared" si="20"/>
        <v>0.88836485820822908</v>
      </c>
      <c r="C698">
        <f t="shared" si="21"/>
        <v>2.780881155317501</v>
      </c>
    </row>
    <row r="699" spans="1:3" x14ac:dyDescent="0.2">
      <c r="A699" s="3">
        <v>110.88330000000001</v>
      </c>
      <c r="B699">
        <f t="shared" si="20"/>
        <v>2.0448661425064016</v>
      </c>
      <c r="C699">
        <f t="shared" si="21"/>
        <v>10.530113959497305</v>
      </c>
    </row>
    <row r="700" spans="1:3" x14ac:dyDescent="0.2">
      <c r="A700" s="3">
        <v>7.65</v>
      </c>
      <c r="B700">
        <f t="shared" si="20"/>
        <v>0.88366143515361761</v>
      </c>
      <c r="C700">
        <f t="shared" si="21"/>
        <v>2.7658633371878665</v>
      </c>
    </row>
    <row r="701" spans="1:3" x14ac:dyDescent="0.2">
      <c r="A701" s="3">
        <v>227.52500000000001</v>
      </c>
      <c r="B701">
        <f t="shared" si="20"/>
        <v>2.35702912303943</v>
      </c>
      <c r="C701">
        <f t="shared" si="21"/>
        <v>15.083931848162136</v>
      </c>
    </row>
    <row r="702" spans="1:3" x14ac:dyDescent="0.2">
      <c r="A702" s="3">
        <v>26.287500000000001</v>
      </c>
      <c r="B702">
        <f t="shared" si="20"/>
        <v>1.4197492856943776</v>
      </c>
      <c r="C702">
        <f t="shared" si="21"/>
        <v>5.1271337021770753</v>
      </c>
    </row>
    <row r="703" spans="1:3" x14ac:dyDescent="0.2">
      <c r="A703" s="3">
        <v>14.4542</v>
      </c>
      <c r="B703">
        <f t="shared" si="20"/>
        <v>1.1599940596732181</v>
      </c>
      <c r="C703">
        <f t="shared" si="21"/>
        <v>3.8018679619366056</v>
      </c>
    </row>
    <row r="704" spans="1:3" x14ac:dyDescent="0.2">
      <c r="A704" s="3">
        <v>7.7416999999999998</v>
      </c>
      <c r="B704">
        <f t="shared" si="20"/>
        <v>0.88883633788593919</v>
      </c>
      <c r="C704">
        <f t="shared" si="21"/>
        <v>2.7823910580649875</v>
      </c>
    </row>
    <row r="705" spans="1:3" x14ac:dyDescent="0.2">
      <c r="A705" s="3">
        <v>7.8541999999999996</v>
      </c>
      <c r="B705">
        <f t="shared" si="20"/>
        <v>0.89510195598589926</v>
      </c>
      <c r="C705">
        <f t="shared" si="21"/>
        <v>2.8025345671373976</v>
      </c>
    </row>
    <row r="706" spans="1:3" x14ac:dyDescent="0.2">
      <c r="A706" s="3">
        <v>26</v>
      </c>
      <c r="B706">
        <f t="shared" ref="B706:B769" si="22">LOG10(A706)</f>
        <v>1.414973347970818</v>
      </c>
      <c r="C706">
        <f t="shared" ref="C706:C769" si="23">SQRT(A706)</f>
        <v>5.0990195135927845</v>
      </c>
    </row>
    <row r="707" spans="1:3" x14ac:dyDescent="0.2">
      <c r="A707" s="3">
        <v>13.5</v>
      </c>
      <c r="B707">
        <f t="shared" si="22"/>
        <v>1.1303337684950061</v>
      </c>
      <c r="C707">
        <f t="shared" si="23"/>
        <v>3.6742346141747673</v>
      </c>
    </row>
    <row r="708" spans="1:3" x14ac:dyDescent="0.2">
      <c r="A708" s="3">
        <v>26.287500000000001</v>
      </c>
      <c r="B708">
        <f t="shared" si="22"/>
        <v>1.4197492856943776</v>
      </c>
      <c r="C708">
        <f t="shared" si="23"/>
        <v>5.1271337021770753</v>
      </c>
    </row>
    <row r="709" spans="1:3" x14ac:dyDescent="0.2">
      <c r="A709" s="3">
        <v>151.55000000000001</v>
      </c>
      <c r="B709">
        <f t="shared" si="22"/>
        <v>2.1805559407036412</v>
      </c>
      <c r="C709">
        <f t="shared" si="23"/>
        <v>12.310564568694646</v>
      </c>
    </row>
    <row r="710" spans="1:3" x14ac:dyDescent="0.2">
      <c r="A710" s="3">
        <v>15.245799999999999</v>
      </c>
      <c r="B710">
        <f t="shared" si="22"/>
        <v>1.1831502182369711</v>
      </c>
      <c r="C710">
        <f t="shared" si="23"/>
        <v>3.9045870460267627</v>
      </c>
    </row>
    <row r="711" spans="1:3" x14ac:dyDescent="0.2">
      <c r="A711" s="3">
        <v>49.504199999999997</v>
      </c>
      <c r="B711">
        <f t="shared" si="22"/>
        <v>1.6946420465991241</v>
      </c>
      <c r="C711">
        <f t="shared" si="23"/>
        <v>7.0359221144068957</v>
      </c>
    </row>
    <row r="712" spans="1:3" x14ac:dyDescent="0.2">
      <c r="A712" s="3">
        <v>26.55</v>
      </c>
      <c r="B712">
        <f t="shared" si="22"/>
        <v>1.424064525417488</v>
      </c>
      <c r="C712">
        <f t="shared" si="23"/>
        <v>5.1526692111953007</v>
      </c>
    </row>
    <row r="713" spans="1:3" x14ac:dyDescent="0.2">
      <c r="A713" s="3">
        <v>52</v>
      </c>
      <c r="B713">
        <f t="shared" si="22"/>
        <v>1.7160033436347992</v>
      </c>
      <c r="C713">
        <f t="shared" si="23"/>
        <v>7.2111025509279782</v>
      </c>
    </row>
    <row r="714" spans="1:3" x14ac:dyDescent="0.2">
      <c r="A714" s="3">
        <v>9.4832999999999998</v>
      </c>
      <c r="B714">
        <f t="shared" si="22"/>
        <v>0.97695948949035494</v>
      </c>
      <c r="C714">
        <f t="shared" si="23"/>
        <v>3.0794967121268373</v>
      </c>
    </row>
    <row r="715" spans="1:3" x14ac:dyDescent="0.2">
      <c r="A715" s="3">
        <v>13</v>
      </c>
      <c r="B715">
        <f t="shared" si="22"/>
        <v>1.1139433523068367</v>
      </c>
      <c r="C715">
        <f t="shared" si="23"/>
        <v>3.6055512754639891</v>
      </c>
    </row>
    <row r="716" spans="1:3" x14ac:dyDescent="0.2">
      <c r="A716" s="3">
        <v>7.65</v>
      </c>
      <c r="B716">
        <f t="shared" si="22"/>
        <v>0.88366143515361761</v>
      </c>
      <c r="C716">
        <f t="shared" si="23"/>
        <v>2.7658633371878665</v>
      </c>
    </row>
    <row r="717" spans="1:3" x14ac:dyDescent="0.2">
      <c r="A717" s="3">
        <v>227.52500000000001</v>
      </c>
      <c r="B717">
        <f t="shared" si="22"/>
        <v>2.35702912303943</v>
      </c>
      <c r="C717">
        <f t="shared" si="23"/>
        <v>15.083931848162136</v>
      </c>
    </row>
    <row r="718" spans="1:3" x14ac:dyDescent="0.2">
      <c r="A718" s="3">
        <v>10.5</v>
      </c>
      <c r="B718">
        <f t="shared" si="22"/>
        <v>1.0211892990699381</v>
      </c>
      <c r="C718">
        <f t="shared" si="23"/>
        <v>3.2403703492039302</v>
      </c>
    </row>
    <row r="719" spans="1:3" x14ac:dyDescent="0.2">
      <c r="A719" s="3">
        <v>15.5</v>
      </c>
      <c r="B719">
        <f t="shared" si="22"/>
        <v>1.1903316981702914</v>
      </c>
      <c r="C719">
        <f t="shared" si="23"/>
        <v>3.9370039370059056</v>
      </c>
    </row>
    <row r="720" spans="1:3" x14ac:dyDescent="0.2">
      <c r="A720" s="3">
        <v>7.7750000000000004</v>
      </c>
      <c r="B720">
        <f t="shared" si="22"/>
        <v>0.8907003976988751</v>
      </c>
      <c r="C720">
        <f t="shared" si="23"/>
        <v>2.7883686987197374</v>
      </c>
    </row>
    <row r="721" spans="1:3" x14ac:dyDescent="0.2">
      <c r="A721" s="3">
        <v>33</v>
      </c>
      <c r="B721">
        <f t="shared" si="22"/>
        <v>1.5185139398778875</v>
      </c>
      <c r="C721">
        <f t="shared" si="23"/>
        <v>5.7445626465380286</v>
      </c>
    </row>
    <row r="722" spans="1:3" x14ac:dyDescent="0.2">
      <c r="A722" s="3">
        <v>7.0541999999999998</v>
      </c>
      <c r="B722">
        <f t="shared" si="22"/>
        <v>0.84844776858140869</v>
      </c>
      <c r="C722">
        <f t="shared" si="23"/>
        <v>2.6559743974669634</v>
      </c>
    </row>
    <row r="723" spans="1:3" x14ac:dyDescent="0.2">
      <c r="A723" s="3">
        <v>13</v>
      </c>
      <c r="B723">
        <f t="shared" si="22"/>
        <v>1.1139433523068367</v>
      </c>
      <c r="C723">
        <f t="shared" si="23"/>
        <v>3.6055512754639891</v>
      </c>
    </row>
    <row r="724" spans="1:3" x14ac:dyDescent="0.2">
      <c r="A724" s="3">
        <v>13</v>
      </c>
      <c r="B724">
        <f t="shared" si="22"/>
        <v>1.1139433523068367</v>
      </c>
      <c r="C724">
        <f t="shared" si="23"/>
        <v>3.6055512754639891</v>
      </c>
    </row>
    <row r="725" spans="1:3" x14ac:dyDescent="0.2">
      <c r="A725" s="3">
        <v>53.1</v>
      </c>
      <c r="B725">
        <f t="shared" si="22"/>
        <v>1.725094521081469</v>
      </c>
      <c r="C725">
        <f t="shared" si="23"/>
        <v>7.286974680894672</v>
      </c>
    </row>
    <row r="726" spans="1:3" x14ac:dyDescent="0.2">
      <c r="A726" s="3">
        <v>8.6624999999999996</v>
      </c>
      <c r="B726">
        <f t="shared" si="22"/>
        <v>0.93764324761986317</v>
      </c>
      <c r="C726">
        <f t="shared" si="23"/>
        <v>2.9432125305522874</v>
      </c>
    </row>
    <row r="727" spans="1:3" x14ac:dyDescent="0.2">
      <c r="A727" s="3">
        <v>21</v>
      </c>
      <c r="B727">
        <f t="shared" si="22"/>
        <v>1.3222192947339193</v>
      </c>
      <c r="C727">
        <f t="shared" si="23"/>
        <v>4.5825756949558398</v>
      </c>
    </row>
    <row r="728" spans="1:3" x14ac:dyDescent="0.2">
      <c r="A728" s="3">
        <v>7.7374999999999998</v>
      </c>
      <c r="B728">
        <f t="shared" si="22"/>
        <v>0.88860066202817434</v>
      </c>
      <c r="C728">
        <f t="shared" si="23"/>
        <v>2.7816362091402245</v>
      </c>
    </row>
    <row r="729" spans="1:3" x14ac:dyDescent="0.2">
      <c r="A729" s="3">
        <v>26</v>
      </c>
      <c r="B729">
        <f t="shared" si="22"/>
        <v>1.414973347970818</v>
      </c>
      <c r="C729">
        <f t="shared" si="23"/>
        <v>5.0990195135927845</v>
      </c>
    </row>
    <row r="730" spans="1:3" x14ac:dyDescent="0.2">
      <c r="A730" s="3">
        <v>7.9249999999999998</v>
      </c>
      <c r="B730">
        <f t="shared" si="22"/>
        <v>0.89899927088978915</v>
      </c>
      <c r="C730">
        <f t="shared" si="23"/>
        <v>2.8151376520518494</v>
      </c>
    </row>
    <row r="731" spans="1:3" x14ac:dyDescent="0.2">
      <c r="A731" s="3">
        <v>211.33750000000001</v>
      </c>
      <c r="B731">
        <f t="shared" si="22"/>
        <v>2.3249765656660264</v>
      </c>
      <c r="C731">
        <f t="shared" si="23"/>
        <v>14.537451633625475</v>
      </c>
    </row>
    <row r="732" spans="1:3" x14ac:dyDescent="0.2">
      <c r="A732" s="3">
        <v>18.787500000000001</v>
      </c>
      <c r="B732">
        <f t="shared" si="22"/>
        <v>1.2738689935949645</v>
      </c>
      <c r="C732">
        <f t="shared" si="23"/>
        <v>4.3344549830399668</v>
      </c>
    </row>
    <row r="733" spans="1:3" x14ac:dyDescent="0.2">
      <c r="A733" s="3">
        <v>0</v>
      </c>
      <c r="B733" t="e">
        <f t="shared" si="22"/>
        <v>#NUM!</v>
      </c>
      <c r="C733">
        <f t="shared" si="23"/>
        <v>0</v>
      </c>
    </row>
    <row r="734" spans="1:3" x14ac:dyDescent="0.2">
      <c r="A734" s="3">
        <v>13</v>
      </c>
      <c r="B734">
        <f t="shared" si="22"/>
        <v>1.1139433523068367</v>
      </c>
      <c r="C734">
        <f t="shared" si="23"/>
        <v>3.6055512754639891</v>
      </c>
    </row>
    <row r="735" spans="1:3" x14ac:dyDescent="0.2">
      <c r="A735" s="3">
        <v>13</v>
      </c>
      <c r="B735">
        <f t="shared" si="22"/>
        <v>1.1139433523068367</v>
      </c>
      <c r="C735">
        <f t="shared" si="23"/>
        <v>3.6055512754639891</v>
      </c>
    </row>
    <row r="736" spans="1:3" x14ac:dyDescent="0.2">
      <c r="A736" s="3">
        <v>16.100000000000001</v>
      </c>
      <c r="B736">
        <f t="shared" si="22"/>
        <v>1.2068258760318498</v>
      </c>
      <c r="C736">
        <f t="shared" si="23"/>
        <v>4.0124805295477763</v>
      </c>
    </row>
    <row r="737" spans="1:3" x14ac:dyDescent="0.2">
      <c r="A737" s="3">
        <v>34.375</v>
      </c>
      <c r="B737">
        <f t="shared" si="22"/>
        <v>1.5362427068383191</v>
      </c>
      <c r="C737">
        <f t="shared" si="23"/>
        <v>5.8630196997792874</v>
      </c>
    </row>
    <row r="738" spans="1:3" x14ac:dyDescent="0.2">
      <c r="A738" s="3">
        <v>512.32920000000001</v>
      </c>
      <c r="B738">
        <f t="shared" si="22"/>
        <v>2.7095491090238699</v>
      </c>
      <c r="C738">
        <f t="shared" si="23"/>
        <v>22.634690190060034</v>
      </c>
    </row>
    <row r="739" spans="1:3" x14ac:dyDescent="0.2">
      <c r="A739" s="3">
        <v>7.8958000000000004</v>
      </c>
      <c r="B739">
        <f t="shared" si="22"/>
        <v>0.89739613915544614</v>
      </c>
      <c r="C739">
        <f t="shared" si="23"/>
        <v>2.8099466187100424</v>
      </c>
    </row>
    <row r="740" spans="1:3" x14ac:dyDescent="0.2">
      <c r="A740" s="3">
        <v>7.8958000000000004</v>
      </c>
      <c r="B740">
        <f t="shared" si="22"/>
        <v>0.89739613915544614</v>
      </c>
      <c r="C740">
        <f t="shared" si="23"/>
        <v>2.8099466187100424</v>
      </c>
    </row>
    <row r="741" spans="1:3" x14ac:dyDescent="0.2">
      <c r="A741" s="3">
        <v>30</v>
      </c>
      <c r="B741">
        <f t="shared" si="22"/>
        <v>1.4771212547196624</v>
      </c>
      <c r="C741">
        <f t="shared" si="23"/>
        <v>5.4772255750516612</v>
      </c>
    </row>
    <row r="742" spans="1:3" x14ac:dyDescent="0.2">
      <c r="A742" s="3">
        <v>78.849999999999994</v>
      </c>
      <c r="B742">
        <f t="shared" si="22"/>
        <v>1.8968016976649216</v>
      </c>
      <c r="C742">
        <f t="shared" si="23"/>
        <v>8.8797522487961338</v>
      </c>
    </row>
    <row r="743" spans="1:3" x14ac:dyDescent="0.2">
      <c r="A743" s="3">
        <v>262.375</v>
      </c>
      <c r="B743">
        <f t="shared" si="22"/>
        <v>2.4189224515904568</v>
      </c>
      <c r="C743">
        <f t="shared" si="23"/>
        <v>16.197993702925064</v>
      </c>
    </row>
    <row r="744" spans="1:3" x14ac:dyDescent="0.2">
      <c r="A744" s="3">
        <v>16.100000000000001</v>
      </c>
      <c r="B744">
        <f t="shared" si="22"/>
        <v>1.2068258760318498</v>
      </c>
      <c r="C744">
        <f t="shared" si="23"/>
        <v>4.0124805295477763</v>
      </c>
    </row>
    <row r="745" spans="1:3" x14ac:dyDescent="0.2">
      <c r="A745" s="3">
        <v>7.9249999999999998</v>
      </c>
      <c r="B745">
        <f t="shared" si="22"/>
        <v>0.89899927088978915</v>
      </c>
      <c r="C745">
        <f t="shared" si="23"/>
        <v>2.8151376520518494</v>
      </c>
    </row>
    <row r="746" spans="1:3" x14ac:dyDescent="0.2">
      <c r="A746" s="3">
        <v>71</v>
      </c>
      <c r="B746">
        <f t="shared" si="22"/>
        <v>1.8512583487190752</v>
      </c>
      <c r="C746">
        <f t="shared" si="23"/>
        <v>8.426149773176359</v>
      </c>
    </row>
    <row r="747" spans="1:3" x14ac:dyDescent="0.2">
      <c r="A747" s="3">
        <v>20.25</v>
      </c>
      <c r="B747">
        <f t="shared" si="22"/>
        <v>1.3064250275506875</v>
      </c>
      <c r="C747">
        <f t="shared" si="23"/>
        <v>4.5</v>
      </c>
    </row>
    <row r="748" spans="1:3" x14ac:dyDescent="0.2">
      <c r="A748" s="3">
        <v>13</v>
      </c>
      <c r="B748">
        <f t="shared" si="22"/>
        <v>1.1139433523068367</v>
      </c>
      <c r="C748">
        <f t="shared" si="23"/>
        <v>3.6055512754639891</v>
      </c>
    </row>
    <row r="749" spans="1:3" x14ac:dyDescent="0.2">
      <c r="A749" s="3">
        <v>53.1</v>
      </c>
      <c r="B749">
        <f t="shared" si="22"/>
        <v>1.725094521081469</v>
      </c>
      <c r="C749">
        <f t="shared" si="23"/>
        <v>7.286974680894672</v>
      </c>
    </row>
    <row r="750" spans="1:3" x14ac:dyDescent="0.2">
      <c r="A750" s="3">
        <v>7.75</v>
      </c>
      <c r="B750">
        <f t="shared" si="22"/>
        <v>0.88930170250631024</v>
      </c>
      <c r="C750">
        <f t="shared" si="23"/>
        <v>2.7838821814150108</v>
      </c>
    </row>
    <row r="751" spans="1:3" x14ac:dyDescent="0.2">
      <c r="A751" s="3">
        <v>23</v>
      </c>
      <c r="B751">
        <f t="shared" si="22"/>
        <v>1.3617278360175928</v>
      </c>
      <c r="C751">
        <f t="shared" si="23"/>
        <v>4.7958315233127191</v>
      </c>
    </row>
    <row r="752" spans="1:3" x14ac:dyDescent="0.2">
      <c r="A752" s="3">
        <v>12.475</v>
      </c>
      <c r="B752">
        <f t="shared" si="22"/>
        <v>1.0960405542954275</v>
      </c>
      <c r="C752">
        <f t="shared" si="23"/>
        <v>3.5319966024898721</v>
      </c>
    </row>
    <row r="753" spans="1:3" x14ac:dyDescent="0.2">
      <c r="A753" s="3">
        <v>9.5</v>
      </c>
      <c r="B753">
        <f t="shared" si="22"/>
        <v>0.97772360528884772</v>
      </c>
      <c r="C753">
        <f t="shared" si="23"/>
        <v>3.082207001484488</v>
      </c>
    </row>
    <row r="754" spans="1:3" x14ac:dyDescent="0.2">
      <c r="A754" s="3">
        <v>7.8958000000000004</v>
      </c>
      <c r="B754">
        <f t="shared" si="22"/>
        <v>0.89739613915544614</v>
      </c>
      <c r="C754">
        <f t="shared" si="23"/>
        <v>2.8099466187100424</v>
      </c>
    </row>
    <row r="755" spans="1:3" x14ac:dyDescent="0.2">
      <c r="A755" s="3">
        <v>65</v>
      </c>
      <c r="B755">
        <f t="shared" si="22"/>
        <v>1.8129133566428555</v>
      </c>
      <c r="C755">
        <f t="shared" si="23"/>
        <v>8.0622577482985491</v>
      </c>
    </row>
    <row r="756" spans="1:3" x14ac:dyDescent="0.2">
      <c r="A756" s="3">
        <v>14.5</v>
      </c>
      <c r="B756">
        <f t="shared" si="22"/>
        <v>1.1613680022349748</v>
      </c>
      <c r="C756">
        <f t="shared" si="23"/>
        <v>3.8078865529319543</v>
      </c>
    </row>
    <row r="757" spans="1:3" x14ac:dyDescent="0.2">
      <c r="A757" s="3">
        <v>7.7957999999999998</v>
      </c>
      <c r="B757">
        <f t="shared" si="22"/>
        <v>0.8918606888331484</v>
      </c>
      <c r="C757">
        <f t="shared" si="23"/>
        <v>2.792095986888703</v>
      </c>
    </row>
    <row r="758" spans="1:3" x14ac:dyDescent="0.2">
      <c r="A758" s="3">
        <v>11.5</v>
      </c>
      <c r="B758">
        <f t="shared" si="22"/>
        <v>1.0606978403536116</v>
      </c>
      <c r="C758">
        <f t="shared" si="23"/>
        <v>3.3911649915626341</v>
      </c>
    </row>
    <row r="759" spans="1:3" x14ac:dyDescent="0.2">
      <c r="A759" s="3">
        <v>8.0500000000000007</v>
      </c>
      <c r="B759">
        <f t="shared" si="22"/>
        <v>0.90579588036786851</v>
      </c>
      <c r="C759">
        <f t="shared" si="23"/>
        <v>2.8372521918222215</v>
      </c>
    </row>
    <row r="760" spans="1:3" x14ac:dyDescent="0.2">
      <c r="A760" s="3">
        <v>86.5</v>
      </c>
      <c r="B760">
        <f t="shared" si="22"/>
        <v>1.9370161074648142</v>
      </c>
      <c r="C760">
        <f t="shared" si="23"/>
        <v>9.3005376188691375</v>
      </c>
    </row>
    <row r="761" spans="1:3" x14ac:dyDescent="0.2">
      <c r="A761" s="3">
        <v>14.5</v>
      </c>
      <c r="B761">
        <f t="shared" si="22"/>
        <v>1.1613680022349748</v>
      </c>
      <c r="C761">
        <f t="shared" si="23"/>
        <v>3.8078865529319543</v>
      </c>
    </row>
    <row r="762" spans="1:3" x14ac:dyDescent="0.2">
      <c r="A762" s="3">
        <v>7.125</v>
      </c>
      <c r="B762">
        <f t="shared" si="22"/>
        <v>0.85278486868054781</v>
      </c>
      <c r="C762">
        <f t="shared" si="23"/>
        <v>2.6692695630078278</v>
      </c>
    </row>
    <row r="763" spans="1:3" x14ac:dyDescent="0.2">
      <c r="A763" s="3">
        <v>7.2291999999999996</v>
      </c>
      <c r="B763">
        <f t="shared" si="22"/>
        <v>0.85909023992124911</v>
      </c>
      <c r="C763">
        <f t="shared" si="23"/>
        <v>2.688717166233741</v>
      </c>
    </row>
    <row r="764" spans="1:3" x14ac:dyDescent="0.2">
      <c r="A764" s="3">
        <v>120</v>
      </c>
      <c r="B764">
        <f t="shared" si="22"/>
        <v>2.0791812460476247</v>
      </c>
      <c r="C764">
        <f t="shared" si="23"/>
        <v>10.954451150103322</v>
      </c>
    </row>
    <row r="765" spans="1:3" x14ac:dyDescent="0.2">
      <c r="A765" s="3">
        <v>7.7750000000000004</v>
      </c>
      <c r="B765">
        <f t="shared" si="22"/>
        <v>0.8907003976988751</v>
      </c>
      <c r="C765">
        <f t="shared" si="23"/>
        <v>2.7883686987197374</v>
      </c>
    </row>
    <row r="766" spans="1:3" x14ac:dyDescent="0.2">
      <c r="A766" s="3">
        <v>77.958299999999994</v>
      </c>
      <c r="B766">
        <f t="shared" si="22"/>
        <v>1.8918623600932356</v>
      </c>
      <c r="C766">
        <f t="shared" si="23"/>
        <v>8.8293997530976025</v>
      </c>
    </row>
    <row r="767" spans="1:3" x14ac:dyDescent="0.2">
      <c r="A767" s="3">
        <v>39.6</v>
      </c>
      <c r="B767">
        <f t="shared" si="22"/>
        <v>1.5976951859255124</v>
      </c>
      <c r="C767">
        <f t="shared" si="23"/>
        <v>6.2928530890209098</v>
      </c>
    </row>
    <row r="768" spans="1:3" x14ac:dyDescent="0.2">
      <c r="A768" s="3">
        <v>7.75</v>
      </c>
      <c r="B768">
        <f t="shared" si="22"/>
        <v>0.88930170250631024</v>
      </c>
      <c r="C768">
        <f t="shared" si="23"/>
        <v>2.7838821814150108</v>
      </c>
    </row>
    <row r="769" spans="1:3" x14ac:dyDescent="0.2">
      <c r="A769" s="3">
        <v>24.15</v>
      </c>
      <c r="B769">
        <f t="shared" si="22"/>
        <v>1.3829171350875309</v>
      </c>
      <c r="C769">
        <f t="shared" si="23"/>
        <v>4.914264950122246</v>
      </c>
    </row>
    <row r="770" spans="1:3" x14ac:dyDescent="0.2">
      <c r="A770" s="3">
        <v>8.3625000000000007</v>
      </c>
      <c r="B770">
        <f t="shared" ref="B770:B833" si="24">LOG10(A770)</f>
        <v>0.92233613077587961</v>
      </c>
      <c r="C770">
        <f t="shared" ref="C770:C833" si="25">SQRT(A770)</f>
        <v>2.8917987481842511</v>
      </c>
    </row>
    <row r="771" spans="1:3" x14ac:dyDescent="0.2">
      <c r="A771" s="3">
        <v>9.5</v>
      </c>
      <c r="B771">
        <f t="shared" si="24"/>
        <v>0.97772360528884772</v>
      </c>
      <c r="C771">
        <f t="shared" si="25"/>
        <v>3.082207001484488</v>
      </c>
    </row>
    <row r="772" spans="1:3" x14ac:dyDescent="0.2">
      <c r="A772" s="3">
        <v>7.8541999999999996</v>
      </c>
      <c r="B772">
        <f t="shared" si="24"/>
        <v>0.89510195598589926</v>
      </c>
      <c r="C772">
        <f t="shared" si="25"/>
        <v>2.8025345671373976</v>
      </c>
    </row>
    <row r="773" spans="1:3" x14ac:dyDescent="0.2">
      <c r="A773" s="3">
        <v>10.5</v>
      </c>
      <c r="B773">
        <f t="shared" si="24"/>
        <v>1.0211892990699381</v>
      </c>
      <c r="C773">
        <f t="shared" si="25"/>
        <v>3.2403703492039302</v>
      </c>
    </row>
    <row r="774" spans="1:3" x14ac:dyDescent="0.2">
      <c r="A774" s="3">
        <v>7.2249999999999996</v>
      </c>
      <c r="B774">
        <f t="shared" si="24"/>
        <v>0.85883785142858549</v>
      </c>
      <c r="C774">
        <f t="shared" si="25"/>
        <v>2.6879360111431225</v>
      </c>
    </row>
    <row r="775" spans="1:3" x14ac:dyDescent="0.2">
      <c r="A775" s="3">
        <v>23</v>
      </c>
      <c r="B775">
        <f t="shared" si="24"/>
        <v>1.3617278360175928</v>
      </c>
      <c r="C775">
        <f t="shared" si="25"/>
        <v>4.7958315233127191</v>
      </c>
    </row>
    <row r="776" spans="1:3" x14ac:dyDescent="0.2">
      <c r="A776" s="3">
        <v>7.75</v>
      </c>
      <c r="B776">
        <f t="shared" si="24"/>
        <v>0.88930170250631024</v>
      </c>
      <c r="C776">
        <f t="shared" si="25"/>
        <v>2.7838821814150108</v>
      </c>
    </row>
    <row r="777" spans="1:3" x14ac:dyDescent="0.2">
      <c r="A777" s="3">
        <v>7.75</v>
      </c>
      <c r="B777">
        <f t="shared" si="24"/>
        <v>0.88930170250631024</v>
      </c>
      <c r="C777">
        <f t="shared" si="25"/>
        <v>2.7838821814150108</v>
      </c>
    </row>
    <row r="778" spans="1:3" x14ac:dyDescent="0.2">
      <c r="A778" s="3">
        <v>12.475</v>
      </c>
      <c r="B778">
        <f t="shared" si="24"/>
        <v>1.0960405542954275</v>
      </c>
      <c r="C778">
        <f t="shared" si="25"/>
        <v>3.5319966024898721</v>
      </c>
    </row>
    <row r="779" spans="1:3" x14ac:dyDescent="0.2">
      <c r="A779" s="3">
        <v>7.7374999999999998</v>
      </c>
      <c r="B779">
        <f t="shared" si="24"/>
        <v>0.88860066202817434</v>
      </c>
      <c r="C779">
        <f t="shared" si="25"/>
        <v>2.7816362091402245</v>
      </c>
    </row>
    <row r="780" spans="1:3" x14ac:dyDescent="0.2">
      <c r="A780" s="3">
        <v>211.33750000000001</v>
      </c>
      <c r="B780">
        <f t="shared" si="24"/>
        <v>2.3249765656660264</v>
      </c>
      <c r="C780">
        <f t="shared" si="25"/>
        <v>14.537451633625475</v>
      </c>
    </row>
    <row r="781" spans="1:3" x14ac:dyDescent="0.2">
      <c r="A781" s="3">
        <v>7.2291999999999996</v>
      </c>
      <c r="B781">
        <f t="shared" si="24"/>
        <v>0.85909023992124911</v>
      </c>
      <c r="C781">
        <f t="shared" si="25"/>
        <v>2.688717166233741</v>
      </c>
    </row>
    <row r="782" spans="1:3" x14ac:dyDescent="0.2">
      <c r="A782" s="3">
        <v>57</v>
      </c>
      <c r="B782">
        <f t="shared" si="24"/>
        <v>1.7558748556724915</v>
      </c>
      <c r="C782">
        <f t="shared" si="25"/>
        <v>7.5498344352707498</v>
      </c>
    </row>
    <row r="783" spans="1:3" x14ac:dyDescent="0.2">
      <c r="A783" s="3">
        <v>30</v>
      </c>
      <c r="B783">
        <f t="shared" si="24"/>
        <v>1.4771212547196624</v>
      </c>
      <c r="C783">
        <f t="shared" si="25"/>
        <v>5.4772255750516612</v>
      </c>
    </row>
    <row r="784" spans="1:3" x14ac:dyDescent="0.2">
      <c r="A784" s="3">
        <v>23.45</v>
      </c>
      <c r="B784">
        <f t="shared" si="24"/>
        <v>1.3701428470511021</v>
      </c>
      <c r="C784">
        <f t="shared" si="25"/>
        <v>4.8425200051213002</v>
      </c>
    </row>
    <row r="785" spans="1:3" x14ac:dyDescent="0.2">
      <c r="A785" s="3">
        <v>7.05</v>
      </c>
      <c r="B785">
        <f t="shared" si="24"/>
        <v>0.84818911699139865</v>
      </c>
      <c r="C785">
        <f t="shared" si="25"/>
        <v>2.6551836094703507</v>
      </c>
    </row>
    <row r="786" spans="1:3" x14ac:dyDescent="0.2">
      <c r="A786" s="3">
        <v>7.25</v>
      </c>
      <c r="B786">
        <f t="shared" si="24"/>
        <v>0.86033800657099369</v>
      </c>
      <c r="C786">
        <f t="shared" si="25"/>
        <v>2.6925824035672519</v>
      </c>
    </row>
    <row r="787" spans="1:3" x14ac:dyDescent="0.2">
      <c r="A787" s="3">
        <v>7.4958</v>
      </c>
      <c r="B787">
        <f t="shared" si="24"/>
        <v>0.87481799035902574</v>
      </c>
      <c r="C787">
        <f t="shared" si="25"/>
        <v>2.7378458685616325</v>
      </c>
    </row>
    <row r="788" spans="1:3" x14ac:dyDescent="0.2">
      <c r="A788" s="3">
        <v>29.125</v>
      </c>
      <c r="B788">
        <f t="shared" si="24"/>
        <v>1.4642659340340753</v>
      </c>
      <c r="C788">
        <f t="shared" si="25"/>
        <v>5.3967582862307255</v>
      </c>
    </row>
    <row r="789" spans="1:3" x14ac:dyDescent="0.2">
      <c r="A789" s="3">
        <v>20.574999999999999</v>
      </c>
      <c r="B789">
        <f t="shared" si="24"/>
        <v>1.3133398438843074</v>
      </c>
      <c r="C789">
        <f t="shared" si="25"/>
        <v>4.5359673720166906</v>
      </c>
    </row>
    <row r="790" spans="1:3" x14ac:dyDescent="0.2">
      <c r="A790" s="3">
        <v>79.2</v>
      </c>
      <c r="B790">
        <f t="shared" si="24"/>
        <v>1.8987251815894934</v>
      </c>
      <c r="C790">
        <f t="shared" si="25"/>
        <v>8.8994381845147963</v>
      </c>
    </row>
    <row r="791" spans="1:3" x14ac:dyDescent="0.2">
      <c r="A791" s="3">
        <v>7.75</v>
      </c>
      <c r="B791">
        <f t="shared" si="24"/>
        <v>0.88930170250631024</v>
      </c>
      <c r="C791">
        <f t="shared" si="25"/>
        <v>2.7838821814150108</v>
      </c>
    </row>
    <row r="792" spans="1:3" x14ac:dyDescent="0.2">
      <c r="A792" s="3">
        <v>26</v>
      </c>
      <c r="B792">
        <f t="shared" si="24"/>
        <v>1.414973347970818</v>
      </c>
      <c r="C792">
        <f t="shared" si="25"/>
        <v>5.0990195135927845</v>
      </c>
    </row>
    <row r="793" spans="1:3" x14ac:dyDescent="0.2">
      <c r="A793" s="3">
        <v>69.55</v>
      </c>
      <c r="B793">
        <f t="shared" si="24"/>
        <v>1.8422971343280652</v>
      </c>
      <c r="C793">
        <f t="shared" si="25"/>
        <v>8.3396642618273304</v>
      </c>
    </row>
    <row r="794" spans="1:3" x14ac:dyDescent="0.2">
      <c r="A794" s="3">
        <v>30.695799999999998</v>
      </c>
      <c r="B794">
        <f t="shared" si="24"/>
        <v>1.4870789565323452</v>
      </c>
      <c r="C794">
        <f t="shared" si="25"/>
        <v>5.5403790484045405</v>
      </c>
    </row>
    <row r="795" spans="1:3" x14ac:dyDescent="0.2">
      <c r="A795" s="3">
        <v>7.8958000000000004</v>
      </c>
      <c r="B795">
        <f t="shared" si="24"/>
        <v>0.89739613915544614</v>
      </c>
      <c r="C795">
        <f t="shared" si="25"/>
        <v>2.8099466187100424</v>
      </c>
    </row>
    <row r="796" spans="1:3" x14ac:dyDescent="0.2">
      <c r="A796" s="3">
        <v>13</v>
      </c>
      <c r="B796">
        <f t="shared" si="24"/>
        <v>1.1139433523068367</v>
      </c>
      <c r="C796">
        <f t="shared" si="25"/>
        <v>3.6055512754639891</v>
      </c>
    </row>
    <row r="797" spans="1:3" x14ac:dyDescent="0.2">
      <c r="A797" s="3">
        <v>25.929200000000002</v>
      </c>
      <c r="B797">
        <f t="shared" si="24"/>
        <v>1.4137891175813366</v>
      </c>
      <c r="C797">
        <f t="shared" si="25"/>
        <v>5.0920722697149534</v>
      </c>
    </row>
    <row r="798" spans="1:3" x14ac:dyDescent="0.2">
      <c r="A798" s="3">
        <v>8.6832999999999991</v>
      </c>
      <c r="B798">
        <f t="shared" si="24"/>
        <v>0.93868480575536073</v>
      </c>
      <c r="C798">
        <f t="shared" si="25"/>
        <v>2.9467439658036119</v>
      </c>
    </row>
    <row r="799" spans="1:3" x14ac:dyDescent="0.2">
      <c r="A799" s="3">
        <v>7.2291999999999996</v>
      </c>
      <c r="B799">
        <f t="shared" si="24"/>
        <v>0.85909023992124911</v>
      </c>
      <c r="C799">
        <f t="shared" si="25"/>
        <v>2.688717166233741</v>
      </c>
    </row>
    <row r="800" spans="1:3" x14ac:dyDescent="0.2">
      <c r="A800" s="3">
        <v>24.15</v>
      </c>
      <c r="B800">
        <f t="shared" si="24"/>
        <v>1.3829171350875309</v>
      </c>
      <c r="C800">
        <f t="shared" si="25"/>
        <v>4.914264950122246</v>
      </c>
    </row>
    <row r="801" spans="1:3" x14ac:dyDescent="0.2">
      <c r="A801" s="3">
        <v>13</v>
      </c>
      <c r="B801">
        <f t="shared" si="24"/>
        <v>1.1139433523068367</v>
      </c>
      <c r="C801">
        <f t="shared" si="25"/>
        <v>3.6055512754639891</v>
      </c>
    </row>
    <row r="802" spans="1:3" x14ac:dyDescent="0.2">
      <c r="A802" s="3">
        <v>26.25</v>
      </c>
      <c r="B802">
        <f t="shared" si="24"/>
        <v>1.4191293077419758</v>
      </c>
      <c r="C802">
        <f t="shared" si="25"/>
        <v>5.123475382979799</v>
      </c>
    </row>
    <row r="803" spans="1:3" x14ac:dyDescent="0.2">
      <c r="A803" s="3">
        <v>120</v>
      </c>
      <c r="B803">
        <f t="shared" si="24"/>
        <v>2.0791812460476247</v>
      </c>
      <c r="C803">
        <f t="shared" si="25"/>
        <v>10.954451150103322</v>
      </c>
    </row>
    <row r="804" spans="1:3" x14ac:dyDescent="0.2">
      <c r="A804" s="3">
        <v>8.5167000000000002</v>
      </c>
      <c r="B804">
        <f t="shared" si="24"/>
        <v>0.93027134953045076</v>
      </c>
      <c r="C804">
        <f t="shared" si="25"/>
        <v>2.9183385684323881</v>
      </c>
    </row>
    <row r="805" spans="1:3" x14ac:dyDescent="0.2">
      <c r="A805" s="3">
        <v>6.9749999999999996</v>
      </c>
      <c r="B805">
        <f t="shared" si="24"/>
        <v>0.84354421194563511</v>
      </c>
      <c r="C805">
        <f t="shared" si="25"/>
        <v>2.6410225292488514</v>
      </c>
    </row>
    <row r="806" spans="1:3" x14ac:dyDescent="0.2">
      <c r="A806" s="3">
        <v>7.7750000000000004</v>
      </c>
      <c r="B806">
        <f t="shared" si="24"/>
        <v>0.8907003976988751</v>
      </c>
      <c r="C806">
        <f t="shared" si="25"/>
        <v>2.7883686987197374</v>
      </c>
    </row>
    <row r="807" spans="1:3" x14ac:dyDescent="0.2">
      <c r="A807" s="3">
        <v>0</v>
      </c>
      <c r="B807" t="e">
        <f t="shared" si="24"/>
        <v>#NUM!</v>
      </c>
      <c r="C807">
        <f t="shared" si="25"/>
        <v>0</v>
      </c>
    </row>
    <row r="808" spans="1:3" x14ac:dyDescent="0.2">
      <c r="A808" s="3">
        <v>7.7750000000000004</v>
      </c>
      <c r="B808">
        <f t="shared" si="24"/>
        <v>0.8907003976988751</v>
      </c>
      <c r="C808">
        <f t="shared" si="25"/>
        <v>2.7883686987197374</v>
      </c>
    </row>
    <row r="809" spans="1:3" x14ac:dyDescent="0.2">
      <c r="A809" s="3">
        <v>13</v>
      </c>
      <c r="B809">
        <f t="shared" si="24"/>
        <v>1.1139433523068367</v>
      </c>
      <c r="C809">
        <f t="shared" si="25"/>
        <v>3.6055512754639891</v>
      </c>
    </row>
    <row r="810" spans="1:3" x14ac:dyDescent="0.2">
      <c r="A810" s="3">
        <v>53.1</v>
      </c>
      <c r="B810">
        <f t="shared" si="24"/>
        <v>1.725094521081469</v>
      </c>
      <c r="C810">
        <f t="shared" si="25"/>
        <v>7.286974680894672</v>
      </c>
    </row>
    <row r="811" spans="1:3" x14ac:dyDescent="0.2">
      <c r="A811" s="3">
        <v>7.8875000000000002</v>
      </c>
      <c r="B811">
        <f t="shared" si="24"/>
        <v>0.89693937225219078</v>
      </c>
      <c r="C811">
        <f t="shared" si="25"/>
        <v>2.8084693339967237</v>
      </c>
    </row>
    <row r="812" spans="1:3" x14ac:dyDescent="0.2">
      <c r="A812" s="3">
        <v>24.15</v>
      </c>
      <c r="B812">
        <f t="shared" si="24"/>
        <v>1.3829171350875309</v>
      </c>
      <c r="C812">
        <f t="shared" si="25"/>
        <v>4.914264950122246</v>
      </c>
    </row>
    <row r="813" spans="1:3" x14ac:dyDescent="0.2">
      <c r="A813" s="3">
        <v>10.5</v>
      </c>
      <c r="B813">
        <f t="shared" si="24"/>
        <v>1.0211892990699381</v>
      </c>
      <c r="C813">
        <f t="shared" si="25"/>
        <v>3.2403703492039302</v>
      </c>
    </row>
    <row r="814" spans="1:3" x14ac:dyDescent="0.2">
      <c r="A814" s="3">
        <v>31.274999999999999</v>
      </c>
      <c r="B814">
        <f t="shared" si="24"/>
        <v>1.4951973183654574</v>
      </c>
      <c r="C814">
        <f t="shared" si="25"/>
        <v>5.5924055646921742</v>
      </c>
    </row>
    <row r="815" spans="1:3" x14ac:dyDescent="0.2">
      <c r="A815" s="3">
        <v>8.0500000000000007</v>
      </c>
      <c r="B815">
        <f t="shared" si="24"/>
        <v>0.90579588036786851</v>
      </c>
      <c r="C815">
        <f t="shared" si="25"/>
        <v>2.8372521918222215</v>
      </c>
    </row>
    <row r="816" spans="1:3" x14ac:dyDescent="0.2">
      <c r="A816" s="3">
        <v>0</v>
      </c>
      <c r="B816" t="e">
        <f t="shared" si="24"/>
        <v>#NUM!</v>
      </c>
      <c r="C816">
        <f t="shared" si="25"/>
        <v>0</v>
      </c>
    </row>
    <row r="817" spans="1:3" x14ac:dyDescent="0.2">
      <c r="A817" s="3">
        <v>7.9249999999999998</v>
      </c>
      <c r="B817">
        <f t="shared" si="24"/>
        <v>0.89899927088978915</v>
      </c>
      <c r="C817">
        <f t="shared" si="25"/>
        <v>2.8151376520518494</v>
      </c>
    </row>
    <row r="818" spans="1:3" x14ac:dyDescent="0.2">
      <c r="A818" s="3">
        <v>37.004199999999997</v>
      </c>
      <c r="B818">
        <f t="shared" si="24"/>
        <v>1.5682510195617358</v>
      </c>
      <c r="C818">
        <f t="shared" si="25"/>
        <v>6.0831077583748261</v>
      </c>
    </row>
    <row r="819" spans="1:3" x14ac:dyDescent="0.2">
      <c r="A819" s="3">
        <v>6.45</v>
      </c>
      <c r="B819">
        <f t="shared" si="24"/>
        <v>0.80955971463526777</v>
      </c>
      <c r="C819">
        <f t="shared" si="25"/>
        <v>2.5396850198400589</v>
      </c>
    </row>
    <row r="820" spans="1:3" x14ac:dyDescent="0.2">
      <c r="A820" s="3">
        <v>27.9</v>
      </c>
      <c r="B820">
        <f t="shared" si="24"/>
        <v>1.4456042032735976</v>
      </c>
      <c r="C820">
        <f t="shared" si="25"/>
        <v>5.2820450584977028</v>
      </c>
    </row>
    <row r="821" spans="1:3" x14ac:dyDescent="0.2">
      <c r="A821" s="3">
        <v>93.5</v>
      </c>
      <c r="B821">
        <f t="shared" si="24"/>
        <v>1.9708116108725178</v>
      </c>
      <c r="C821">
        <f t="shared" si="25"/>
        <v>9.6695398029068578</v>
      </c>
    </row>
    <row r="822" spans="1:3" x14ac:dyDescent="0.2">
      <c r="A822" s="3">
        <v>8.6624999999999996</v>
      </c>
      <c r="B822">
        <f t="shared" si="24"/>
        <v>0.93764324761986317</v>
      </c>
      <c r="C822">
        <f t="shared" si="25"/>
        <v>2.9432125305522874</v>
      </c>
    </row>
    <row r="823" spans="1:3" x14ac:dyDescent="0.2">
      <c r="A823" s="3">
        <v>0</v>
      </c>
      <c r="B823" t="e">
        <f t="shared" si="24"/>
        <v>#NUM!</v>
      </c>
      <c r="C823">
        <f t="shared" si="25"/>
        <v>0</v>
      </c>
    </row>
    <row r="824" spans="1:3" x14ac:dyDescent="0.2">
      <c r="A824" s="3">
        <v>12.475</v>
      </c>
      <c r="B824">
        <f t="shared" si="24"/>
        <v>1.0960405542954275</v>
      </c>
      <c r="C824">
        <f t="shared" si="25"/>
        <v>3.5319966024898721</v>
      </c>
    </row>
    <row r="825" spans="1:3" x14ac:dyDescent="0.2">
      <c r="A825" s="3">
        <v>39.6875</v>
      </c>
      <c r="B825">
        <f t="shared" si="24"/>
        <v>1.598653742636051</v>
      </c>
      <c r="C825">
        <f t="shared" si="25"/>
        <v>6.299801584177076</v>
      </c>
    </row>
    <row r="826" spans="1:3" x14ac:dyDescent="0.2">
      <c r="A826" s="3">
        <v>6.95</v>
      </c>
      <c r="B826">
        <f t="shared" si="24"/>
        <v>0.84198480459011393</v>
      </c>
      <c r="C826">
        <f t="shared" si="25"/>
        <v>2.6362852652928135</v>
      </c>
    </row>
    <row r="827" spans="1:3" x14ac:dyDescent="0.2">
      <c r="A827" s="3">
        <v>56.495800000000003</v>
      </c>
      <c r="B827">
        <f t="shared" si="24"/>
        <v>1.752016162781856</v>
      </c>
      <c r="C827">
        <f t="shared" si="25"/>
        <v>7.5163688041500469</v>
      </c>
    </row>
    <row r="828" spans="1:3" x14ac:dyDescent="0.2">
      <c r="A828" s="3">
        <v>37.004199999999997</v>
      </c>
      <c r="B828">
        <f t="shared" si="24"/>
        <v>1.5682510195617358</v>
      </c>
      <c r="C828">
        <f t="shared" si="25"/>
        <v>6.0831077583748261</v>
      </c>
    </row>
    <row r="829" spans="1:3" x14ac:dyDescent="0.2">
      <c r="A829" s="3">
        <v>7.75</v>
      </c>
      <c r="B829">
        <f t="shared" si="24"/>
        <v>0.88930170250631024</v>
      </c>
      <c r="C829">
        <f t="shared" si="25"/>
        <v>2.7838821814150108</v>
      </c>
    </row>
    <row r="830" spans="1:3" x14ac:dyDescent="0.2">
      <c r="A830" s="3">
        <v>80</v>
      </c>
      <c r="B830">
        <f t="shared" si="24"/>
        <v>1.9030899869919435</v>
      </c>
      <c r="C830">
        <f t="shared" si="25"/>
        <v>8.9442719099991592</v>
      </c>
    </row>
    <row r="831" spans="1:3" x14ac:dyDescent="0.2">
      <c r="A831" s="3">
        <v>14.4542</v>
      </c>
      <c r="B831">
        <f t="shared" si="24"/>
        <v>1.1599940596732181</v>
      </c>
      <c r="C831">
        <f t="shared" si="25"/>
        <v>3.8018679619366056</v>
      </c>
    </row>
    <row r="832" spans="1:3" x14ac:dyDescent="0.2">
      <c r="A832" s="3">
        <v>18.75</v>
      </c>
      <c r="B832">
        <f t="shared" si="24"/>
        <v>1.2730012720637376</v>
      </c>
      <c r="C832">
        <f t="shared" si="25"/>
        <v>4.3301270189221936</v>
      </c>
    </row>
    <row r="833" spans="1:3" x14ac:dyDescent="0.2">
      <c r="A833" s="3">
        <v>7.2291999999999996</v>
      </c>
      <c r="B833">
        <f t="shared" si="24"/>
        <v>0.85909023992124911</v>
      </c>
      <c r="C833">
        <f t="shared" si="25"/>
        <v>2.688717166233741</v>
      </c>
    </row>
    <row r="834" spans="1:3" x14ac:dyDescent="0.2">
      <c r="A834" s="3">
        <v>7.8541999999999996</v>
      </c>
      <c r="B834">
        <f t="shared" ref="B834:B891" si="26">LOG10(A834)</f>
        <v>0.89510195598589926</v>
      </c>
      <c r="C834">
        <f t="shared" ref="C834:C891" si="27">SQRT(A834)</f>
        <v>2.8025345671373976</v>
      </c>
    </row>
    <row r="835" spans="1:3" x14ac:dyDescent="0.2">
      <c r="A835" s="3">
        <v>8.3000000000000007</v>
      </c>
      <c r="B835">
        <f t="shared" si="26"/>
        <v>0.91907809237607396</v>
      </c>
      <c r="C835">
        <f t="shared" si="27"/>
        <v>2.8809720581775866</v>
      </c>
    </row>
    <row r="836" spans="1:3" x14ac:dyDescent="0.2">
      <c r="A836" s="3">
        <v>83.158299999999997</v>
      </c>
      <c r="B836">
        <f t="shared" si="26"/>
        <v>1.9199056024948609</v>
      </c>
      <c r="C836">
        <f t="shared" si="27"/>
        <v>9.1191172818425787</v>
      </c>
    </row>
    <row r="837" spans="1:3" x14ac:dyDescent="0.2">
      <c r="A837" s="3">
        <v>8.6624999999999996</v>
      </c>
      <c r="B837">
        <f t="shared" si="26"/>
        <v>0.93764324761986317</v>
      </c>
      <c r="C837">
        <f t="shared" si="27"/>
        <v>2.9432125305522874</v>
      </c>
    </row>
    <row r="838" spans="1:3" x14ac:dyDescent="0.2">
      <c r="A838" s="3">
        <v>8.0500000000000007</v>
      </c>
      <c r="B838">
        <f t="shared" si="26"/>
        <v>0.90579588036786851</v>
      </c>
      <c r="C838">
        <f t="shared" si="27"/>
        <v>2.8372521918222215</v>
      </c>
    </row>
    <row r="839" spans="1:3" x14ac:dyDescent="0.2">
      <c r="A839" s="3">
        <v>56.495800000000003</v>
      </c>
      <c r="B839">
        <f t="shared" si="26"/>
        <v>1.752016162781856</v>
      </c>
      <c r="C839">
        <f t="shared" si="27"/>
        <v>7.5163688041500469</v>
      </c>
    </row>
    <row r="840" spans="1:3" x14ac:dyDescent="0.2">
      <c r="A840" s="3">
        <v>29.7</v>
      </c>
      <c r="B840">
        <f t="shared" si="26"/>
        <v>1.4727564493172123</v>
      </c>
      <c r="C840">
        <f t="shared" si="27"/>
        <v>5.4497706373754848</v>
      </c>
    </row>
    <row r="841" spans="1:3" x14ac:dyDescent="0.2">
      <c r="A841" s="3">
        <v>7.9249999999999998</v>
      </c>
      <c r="B841">
        <f t="shared" si="26"/>
        <v>0.89899927088978915</v>
      </c>
      <c r="C841">
        <f t="shared" si="27"/>
        <v>2.8151376520518494</v>
      </c>
    </row>
    <row r="842" spans="1:3" x14ac:dyDescent="0.2">
      <c r="A842" s="3">
        <v>10.5</v>
      </c>
      <c r="B842">
        <f t="shared" si="26"/>
        <v>1.0211892990699381</v>
      </c>
      <c r="C842">
        <f t="shared" si="27"/>
        <v>3.2403703492039302</v>
      </c>
    </row>
    <row r="843" spans="1:3" x14ac:dyDescent="0.2">
      <c r="A843" s="3">
        <v>31</v>
      </c>
      <c r="B843">
        <f t="shared" si="26"/>
        <v>1.4913616938342726</v>
      </c>
      <c r="C843">
        <f t="shared" si="27"/>
        <v>5.5677643628300215</v>
      </c>
    </row>
    <row r="844" spans="1:3" x14ac:dyDescent="0.2">
      <c r="A844" s="3">
        <v>6.4375</v>
      </c>
      <c r="B844">
        <f t="shared" si="26"/>
        <v>0.80871724204924744</v>
      </c>
      <c r="C844">
        <f t="shared" si="27"/>
        <v>2.5372228912730548</v>
      </c>
    </row>
    <row r="845" spans="1:3" x14ac:dyDescent="0.2">
      <c r="A845" s="3">
        <v>8.6624999999999996</v>
      </c>
      <c r="B845">
        <f t="shared" si="26"/>
        <v>0.93764324761986317</v>
      </c>
      <c r="C845">
        <f t="shared" si="27"/>
        <v>2.9432125305522874</v>
      </c>
    </row>
    <row r="846" spans="1:3" x14ac:dyDescent="0.2">
      <c r="A846" s="3">
        <v>7.55</v>
      </c>
      <c r="B846">
        <f t="shared" si="26"/>
        <v>0.87794695162918823</v>
      </c>
      <c r="C846">
        <f t="shared" si="27"/>
        <v>2.7477263328068173</v>
      </c>
    </row>
    <row r="847" spans="1:3" x14ac:dyDescent="0.2">
      <c r="A847" s="3">
        <v>69.55</v>
      </c>
      <c r="B847">
        <f t="shared" si="26"/>
        <v>1.8422971343280652</v>
      </c>
      <c r="C847">
        <f t="shared" si="27"/>
        <v>8.3396642618273304</v>
      </c>
    </row>
    <row r="848" spans="1:3" x14ac:dyDescent="0.2">
      <c r="A848" s="3">
        <v>7.8958000000000004</v>
      </c>
      <c r="B848">
        <f t="shared" si="26"/>
        <v>0.89739613915544614</v>
      </c>
      <c r="C848">
        <f t="shared" si="27"/>
        <v>2.8099466187100424</v>
      </c>
    </row>
    <row r="849" spans="1:3" x14ac:dyDescent="0.2">
      <c r="A849" s="3">
        <v>33</v>
      </c>
      <c r="B849">
        <f t="shared" si="26"/>
        <v>1.5185139398778875</v>
      </c>
      <c r="C849">
        <f t="shared" si="27"/>
        <v>5.7445626465380286</v>
      </c>
    </row>
    <row r="850" spans="1:3" x14ac:dyDescent="0.2">
      <c r="A850" s="3">
        <v>89.104200000000006</v>
      </c>
      <c r="B850">
        <f t="shared" si="26"/>
        <v>1.9498981753481495</v>
      </c>
      <c r="C850">
        <f t="shared" si="27"/>
        <v>9.439502105513828</v>
      </c>
    </row>
    <row r="851" spans="1:3" x14ac:dyDescent="0.2">
      <c r="A851" s="3">
        <v>31.274999999999999</v>
      </c>
      <c r="B851">
        <f t="shared" si="26"/>
        <v>1.4951973183654574</v>
      </c>
      <c r="C851">
        <f t="shared" si="27"/>
        <v>5.5924055646921742</v>
      </c>
    </row>
    <row r="852" spans="1:3" x14ac:dyDescent="0.2">
      <c r="A852" s="3">
        <v>7.7750000000000004</v>
      </c>
      <c r="B852">
        <f t="shared" si="26"/>
        <v>0.8907003976988751</v>
      </c>
      <c r="C852">
        <f t="shared" si="27"/>
        <v>2.7883686987197374</v>
      </c>
    </row>
    <row r="853" spans="1:3" x14ac:dyDescent="0.2">
      <c r="A853" s="3">
        <v>15.245799999999999</v>
      </c>
      <c r="B853">
        <f t="shared" si="26"/>
        <v>1.1831502182369711</v>
      </c>
      <c r="C853">
        <f t="shared" si="27"/>
        <v>3.9045870460267627</v>
      </c>
    </row>
    <row r="854" spans="1:3" x14ac:dyDescent="0.2">
      <c r="A854" s="3">
        <v>39.4</v>
      </c>
      <c r="B854">
        <f t="shared" si="26"/>
        <v>1.5954962218255742</v>
      </c>
      <c r="C854">
        <f t="shared" si="27"/>
        <v>6.2769419305900858</v>
      </c>
    </row>
    <row r="855" spans="1:3" x14ac:dyDescent="0.2">
      <c r="A855" s="3">
        <v>26</v>
      </c>
      <c r="B855">
        <f t="shared" si="26"/>
        <v>1.414973347970818</v>
      </c>
      <c r="C855">
        <f t="shared" si="27"/>
        <v>5.0990195135927845</v>
      </c>
    </row>
    <row r="856" spans="1:3" x14ac:dyDescent="0.2">
      <c r="A856" s="3">
        <v>9.35</v>
      </c>
      <c r="B856">
        <f t="shared" si="26"/>
        <v>0.97081161087251777</v>
      </c>
      <c r="C856">
        <f t="shared" si="27"/>
        <v>3.0577769702841309</v>
      </c>
    </row>
    <row r="857" spans="1:3" x14ac:dyDescent="0.2">
      <c r="A857" s="3">
        <v>164.86670000000001</v>
      </c>
      <c r="B857">
        <f t="shared" si="26"/>
        <v>2.2171329451128217</v>
      </c>
      <c r="C857">
        <f t="shared" si="27"/>
        <v>12.840042834819517</v>
      </c>
    </row>
    <row r="858" spans="1:3" x14ac:dyDescent="0.2">
      <c r="A858" s="3">
        <v>26.55</v>
      </c>
      <c r="B858">
        <f t="shared" si="26"/>
        <v>1.424064525417488</v>
      </c>
      <c r="C858">
        <f t="shared" si="27"/>
        <v>5.1526692111953007</v>
      </c>
    </row>
    <row r="859" spans="1:3" x14ac:dyDescent="0.2">
      <c r="A859" s="3">
        <v>19.258299999999998</v>
      </c>
      <c r="B859">
        <f t="shared" si="26"/>
        <v>1.2846179477311681</v>
      </c>
      <c r="C859">
        <f t="shared" si="27"/>
        <v>4.3884279645449347</v>
      </c>
    </row>
    <row r="860" spans="1:3" x14ac:dyDescent="0.2">
      <c r="A860" s="3">
        <v>7.2291999999999996</v>
      </c>
      <c r="B860">
        <f t="shared" si="26"/>
        <v>0.85909023992124911</v>
      </c>
      <c r="C860">
        <f t="shared" si="27"/>
        <v>2.688717166233741</v>
      </c>
    </row>
    <row r="861" spans="1:3" x14ac:dyDescent="0.2">
      <c r="A861" s="3">
        <v>14.1083</v>
      </c>
      <c r="B861">
        <f t="shared" si="26"/>
        <v>1.1494746859656342</v>
      </c>
      <c r="C861">
        <f t="shared" si="27"/>
        <v>3.7561017025634436</v>
      </c>
    </row>
    <row r="862" spans="1:3" x14ac:dyDescent="0.2">
      <c r="A862" s="3">
        <v>11.5</v>
      </c>
      <c r="B862">
        <f t="shared" si="26"/>
        <v>1.0606978403536116</v>
      </c>
      <c r="C862">
        <f t="shared" si="27"/>
        <v>3.3911649915626341</v>
      </c>
    </row>
    <row r="863" spans="1:3" x14ac:dyDescent="0.2">
      <c r="A863" s="3">
        <v>25.929200000000002</v>
      </c>
      <c r="B863">
        <f t="shared" si="26"/>
        <v>1.4137891175813366</v>
      </c>
      <c r="C863">
        <f t="shared" si="27"/>
        <v>5.0920722697149534</v>
      </c>
    </row>
    <row r="864" spans="1:3" x14ac:dyDescent="0.2">
      <c r="A864" s="3">
        <v>69.55</v>
      </c>
      <c r="B864">
        <f t="shared" si="26"/>
        <v>1.8422971343280652</v>
      </c>
      <c r="C864">
        <f t="shared" si="27"/>
        <v>8.3396642618273304</v>
      </c>
    </row>
    <row r="865" spans="1:3" x14ac:dyDescent="0.2">
      <c r="A865" s="3">
        <v>13</v>
      </c>
      <c r="B865">
        <f t="shared" si="26"/>
        <v>1.1139433523068367</v>
      </c>
      <c r="C865">
        <f t="shared" si="27"/>
        <v>3.6055512754639891</v>
      </c>
    </row>
    <row r="866" spans="1:3" x14ac:dyDescent="0.2">
      <c r="A866" s="3">
        <v>13</v>
      </c>
      <c r="B866">
        <f t="shared" si="26"/>
        <v>1.1139433523068367</v>
      </c>
      <c r="C866">
        <f t="shared" si="27"/>
        <v>3.6055512754639891</v>
      </c>
    </row>
    <row r="867" spans="1:3" x14ac:dyDescent="0.2">
      <c r="A867" s="3">
        <v>13.8583</v>
      </c>
      <c r="B867">
        <f t="shared" si="26"/>
        <v>1.1417099585657509</v>
      </c>
      <c r="C867">
        <f t="shared" si="27"/>
        <v>3.7226737702893065</v>
      </c>
    </row>
    <row r="868" spans="1:3" x14ac:dyDescent="0.2">
      <c r="A868" s="3">
        <v>50.495800000000003</v>
      </c>
      <c r="B868">
        <f t="shared" si="26"/>
        <v>1.7032552570755082</v>
      </c>
      <c r="C868">
        <f t="shared" si="27"/>
        <v>7.1060396846626181</v>
      </c>
    </row>
    <row r="869" spans="1:3" x14ac:dyDescent="0.2">
      <c r="A869" s="3">
        <v>9.5</v>
      </c>
      <c r="B869">
        <f t="shared" si="26"/>
        <v>0.97772360528884772</v>
      </c>
      <c r="C869">
        <f t="shared" si="27"/>
        <v>3.082207001484488</v>
      </c>
    </row>
    <row r="870" spans="1:3" x14ac:dyDescent="0.2">
      <c r="A870" s="3">
        <v>11.1333</v>
      </c>
      <c r="B870">
        <f t="shared" si="26"/>
        <v>1.0466239118070755</v>
      </c>
      <c r="C870">
        <f t="shared" si="27"/>
        <v>3.3366600066533598</v>
      </c>
    </row>
    <row r="871" spans="1:3" x14ac:dyDescent="0.2">
      <c r="A871" s="3">
        <v>7.8958000000000004</v>
      </c>
      <c r="B871">
        <f t="shared" si="26"/>
        <v>0.89739613915544614</v>
      </c>
      <c r="C871">
        <f t="shared" si="27"/>
        <v>2.8099466187100424</v>
      </c>
    </row>
    <row r="872" spans="1:3" x14ac:dyDescent="0.2">
      <c r="A872" s="3">
        <v>52.554200000000002</v>
      </c>
      <c r="B872">
        <f t="shared" si="26"/>
        <v>1.7206074294781684</v>
      </c>
      <c r="C872">
        <f t="shared" si="27"/>
        <v>7.2494275636080401</v>
      </c>
    </row>
    <row r="873" spans="1:3" x14ac:dyDescent="0.2">
      <c r="A873" s="3">
        <v>5</v>
      </c>
      <c r="B873">
        <f t="shared" si="26"/>
        <v>0.69897000433601886</v>
      </c>
      <c r="C873">
        <f t="shared" si="27"/>
        <v>2.2360679774997898</v>
      </c>
    </row>
    <row r="874" spans="1:3" x14ac:dyDescent="0.2">
      <c r="A874" s="3">
        <v>9</v>
      </c>
      <c r="B874">
        <f t="shared" si="26"/>
        <v>0.95424250943932487</v>
      </c>
      <c r="C874">
        <f t="shared" si="27"/>
        <v>3</v>
      </c>
    </row>
    <row r="875" spans="1:3" x14ac:dyDescent="0.2">
      <c r="A875" s="3">
        <v>24</v>
      </c>
      <c r="B875">
        <f t="shared" si="26"/>
        <v>1.3802112417116059</v>
      </c>
      <c r="C875">
        <f t="shared" si="27"/>
        <v>4.8989794855663558</v>
      </c>
    </row>
    <row r="876" spans="1:3" x14ac:dyDescent="0.2">
      <c r="A876" s="3">
        <v>7.2249999999999996</v>
      </c>
      <c r="B876">
        <f t="shared" si="26"/>
        <v>0.85883785142858549</v>
      </c>
      <c r="C876">
        <f t="shared" si="27"/>
        <v>2.6879360111431225</v>
      </c>
    </row>
    <row r="877" spans="1:3" x14ac:dyDescent="0.2">
      <c r="A877" s="3">
        <v>9.8458000000000006</v>
      </c>
      <c r="B877">
        <f t="shared" si="26"/>
        <v>0.99325100960263502</v>
      </c>
      <c r="C877">
        <f t="shared" si="27"/>
        <v>3.1378017783155139</v>
      </c>
    </row>
    <row r="878" spans="1:3" x14ac:dyDescent="0.2">
      <c r="A878" s="3">
        <v>7.8958000000000004</v>
      </c>
      <c r="B878">
        <f t="shared" si="26"/>
        <v>0.89739613915544614</v>
      </c>
      <c r="C878">
        <f t="shared" si="27"/>
        <v>2.8099466187100424</v>
      </c>
    </row>
    <row r="879" spans="1:3" x14ac:dyDescent="0.2">
      <c r="A879" s="3">
        <v>7.8958000000000004</v>
      </c>
      <c r="B879">
        <f t="shared" si="26"/>
        <v>0.89739613915544614</v>
      </c>
      <c r="C879">
        <f t="shared" si="27"/>
        <v>2.8099466187100424</v>
      </c>
    </row>
    <row r="880" spans="1:3" x14ac:dyDescent="0.2">
      <c r="A880" s="3">
        <v>83.158299999999997</v>
      </c>
      <c r="B880">
        <f t="shared" si="26"/>
        <v>1.9199056024948609</v>
      </c>
      <c r="C880">
        <f t="shared" si="27"/>
        <v>9.1191172818425787</v>
      </c>
    </row>
    <row r="881" spans="1:3" x14ac:dyDescent="0.2">
      <c r="A881" s="3">
        <v>26</v>
      </c>
      <c r="B881">
        <f t="shared" si="26"/>
        <v>1.414973347970818</v>
      </c>
      <c r="C881">
        <f t="shared" si="27"/>
        <v>5.0990195135927845</v>
      </c>
    </row>
    <row r="882" spans="1:3" x14ac:dyDescent="0.2">
      <c r="A882" s="3">
        <v>7.8958000000000004</v>
      </c>
      <c r="B882">
        <f t="shared" si="26"/>
        <v>0.89739613915544614</v>
      </c>
      <c r="C882">
        <f t="shared" si="27"/>
        <v>2.8099466187100424</v>
      </c>
    </row>
    <row r="883" spans="1:3" x14ac:dyDescent="0.2">
      <c r="A883" s="3">
        <v>10.5167</v>
      </c>
      <c r="B883">
        <f t="shared" si="26"/>
        <v>1.0218794853859856</v>
      </c>
      <c r="C883">
        <f t="shared" si="27"/>
        <v>3.2429461913513151</v>
      </c>
    </row>
    <row r="884" spans="1:3" x14ac:dyDescent="0.2">
      <c r="A884" s="3">
        <v>10.5</v>
      </c>
      <c r="B884">
        <f t="shared" si="26"/>
        <v>1.0211892990699381</v>
      </c>
      <c r="C884">
        <f t="shared" si="27"/>
        <v>3.2403703492039302</v>
      </c>
    </row>
    <row r="885" spans="1:3" x14ac:dyDescent="0.2">
      <c r="A885" s="3">
        <v>7.05</v>
      </c>
      <c r="B885">
        <f t="shared" si="26"/>
        <v>0.84818911699139865</v>
      </c>
      <c r="C885">
        <f t="shared" si="27"/>
        <v>2.6551836094703507</v>
      </c>
    </row>
    <row r="886" spans="1:3" x14ac:dyDescent="0.2">
      <c r="A886" s="3">
        <v>29.125</v>
      </c>
      <c r="B886">
        <f t="shared" si="26"/>
        <v>1.4642659340340753</v>
      </c>
      <c r="C886">
        <f t="shared" si="27"/>
        <v>5.3967582862307255</v>
      </c>
    </row>
    <row r="887" spans="1:3" x14ac:dyDescent="0.2">
      <c r="A887" s="3">
        <v>13</v>
      </c>
      <c r="B887">
        <f t="shared" si="26"/>
        <v>1.1139433523068367</v>
      </c>
      <c r="C887">
        <f t="shared" si="27"/>
        <v>3.6055512754639891</v>
      </c>
    </row>
    <row r="888" spans="1:3" x14ac:dyDescent="0.2">
      <c r="A888" s="3">
        <v>30</v>
      </c>
      <c r="B888">
        <f t="shared" si="26"/>
        <v>1.4771212547196624</v>
      </c>
      <c r="C888">
        <f t="shared" si="27"/>
        <v>5.4772255750516612</v>
      </c>
    </row>
    <row r="889" spans="1:3" x14ac:dyDescent="0.2">
      <c r="A889" s="3">
        <v>23.45</v>
      </c>
      <c r="B889">
        <f t="shared" si="26"/>
        <v>1.3701428470511021</v>
      </c>
      <c r="C889">
        <f t="shared" si="27"/>
        <v>4.8425200051213002</v>
      </c>
    </row>
    <row r="890" spans="1:3" x14ac:dyDescent="0.2">
      <c r="A890" s="3">
        <v>30</v>
      </c>
      <c r="B890">
        <f t="shared" si="26"/>
        <v>1.4771212547196624</v>
      </c>
      <c r="C890">
        <f t="shared" si="27"/>
        <v>5.4772255750516612</v>
      </c>
    </row>
    <row r="891" spans="1:3" x14ac:dyDescent="0.2">
      <c r="A891" s="3">
        <v>7.75</v>
      </c>
      <c r="B891">
        <f t="shared" si="26"/>
        <v>0.88930170250631024</v>
      </c>
      <c r="C891">
        <f t="shared" si="27"/>
        <v>2.7838821814150108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457A8-4FD9-864C-8E02-F27639384686}">
  <dimension ref="A1:B315"/>
  <sheetViews>
    <sheetView workbookViewId="0">
      <selection sqref="A1:B315"/>
    </sheetView>
  </sheetViews>
  <sheetFormatPr baseColWidth="10" defaultRowHeight="16" x14ac:dyDescent="0.2"/>
  <sheetData>
    <row r="1" spans="1:2" x14ac:dyDescent="0.2">
      <c r="A1" t="s">
        <v>4</v>
      </c>
      <c r="B1" t="s">
        <v>9</v>
      </c>
    </row>
    <row r="2" spans="1:2" x14ac:dyDescent="0.2">
      <c r="A2" t="s">
        <v>17</v>
      </c>
      <c r="B2">
        <v>23.45</v>
      </c>
    </row>
    <row r="3" spans="1:2" x14ac:dyDescent="0.2">
      <c r="A3" t="s">
        <v>17</v>
      </c>
      <c r="B3">
        <v>71.283299999999997</v>
      </c>
    </row>
    <row r="4" spans="1:2" x14ac:dyDescent="0.2">
      <c r="A4" t="s">
        <v>17</v>
      </c>
      <c r="B4">
        <v>7.9249999999999998</v>
      </c>
    </row>
    <row r="5" spans="1:2" x14ac:dyDescent="0.2">
      <c r="A5" t="s">
        <v>17</v>
      </c>
      <c r="B5">
        <v>53.1</v>
      </c>
    </row>
    <row r="6" spans="1:2" x14ac:dyDescent="0.2">
      <c r="A6" t="s">
        <v>17</v>
      </c>
      <c r="B6">
        <v>30</v>
      </c>
    </row>
    <row r="7" spans="1:2" x14ac:dyDescent="0.2">
      <c r="A7" t="s">
        <v>17</v>
      </c>
      <c r="B7">
        <v>29.125</v>
      </c>
    </row>
    <row r="8" spans="1:2" x14ac:dyDescent="0.2">
      <c r="A8" t="s">
        <v>17</v>
      </c>
      <c r="B8">
        <v>10.5167</v>
      </c>
    </row>
    <row r="9" spans="1:2" x14ac:dyDescent="0.2">
      <c r="A9" t="s">
        <v>17</v>
      </c>
      <c r="B9">
        <v>26</v>
      </c>
    </row>
    <row r="10" spans="1:2" x14ac:dyDescent="0.2">
      <c r="A10" t="s">
        <v>17</v>
      </c>
      <c r="B10">
        <v>11.1333</v>
      </c>
    </row>
    <row r="11" spans="1:2" x14ac:dyDescent="0.2">
      <c r="A11" t="s">
        <v>17</v>
      </c>
      <c r="B11">
        <v>30.070799999999998</v>
      </c>
    </row>
    <row r="12" spans="1:2" x14ac:dyDescent="0.2">
      <c r="A12" t="s">
        <v>17</v>
      </c>
      <c r="B12">
        <v>16.7</v>
      </c>
    </row>
    <row r="13" spans="1:2" x14ac:dyDescent="0.2">
      <c r="A13" t="s">
        <v>17</v>
      </c>
      <c r="B13">
        <v>26.55</v>
      </c>
    </row>
    <row r="14" spans="1:2" x14ac:dyDescent="0.2">
      <c r="A14" t="s">
        <v>17</v>
      </c>
      <c r="B14">
        <v>83.158299999999997</v>
      </c>
    </row>
    <row r="15" spans="1:2" x14ac:dyDescent="0.2">
      <c r="A15" t="s">
        <v>17</v>
      </c>
      <c r="B15">
        <v>7.2249999999999996</v>
      </c>
    </row>
    <row r="16" spans="1:2" x14ac:dyDescent="0.2">
      <c r="A16" t="s">
        <v>17</v>
      </c>
      <c r="B16">
        <v>7.8541999999999996</v>
      </c>
    </row>
    <row r="17" spans="1:2" x14ac:dyDescent="0.2">
      <c r="A17" t="s">
        <v>17</v>
      </c>
      <c r="B17">
        <v>16</v>
      </c>
    </row>
    <row r="18" spans="1:2" x14ac:dyDescent="0.2">
      <c r="A18" t="s">
        <v>17</v>
      </c>
      <c r="B18">
        <v>24</v>
      </c>
    </row>
    <row r="19" spans="1:2" x14ac:dyDescent="0.2">
      <c r="A19" t="s">
        <v>17</v>
      </c>
      <c r="B19">
        <v>52.554200000000002</v>
      </c>
    </row>
    <row r="20" spans="1:2" x14ac:dyDescent="0.2">
      <c r="A20" t="s">
        <v>17</v>
      </c>
      <c r="B20">
        <v>18</v>
      </c>
    </row>
    <row r="21" spans="1:2" x14ac:dyDescent="0.2">
      <c r="A21" t="s">
        <v>17</v>
      </c>
      <c r="B21">
        <v>7.2249999999999996</v>
      </c>
    </row>
    <row r="22" spans="1:2" x14ac:dyDescent="0.2">
      <c r="A22" t="s">
        <v>17</v>
      </c>
      <c r="B22">
        <v>13.8583</v>
      </c>
    </row>
    <row r="23" spans="1:2" x14ac:dyDescent="0.2">
      <c r="A23" t="s">
        <v>17</v>
      </c>
      <c r="B23">
        <v>13</v>
      </c>
    </row>
    <row r="24" spans="1:2" x14ac:dyDescent="0.2">
      <c r="A24" t="s">
        <v>17</v>
      </c>
      <c r="B24">
        <v>8.0291999999999994</v>
      </c>
    </row>
    <row r="25" spans="1:2" x14ac:dyDescent="0.2">
      <c r="A25" t="s">
        <v>17</v>
      </c>
      <c r="B25">
        <v>69.55</v>
      </c>
    </row>
    <row r="26" spans="1:2" x14ac:dyDescent="0.2">
      <c r="A26" t="s">
        <v>17</v>
      </c>
      <c r="B26">
        <v>21.074999999999999</v>
      </c>
    </row>
    <row r="27" spans="1:2" x14ac:dyDescent="0.2">
      <c r="A27" t="s">
        <v>17</v>
      </c>
      <c r="B27">
        <v>31.387499999999999</v>
      </c>
    </row>
    <row r="28" spans="1:2" x14ac:dyDescent="0.2">
      <c r="A28" t="s">
        <v>17</v>
      </c>
      <c r="B28">
        <v>25.929200000000002</v>
      </c>
    </row>
    <row r="29" spans="1:2" x14ac:dyDescent="0.2">
      <c r="A29" t="s">
        <v>17</v>
      </c>
      <c r="B29">
        <v>19.258299999999998</v>
      </c>
    </row>
    <row r="30" spans="1:2" x14ac:dyDescent="0.2">
      <c r="A30" t="s">
        <v>17</v>
      </c>
      <c r="B30">
        <v>7.8792</v>
      </c>
    </row>
    <row r="31" spans="1:2" x14ac:dyDescent="0.2">
      <c r="A31" t="s">
        <v>17</v>
      </c>
      <c r="B31">
        <v>164.86670000000001</v>
      </c>
    </row>
    <row r="32" spans="1:2" x14ac:dyDescent="0.2">
      <c r="A32" t="s">
        <v>17</v>
      </c>
      <c r="B32">
        <v>9.35</v>
      </c>
    </row>
    <row r="33" spans="1:2" x14ac:dyDescent="0.2">
      <c r="A33" t="s">
        <v>17</v>
      </c>
      <c r="B33">
        <v>146.52080000000001</v>
      </c>
    </row>
    <row r="34" spans="1:2" x14ac:dyDescent="0.2">
      <c r="A34" t="s">
        <v>17</v>
      </c>
      <c r="B34">
        <v>7.75</v>
      </c>
    </row>
    <row r="35" spans="1:2" x14ac:dyDescent="0.2">
      <c r="A35" t="s">
        <v>17</v>
      </c>
      <c r="B35">
        <v>26</v>
      </c>
    </row>
    <row r="36" spans="1:2" x14ac:dyDescent="0.2">
      <c r="A36" t="s">
        <v>17</v>
      </c>
      <c r="B36">
        <v>39.4</v>
      </c>
    </row>
    <row r="37" spans="1:2" x14ac:dyDescent="0.2">
      <c r="A37" t="s">
        <v>17</v>
      </c>
      <c r="B37">
        <v>15.245799999999999</v>
      </c>
    </row>
    <row r="38" spans="1:2" x14ac:dyDescent="0.2">
      <c r="A38" t="s">
        <v>17</v>
      </c>
      <c r="B38">
        <v>89.104200000000006</v>
      </c>
    </row>
    <row r="39" spans="1:2" x14ac:dyDescent="0.2">
      <c r="A39" t="s">
        <v>17</v>
      </c>
      <c r="B39">
        <v>31</v>
      </c>
    </row>
    <row r="40" spans="1:2" x14ac:dyDescent="0.2">
      <c r="A40" t="s">
        <v>17</v>
      </c>
      <c r="B40">
        <v>18</v>
      </c>
    </row>
    <row r="41" spans="1:2" x14ac:dyDescent="0.2">
      <c r="A41" t="s">
        <v>17</v>
      </c>
      <c r="B41">
        <v>11.2417</v>
      </c>
    </row>
    <row r="42" spans="1:2" x14ac:dyDescent="0.2">
      <c r="A42" t="s">
        <v>17</v>
      </c>
      <c r="B42">
        <v>9.4749999999999996</v>
      </c>
    </row>
    <row r="43" spans="1:2" x14ac:dyDescent="0.2">
      <c r="A43" t="s">
        <v>17</v>
      </c>
      <c r="B43">
        <v>21</v>
      </c>
    </row>
    <row r="44" spans="1:2" x14ac:dyDescent="0.2">
      <c r="A44" t="s">
        <v>17</v>
      </c>
      <c r="B44">
        <v>83.158299999999997</v>
      </c>
    </row>
    <row r="45" spans="1:2" x14ac:dyDescent="0.2">
      <c r="A45" t="s">
        <v>17</v>
      </c>
      <c r="B45">
        <v>41.5792</v>
      </c>
    </row>
    <row r="46" spans="1:2" x14ac:dyDescent="0.2">
      <c r="A46" t="s">
        <v>17</v>
      </c>
      <c r="B46">
        <v>7.8792</v>
      </c>
    </row>
    <row r="47" spans="1:2" x14ac:dyDescent="0.2">
      <c r="A47" t="s">
        <v>17</v>
      </c>
      <c r="B47">
        <v>14.4542</v>
      </c>
    </row>
    <row r="48" spans="1:2" x14ac:dyDescent="0.2">
      <c r="A48" t="s">
        <v>17</v>
      </c>
      <c r="B48">
        <v>80</v>
      </c>
    </row>
    <row r="49" spans="1:2" x14ac:dyDescent="0.2">
      <c r="A49" t="s">
        <v>17</v>
      </c>
      <c r="B49">
        <v>7.75</v>
      </c>
    </row>
    <row r="50" spans="1:2" x14ac:dyDescent="0.2">
      <c r="A50" t="s">
        <v>17</v>
      </c>
      <c r="B50">
        <v>12.475</v>
      </c>
    </row>
    <row r="51" spans="1:2" x14ac:dyDescent="0.2">
      <c r="A51" t="s">
        <v>17</v>
      </c>
      <c r="B51">
        <v>17.8</v>
      </c>
    </row>
    <row r="52" spans="1:2" x14ac:dyDescent="0.2">
      <c r="A52" t="s">
        <v>17</v>
      </c>
      <c r="B52">
        <v>93.5</v>
      </c>
    </row>
    <row r="53" spans="1:2" x14ac:dyDescent="0.2">
      <c r="A53" t="s">
        <v>17</v>
      </c>
      <c r="B53">
        <v>7.9249999999999998</v>
      </c>
    </row>
    <row r="54" spans="1:2" x14ac:dyDescent="0.2">
      <c r="A54" t="s">
        <v>17</v>
      </c>
      <c r="B54">
        <v>76.729200000000006</v>
      </c>
    </row>
    <row r="55" spans="1:2" x14ac:dyDescent="0.2">
      <c r="A55" t="s">
        <v>17</v>
      </c>
      <c r="B55">
        <v>26</v>
      </c>
    </row>
    <row r="56" spans="1:2" x14ac:dyDescent="0.2">
      <c r="A56" t="s">
        <v>17</v>
      </c>
      <c r="B56">
        <v>31.274999999999999</v>
      </c>
    </row>
    <row r="57" spans="1:2" x14ac:dyDescent="0.2">
      <c r="A57" t="s">
        <v>17</v>
      </c>
      <c r="B57">
        <v>53.1</v>
      </c>
    </row>
    <row r="58" spans="1:2" x14ac:dyDescent="0.2">
      <c r="A58" t="s">
        <v>17</v>
      </c>
      <c r="B58">
        <v>10.5</v>
      </c>
    </row>
    <row r="59" spans="1:2" x14ac:dyDescent="0.2">
      <c r="A59" t="s">
        <v>17</v>
      </c>
      <c r="B59">
        <v>7.7750000000000004</v>
      </c>
    </row>
    <row r="60" spans="1:2" x14ac:dyDescent="0.2">
      <c r="A60" t="s">
        <v>17</v>
      </c>
      <c r="B60">
        <v>27.75</v>
      </c>
    </row>
    <row r="61" spans="1:2" x14ac:dyDescent="0.2">
      <c r="A61" t="s">
        <v>17</v>
      </c>
      <c r="B61">
        <v>26.25</v>
      </c>
    </row>
    <row r="62" spans="1:2" x14ac:dyDescent="0.2">
      <c r="A62" t="s">
        <v>17</v>
      </c>
      <c r="B62">
        <v>24.15</v>
      </c>
    </row>
    <row r="63" spans="1:2" x14ac:dyDescent="0.2">
      <c r="A63" t="s">
        <v>17</v>
      </c>
      <c r="B63">
        <v>80</v>
      </c>
    </row>
    <row r="64" spans="1:2" x14ac:dyDescent="0.2">
      <c r="A64" t="s">
        <v>17</v>
      </c>
      <c r="B64">
        <v>8.6832999999999991</v>
      </c>
    </row>
    <row r="65" spans="1:2" x14ac:dyDescent="0.2">
      <c r="A65" t="s">
        <v>17</v>
      </c>
      <c r="B65">
        <v>25.929200000000002</v>
      </c>
    </row>
    <row r="66" spans="1:2" x14ac:dyDescent="0.2">
      <c r="A66" t="s">
        <v>17</v>
      </c>
      <c r="B66">
        <v>69.55</v>
      </c>
    </row>
    <row r="67" spans="1:2" x14ac:dyDescent="0.2">
      <c r="A67" t="s">
        <v>17</v>
      </c>
      <c r="B67">
        <v>7.4958</v>
      </c>
    </row>
    <row r="68" spans="1:2" x14ac:dyDescent="0.2">
      <c r="A68" t="s">
        <v>17</v>
      </c>
      <c r="B68">
        <v>10.5</v>
      </c>
    </row>
    <row r="69" spans="1:2" x14ac:dyDescent="0.2">
      <c r="A69" t="s">
        <v>17</v>
      </c>
      <c r="B69">
        <v>57</v>
      </c>
    </row>
    <row r="70" spans="1:2" x14ac:dyDescent="0.2">
      <c r="A70" t="s">
        <v>17</v>
      </c>
      <c r="B70">
        <v>7.9249999999999998</v>
      </c>
    </row>
    <row r="71" spans="1:2" x14ac:dyDescent="0.2">
      <c r="A71" t="s">
        <v>17</v>
      </c>
      <c r="B71">
        <v>7.2291999999999996</v>
      </c>
    </row>
    <row r="72" spans="1:2" x14ac:dyDescent="0.2">
      <c r="A72" t="s">
        <v>17</v>
      </c>
      <c r="B72">
        <v>211.33750000000001</v>
      </c>
    </row>
    <row r="73" spans="1:2" x14ac:dyDescent="0.2">
      <c r="A73" t="s">
        <v>17</v>
      </c>
      <c r="B73">
        <v>46.9</v>
      </c>
    </row>
    <row r="74" spans="1:2" x14ac:dyDescent="0.2">
      <c r="A74" t="s">
        <v>17</v>
      </c>
      <c r="B74">
        <v>12.475</v>
      </c>
    </row>
    <row r="75" spans="1:2" x14ac:dyDescent="0.2">
      <c r="A75" t="s">
        <v>17</v>
      </c>
      <c r="B75">
        <v>23</v>
      </c>
    </row>
    <row r="76" spans="1:2" x14ac:dyDescent="0.2">
      <c r="A76" t="s">
        <v>17</v>
      </c>
      <c r="B76">
        <v>10.5</v>
      </c>
    </row>
    <row r="77" spans="1:2" x14ac:dyDescent="0.2">
      <c r="A77" t="s">
        <v>17</v>
      </c>
      <c r="B77">
        <v>7.75</v>
      </c>
    </row>
    <row r="78" spans="1:2" x14ac:dyDescent="0.2">
      <c r="A78" t="s">
        <v>17</v>
      </c>
      <c r="B78">
        <v>77.958299999999994</v>
      </c>
    </row>
    <row r="79" spans="1:2" x14ac:dyDescent="0.2">
      <c r="A79" t="s">
        <v>17</v>
      </c>
      <c r="B79">
        <v>120</v>
      </c>
    </row>
    <row r="80" spans="1:2" x14ac:dyDescent="0.2">
      <c r="A80" t="s">
        <v>17</v>
      </c>
      <c r="B80">
        <v>86.5</v>
      </c>
    </row>
    <row r="81" spans="1:2" x14ac:dyDescent="0.2">
      <c r="A81" t="s">
        <v>17</v>
      </c>
      <c r="B81">
        <v>12.475</v>
      </c>
    </row>
    <row r="82" spans="1:2" x14ac:dyDescent="0.2">
      <c r="A82" t="s">
        <v>17</v>
      </c>
      <c r="B82">
        <v>65</v>
      </c>
    </row>
    <row r="83" spans="1:2" x14ac:dyDescent="0.2">
      <c r="A83" t="s">
        <v>17</v>
      </c>
      <c r="B83">
        <v>23</v>
      </c>
    </row>
    <row r="84" spans="1:2" x14ac:dyDescent="0.2">
      <c r="A84" t="s">
        <v>17</v>
      </c>
      <c r="B84">
        <v>7.7874999999999996</v>
      </c>
    </row>
    <row r="85" spans="1:2" x14ac:dyDescent="0.2">
      <c r="A85" t="s">
        <v>17</v>
      </c>
      <c r="B85">
        <v>13</v>
      </c>
    </row>
    <row r="86" spans="1:2" x14ac:dyDescent="0.2">
      <c r="A86" t="s">
        <v>17</v>
      </c>
      <c r="B86">
        <v>10.5</v>
      </c>
    </row>
    <row r="87" spans="1:2" x14ac:dyDescent="0.2">
      <c r="A87" t="s">
        <v>17</v>
      </c>
      <c r="B87">
        <v>15.85</v>
      </c>
    </row>
    <row r="88" spans="1:2" x14ac:dyDescent="0.2">
      <c r="A88" t="s">
        <v>17</v>
      </c>
      <c r="B88">
        <v>262.375</v>
      </c>
    </row>
    <row r="89" spans="1:2" x14ac:dyDescent="0.2">
      <c r="A89" t="s">
        <v>17</v>
      </c>
      <c r="B89">
        <v>34.375</v>
      </c>
    </row>
    <row r="90" spans="1:2" x14ac:dyDescent="0.2">
      <c r="A90" t="s">
        <v>17</v>
      </c>
      <c r="B90">
        <v>263</v>
      </c>
    </row>
    <row r="91" spans="1:2" x14ac:dyDescent="0.2">
      <c r="A91" t="s">
        <v>17</v>
      </c>
      <c r="B91">
        <v>211.33750000000001</v>
      </c>
    </row>
    <row r="92" spans="1:2" x14ac:dyDescent="0.2">
      <c r="A92" t="s">
        <v>17</v>
      </c>
      <c r="B92">
        <v>7.9249999999999998</v>
      </c>
    </row>
    <row r="93" spans="1:2" x14ac:dyDescent="0.2">
      <c r="A93" t="s">
        <v>17</v>
      </c>
      <c r="B93">
        <v>7.7374999999999998</v>
      </c>
    </row>
    <row r="94" spans="1:2" x14ac:dyDescent="0.2">
      <c r="A94" t="s">
        <v>17</v>
      </c>
      <c r="B94">
        <v>21</v>
      </c>
    </row>
    <row r="95" spans="1:2" x14ac:dyDescent="0.2">
      <c r="A95" t="s">
        <v>17</v>
      </c>
      <c r="B95">
        <v>33</v>
      </c>
    </row>
    <row r="96" spans="1:2" x14ac:dyDescent="0.2">
      <c r="A96" t="s">
        <v>17</v>
      </c>
      <c r="B96">
        <v>10.5</v>
      </c>
    </row>
    <row r="97" spans="1:2" x14ac:dyDescent="0.2">
      <c r="A97" t="s">
        <v>17</v>
      </c>
      <c r="B97">
        <v>227.52500000000001</v>
      </c>
    </row>
    <row r="98" spans="1:2" x14ac:dyDescent="0.2">
      <c r="A98" t="s">
        <v>17</v>
      </c>
      <c r="B98">
        <v>49.504199999999997</v>
      </c>
    </row>
    <row r="99" spans="1:2" x14ac:dyDescent="0.2">
      <c r="A99" t="s">
        <v>17</v>
      </c>
      <c r="B99">
        <v>151.55000000000001</v>
      </c>
    </row>
    <row r="100" spans="1:2" x14ac:dyDescent="0.2">
      <c r="A100" t="s">
        <v>17</v>
      </c>
      <c r="B100">
        <v>23</v>
      </c>
    </row>
    <row r="101" spans="1:2" x14ac:dyDescent="0.2">
      <c r="A101" t="s">
        <v>17</v>
      </c>
      <c r="B101">
        <v>13.5</v>
      </c>
    </row>
    <row r="102" spans="1:2" x14ac:dyDescent="0.2">
      <c r="A102" t="s">
        <v>17</v>
      </c>
      <c r="B102">
        <v>7.8958000000000004</v>
      </c>
    </row>
    <row r="103" spans="1:2" x14ac:dyDescent="0.2">
      <c r="A103" t="s">
        <v>17</v>
      </c>
      <c r="B103">
        <v>14.4542</v>
      </c>
    </row>
    <row r="104" spans="1:2" x14ac:dyDescent="0.2">
      <c r="A104" t="s">
        <v>17</v>
      </c>
      <c r="B104">
        <v>227.52500000000001</v>
      </c>
    </row>
    <row r="105" spans="1:2" x14ac:dyDescent="0.2">
      <c r="A105" t="s">
        <v>17</v>
      </c>
      <c r="B105">
        <v>7.7332999999999998</v>
      </c>
    </row>
    <row r="106" spans="1:2" x14ac:dyDescent="0.2">
      <c r="A106" t="s">
        <v>17</v>
      </c>
      <c r="B106">
        <v>13.416700000000001</v>
      </c>
    </row>
    <row r="107" spans="1:2" x14ac:dyDescent="0.2">
      <c r="A107" t="s">
        <v>17</v>
      </c>
      <c r="B107">
        <v>211.33750000000001</v>
      </c>
    </row>
    <row r="108" spans="1:2" x14ac:dyDescent="0.2">
      <c r="A108" t="s">
        <v>17</v>
      </c>
      <c r="B108">
        <v>7.65</v>
      </c>
    </row>
    <row r="109" spans="1:2" x14ac:dyDescent="0.2">
      <c r="A109" t="s">
        <v>17</v>
      </c>
      <c r="B109">
        <v>8.1374999999999993</v>
      </c>
    </row>
    <row r="110" spans="1:2" x14ac:dyDescent="0.2">
      <c r="A110" t="s">
        <v>17</v>
      </c>
      <c r="B110">
        <v>46.9</v>
      </c>
    </row>
    <row r="111" spans="1:2" x14ac:dyDescent="0.2">
      <c r="A111" t="s">
        <v>17</v>
      </c>
      <c r="B111">
        <v>24.15</v>
      </c>
    </row>
    <row r="112" spans="1:2" x14ac:dyDescent="0.2">
      <c r="A112" t="s">
        <v>17</v>
      </c>
      <c r="B112">
        <v>9.8416999999999994</v>
      </c>
    </row>
    <row r="113" spans="1:2" x14ac:dyDescent="0.2">
      <c r="A113" t="s">
        <v>17</v>
      </c>
      <c r="B113">
        <v>14.4542</v>
      </c>
    </row>
    <row r="114" spans="1:2" x14ac:dyDescent="0.2">
      <c r="A114" t="s">
        <v>17</v>
      </c>
      <c r="B114">
        <v>39</v>
      </c>
    </row>
    <row r="115" spans="1:2" x14ac:dyDescent="0.2">
      <c r="A115" t="s">
        <v>17</v>
      </c>
      <c r="B115">
        <v>9.8249999999999993</v>
      </c>
    </row>
    <row r="116" spans="1:2" x14ac:dyDescent="0.2">
      <c r="A116" t="s">
        <v>17</v>
      </c>
      <c r="B116">
        <v>14.458299999999999</v>
      </c>
    </row>
    <row r="117" spans="1:2" x14ac:dyDescent="0.2">
      <c r="A117" t="s">
        <v>17</v>
      </c>
      <c r="B117">
        <v>52</v>
      </c>
    </row>
    <row r="118" spans="1:2" x14ac:dyDescent="0.2">
      <c r="A118" t="s">
        <v>17</v>
      </c>
      <c r="B118">
        <v>15.5</v>
      </c>
    </row>
    <row r="119" spans="1:2" x14ac:dyDescent="0.2">
      <c r="A119" t="s">
        <v>17</v>
      </c>
      <c r="B119">
        <v>6.75</v>
      </c>
    </row>
    <row r="120" spans="1:2" x14ac:dyDescent="0.2">
      <c r="A120" t="s">
        <v>17</v>
      </c>
      <c r="B120">
        <v>7.8292000000000002</v>
      </c>
    </row>
    <row r="121" spans="1:2" x14ac:dyDescent="0.2">
      <c r="A121" t="s">
        <v>17</v>
      </c>
      <c r="B121">
        <v>31.274999999999999</v>
      </c>
    </row>
    <row r="122" spans="1:2" x14ac:dyDescent="0.2">
      <c r="A122" t="s">
        <v>17</v>
      </c>
      <c r="B122">
        <v>23</v>
      </c>
    </row>
    <row r="123" spans="1:2" x14ac:dyDescent="0.2">
      <c r="A123" t="s">
        <v>17</v>
      </c>
      <c r="B123">
        <v>7.55</v>
      </c>
    </row>
    <row r="124" spans="1:2" x14ac:dyDescent="0.2">
      <c r="A124" t="s">
        <v>17</v>
      </c>
      <c r="B124">
        <v>19.258299999999998</v>
      </c>
    </row>
    <row r="125" spans="1:2" x14ac:dyDescent="0.2">
      <c r="A125" t="s">
        <v>17</v>
      </c>
      <c r="B125">
        <v>13</v>
      </c>
    </row>
    <row r="126" spans="1:2" x14ac:dyDescent="0.2">
      <c r="A126" t="s">
        <v>17</v>
      </c>
      <c r="B126">
        <v>27.9</v>
      </c>
    </row>
    <row r="127" spans="1:2" x14ac:dyDescent="0.2">
      <c r="A127" t="s">
        <v>17</v>
      </c>
      <c r="B127">
        <v>69.3</v>
      </c>
    </row>
    <row r="128" spans="1:2" x14ac:dyDescent="0.2">
      <c r="A128" t="s">
        <v>17</v>
      </c>
      <c r="B128">
        <v>39.6875</v>
      </c>
    </row>
    <row r="129" spans="1:2" x14ac:dyDescent="0.2">
      <c r="A129" t="s">
        <v>17</v>
      </c>
      <c r="B129">
        <v>13</v>
      </c>
    </row>
    <row r="130" spans="1:2" x14ac:dyDescent="0.2">
      <c r="A130" t="s">
        <v>17</v>
      </c>
      <c r="B130">
        <v>22.3583</v>
      </c>
    </row>
    <row r="131" spans="1:2" x14ac:dyDescent="0.2">
      <c r="A131" t="s">
        <v>17</v>
      </c>
      <c r="B131">
        <v>27.9</v>
      </c>
    </row>
    <row r="132" spans="1:2" x14ac:dyDescent="0.2">
      <c r="A132" t="s">
        <v>17</v>
      </c>
      <c r="B132">
        <v>77.958299999999994</v>
      </c>
    </row>
    <row r="133" spans="1:2" x14ac:dyDescent="0.2">
      <c r="A133" t="s">
        <v>17</v>
      </c>
      <c r="B133">
        <v>39</v>
      </c>
    </row>
    <row r="134" spans="1:2" x14ac:dyDescent="0.2">
      <c r="A134" t="s">
        <v>17</v>
      </c>
      <c r="B134">
        <v>14.5</v>
      </c>
    </row>
    <row r="135" spans="1:2" x14ac:dyDescent="0.2">
      <c r="A135" t="s">
        <v>17</v>
      </c>
      <c r="B135">
        <v>26</v>
      </c>
    </row>
    <row r="136" spans="1:2" x14ac:dyDescent="0.2">
      <c r="A136" t="s">
        <v>17</v>
      </c>
      <c r="B136">
        <v>16.100000000000001</v>
      </c>
    </row>
    <row r="137" spans="1:2" x14ac:dyDescent="0.2">
      <c r="A137" t="s">
        <v>17</v>
      </c>
      <c r="B137">
        <v>65</v>
      </c>
    </row>
    <row r="138" spans="1:2" x14ac:dyDescent="0.2">
      <c r="A138" t="s">
        <v>17</v>
      </c>
      <c r="B138">
        <v>26.283300000000001</v>
      </c>
    </row>
    <row r="139" spans="1:2" x14ac:dyDescent="0.2">
      <c r="A139" t="s">
        <v>17</v>
      </c>
      <c r="B139">
        <v>15.5</v>
      </c>
    </row>
    <row r="140" spans="1:2" x14ac:dyDescent="0.2">
      <c r="A140" t="s">
        <v>17</v>
      </c>
      <c r="B140">
        <v>31.274999999999999</v>
      </c>
    </row>
    <row r="141" spans="1:2" x14ac:dyDescent="0.2">
      <c r="A141" t="s">
        <v>17</v>
      </c>
      <c r="B141">
        <v>153.46250000000001</v>
      </c>
    </row>
    <row r="142" spans="1:2" x14ac:dyDescent="0.2">
      <c r="A142" t="s">
        <v>17</v>
      </c>
      <c r="B142">
        <v>15.245799999999999</v>
      </c>
    </row>
    <row r="143" spans="1:2" x14ac:dyDescent="0.2">
      <c r="A143" t="s">
        <v>17</v>
      </c>
      <c r="B143">
        <v>7.75</v>
      </c>
    </row>
    <row r="144" spans="1:2" x14ac:dyDescent="0.2">
      <c r="A144" t="s">
        <v>17</v>
      </c>
      <c r="B144">
        <v>15.85</v>
      </c>
    </row>
    <row r="145" spans="1:2" x14ac:dyDescent="0.2">
      <c r="A145" t="s">
        <v>17</v>
      </c>
      <c r="B145">
        <v>41.5792</v>
      </c>
    </row>
    <row r="146" spans="1:2" x14ac:dyDescent="0.2">
      <c r="A146" t="s">
        <v>17</v>
      </c>
      <c r="B146">
        <v>27</v>
      </c>
    </row>
    <row r="147" spans="1:2" x14ac:dyDescent="0.2">
      <c r="A147" t="s">
        <v>17</v>
      </c>
      <c r="B147">
        <v>33</v>
      </c>
    </row>
    <row r="148" spans="1:2" x14ac:dyDescent="0.2">
      <c r="A148" t="s">
        <v>17</v>
      </c>
      <c r="B148">
        <v>7.75</v>
      </c>
    </row>
    <row r="149" spans="1:2" x14ac:dyDescent="0.2">
      <c r="A149" t="s">
        <v>17</v>
      </c>
      <c r="B149">
        <v>34.375</v>
      </c>
    </row>
    <row r="150" spans="1:2" x14ac:dyDescent="0.2">
      <c r="A150" t="s">
        <v>17</v>
      </c>
      <c r="B150">
        <v>78.2667</v>
      </c>
    </row>
    <row r="151" spans="1:2" x14ac:dyDescent="0.2">
      <c r="A151" t="s">
        <v>17</v>
      </c>
      <c r="B151">
        <v>79.650000000000006</v>
      </c>
    </row>
    <row r="152" spans="1:2" x14ac:dyDescent="0.2">
      <c r="A152" t="s">
        <v>17</v>
      </c>
      <c r="B152">
        <v>110.88330000000001</v>
      </c>
    </row>
    <row r="153" spans="1:2" x14ac:dyDescent="0.2">
      <c r="A153" t="s">
        <v>17</v>
      </c>
      <c r="B153">
        <v>66.599999999999994</v>
      </c>
    </row>
    <row r="154" spans="1:2" x14ac:dyDescent="0.2">
      <c r="A154" t="s">
        <v>17</v>
      </c>
      <c r="B154">
        <v>30</v>
      </c>
    </row>
    <row r="155" spans="1:2" x14ac:dyDescent="0.2">
      <c r="A155" t="s">
        <v>17</v>
      </c>
      <c r="B155">
        <v>14.458299999999999</v>
      </c>
    </row>
    <row r="156" spans="1:2" x14ac:dyDescent="0.2">
      <c r="A156" t="s">
        <v>17</v>
      </c>
      <c r="B156">
        <v>55.9</v>
      </c>
    </row>
    <row r="157" spans="1:2" x14ac:dyDescent="0.2">
      <c r="A157" t="s">
        <v>17</v>
      </c>
      <c r="B157">
        <v>13</v>
      </c>
    </row>
    <row r="158" spans="1:2" x14ac:dyDescent="0.2">
      <c r="A158" t="s">
        <v>17</v>
      </c>
      <c r="B158">
        <v>7.7332999999999998</v>
      </c>
    </row>
    <row r="159" spans="1:2" x14ac:dyDescent="0.2">
      <c r="A159" t="s">
        <v>17</v>
      </c>
      <c r="B159">
        <v>7.75</v>
      </c>
    </row>
    <row r="160" spans="1:2" x14ac:dyDescent="0.2">
      <c r="A160" t="s">
        <v>17</v>
      </c>
      <c r="B160">
        <v>51.479199999999999</v>
      </c>
    </row>
    <row r="161" spans="1:2" x14ac:dyDescent="0.2">
      <c r="A161" t="s">
        <v>17</v>
      </c>
      <c r="B161">
        <v>21.074999999999999</v>
      </c>
    </row>
    <row r="162" spans="1:2" x14ac:dyDescent="0.2">
      <c r="A162" t="s">
        <v>17</v>
      </c>
      <c r="B162">
        <v>8.0500000000000007</v>
      </c>
    </row>
    <row r="163" spans="1:2" x14ac:dyDescent="0.2">
      <c r="A163" t="s">
        <v>17</v>
      </c>
      <c r="B163">
        <v>15.75</v>
      </c>
    </row>
    <row r="164" spans="1:2" x14ac:dyDescent="0.2">
      <c r="A164" t="s">
        <v>17</v>
      </c>
      <c r="B164">
        <v>17.399999999999999</v>
      </c>
    </row>
    <row r="165" spans="1:2" x14ac:dyDescent="0.2">
      <c r="A165" t="s">
        <v>17</v>
      </c>
      <c r="B165">
        <v>79.650000000000006</v>
      </c>
    </row>
    <row r="166" spans="1:2" x14ac:dyDescent="0.2">
      <c r="A166" t="s">
        <v>17</v>
      </c>
      <c r="B166">
        <v>39.6</v>
      </c>
    </row>
    <row r="167" spans="1:2" x14ac:dyDescent="0.2">
      <c r="A167" t="s">
        <v>17</v>
      </c>
      <c r="B167">
        <v>7.7750000000000004</v>
      </c>
    </row>
    <row r="168" spans="1:2" x14ac:dyDescent="0.2">
      <c r="A168" t="s">
        <v>17</v>
      </c>
      <c r="B168">
        <v>55</v>
      </c>
    </row>
    <row r="169" spans="1:2" x14ac:dyDescent="0.2">
      <c r="A169" t="s">
        <v>17</v>
      </c>
      <c r="B169">
        <v>27.9</v>
      </c>
    </row>
    <row r="170" spans="1:2" x14ac:dyDescent="0.2">
      <c r="A170" t="s">
        <v>17</v>
      </c>
      <c r="B170">
        <v>26</v>
      </c>
    </row>
    <row r="171" spans="1:2" x14ac:dyDescent="0.2">
      <c r="A171" t="s">
        <v>17</v>
      </c>
      <c r="B171">
        <v>31.274999999999999</v>
      </c>
    </row>
    <row r="172" spans="1:2" x14ac:dyDescent="0.2">
      <c r="A172" t="s">
        <v>17</v>
      </c>
      <c r="B172">
        <v>31.274999999999999</v>
      </c>
    </row>
    <row r="173" spans="1:2" x14ac:dyDescent="0.2">
      <c r="A173" t="s">
        <v>17</v>
      </c>
      <c r="B173">
        <v>71</v>
      </c>
    </row>
    <row r="174" spans="1:2" x14ac:dyDescent="0.2">
      <c r="A174" t="s">
        <v>17</v>
      </c>
      <c r="B174">
        <v>11.1333</v>
      </c>
    </row>
    <row r="175" spans="1:2" x14ac:dyDescent="0.2">
      <c r="A175" t="s">
        <v>17</v>
      </c>
      <c r="B175">
        <v>49.5</v>
      </c>
    </row>
    <row r="176" spans="1:2" x14ac:dyDescent="0.2">
      <c r="A176" t="s">
        <v>17</v>
      </c>
      <c r="B176">
        <v>106.425</v>
      </c>
    </row>
    <row r="177" spans="1:2" x14ac:dyDescent="0.2">
      <c r="A177" t="s">
        <v>17</v>
      </c>
      <c r="B177">
        <v>26.25</v>
      </c>
    </row>
    <row r="178" spans="1:2" x14ac:dyDescent="0.2">
      <c r="A178" t="s">
        <v>17</v>
      </c>
      <c r="B178">
        <v>8.6624999999999996</v>
      </c>
    </row>
    <row r="179" spans="1:2" x14ac:dyDescent="0.2">
      <c r="A179" t="s">
        <v>17</v>
      </c>
      <c r="B179">
        <v>28.712499999999999</v>
      </c>
    </row>
    <row r="180" spans="1:2" x14ac:dyDescent="0.2">
      <c r="A180" t="s">
        <v>17</v>
      </c>
      <c r="B180">
        <v>22.3583</v>
      </c>
    </row>
    <row r="181" spans="1:2" x14ac:dyDescent="0.2">
      <c r="A181" t="s">
        <v>17</v>
      </c>
      <c r="B181">
        <v>26</v>
      </c>
    </row>
    <row r="182" spans="1:2" x14ac:dyDescent="0.2">
      <c r="A182" t="s">
        <v>17</v>
      </c>
      <c r="B182">
        <v>69.55</v>
      </c>
    </row>
    <row r="183" spans="1:2" x14ac:dyDescent="0.2">
      <c r="A183" t="s">
        <v>17</v>
      </c>
      <c r="B183">
        <v>10.5</v>
      </c>
    </row>
    <row r="184" spans="1:2" x14ac:dyDescent="0.2">
      <c r="A184" t="s">
        <v>17</v>
      </c>
      <c r="B184">
        <v>57.979199999999999</v>
      </c>
    </row>
    <row r="185" spans="1:2" x14ac:dyDescent="0.2">
      <c r="A185" t="s">
        <v>17</v>
      </c>
      <c r="B185">
        <v>93.5</v>
      </c>
    </row>
    <row r="186" spans="1:2" x14ac:dyDescent="0.2">
      <c r="A186" t="s">
        <v>17</v>
      </c>
      <c r="B186">
        <v>22.024999999999999</v>
      </c>
    </row>
    <row r="187" spans="1:2" x14ac:dyDescent="0.2">
      <c r="A187" t="s">
        <v>17</v>
      </c>
      <c r="B187">
        <v>26</v>
      </c>
    </row>
    <row r="188" spans="1:2" x14ac:dyDescent="0.2">
      <c r="A188" t="s">
        <v>17</v>
      </c>
      <c r="B188">
        <v>15.5</v>
      </c>
    </row>
    <row r="189" spans="1:2" x14ac:dyDescent="0.2">
      <c r="A189" t="s">
        <v>17</v>
      </c>
      <c r="B189">
        <v>10.5</v>
      </c>
    </row>
    <row r="190" spans="1:2" x14ac:dyDescent="0.2">
      <c r="A190" t="s">
        <v>17</v>
      </c>
      <c r="B190">
        <v>59.4</v>
      </c>
    </row>
    <row r="191" spans="1:2" x14ac:dyDescent="0.2">
      <c r="A191" t="s">
        <v>17</v>
      </c>
      <c r="B191">
        <v>26</v>
      </c>
    </row>
    <row r="192" spans="1:2" x14ac:dyDescent="0.2">
      <c r="A192" t="s">
        <v>17</v>
      </c>
      <c r="B192">
        <v>13</v>
      </c>
    </row>
    <row r="193" spans="1:2" x14ac:dyDescent="0.2">
      <c r="A193" t="s">
        <v>17</v>
      </c>
      <c r="B193">
        <v>86.5</v>
      </c>
    </row>
    <row r="194" spans="1:2" x14ac:dyDescent="0.2">
      <c r="A194" t="s">
        <v>17</v>
      </c>
      <c r="B194">
        <v>7.8541999999999996</v>
      </c>
    </row>
    <row r="195" spans="1:2" x14ac:dyDescent="0.2">
      <c r="A195" t="s">
        <v>17</v>
      </c>
      <c r="B195">
        <v>9.5875000000000004</v>
      </c>
    </row>
    <row r="196" spans="1:2" x14ac:dyDescent="0.2">
      <c r="A196" t="s">
        <v>17</v>
      </c>
      <c r="B196">
        <v>27.720800000000001</v>
      </c>
    </row>
    <row r="197" spans="1:2" x14ac:dyDescent="0.2">
      <c r="A197" t="s">
        <v>17</v>
      </c>
      <c r="B197">
        <v>146.52080000000001</v>
      </c>
    </row>
    <row r="198" spans="1:2" x14ac:dyDescent="0.2">
      <c r="A198" t="s">
        <v>17</v>
      </c>
      <c r="B198">
        <v>7.6292</v>
      </c>
    </row>
    <row r="199" spans="1:2" x14ac:dyDescent="0.2">
      <c r="A199" t="s">
        <v>17</v>
      </c>
      <c r="B199">
        <v>7.75</v>
      </c>
    </row>
    <row r="200" spans="1:2" x14ac:dyDescent="0.2">
      <c r="A200" t="s">
        <v>17</v>
      </c>
      <c r="B200">
        <v>7.75</v>
      </c>
    </row>
    <row r="201" spans="1:2" x14ac:dyDescent="0.2">
      <c r="A201" t="s">
        <v>17</v>
      </c>
      <c r="B201">
        <v>13</v>
      </c>
    </row>
    <row r="202" spans="1:2" x14ac:dyDescent="0.2">
      <c r="A202" t="s">
        <v>17</v>
      </c>
      <c r="B202">
        <v>151.55000000000001</v>
      </c>
    </row>
    <row r="203" spans="1:2" x14ac:dyDescent="0.2">
      <c r="A203" t="s">
        <v>17</v>
      </c>
      <c r="B203">
        <v>78.2667</v>
      </c>
    </row>
    <row r="204" spans="1:2" x14ac:dyDescent="0.2">
      <c r="A204" t="s">
        <v>17</v>
      </c>
      <c r="B204">
        <v>90</v>
      </c>
    </row>
    <row r="205" spans="1:2" x14ac:dyDescent="0.2">
      <c r="A205" t="s">
        <v>17</v>
      </c>
      <c r="B205">
        <v>25.466699999999999</v>
      </c>
    </row>
    <row r="206" spans="1:2" x14ac:dyDescent="0.2">
      <c r="A206" t="s">
        <v>17</v>
      </c>
      <c r="B206">
        <v>9.5875000000000004</v>
      </c>
    </row>
    <row r="207" spans="1:2" x14ac:dyDescent="0.2">
      <c r="A207" t="s">
        <v>17</v>
      </c>
      <c r="B207">
        <v>10.4625</v>
      </c>
    </row>
    <row r="208" spans="1:2" x14ac:dyDescent="0.2">
      <c r="A208" t="s">
        <v>17</v>
      </c>
      <c r="B208">
        <v>12.2875</v>
      </c>
    </row>
    <row r="209" spans="1:2" x14ac:dyDescent="0.2">
      <c r="A209" t="s">
        <v>17</v>
      </c>
      <c r="B209">
        <v>9.8375000000000004</v>
      </c>
    </row>
    <row r="210" spans="1:2" x14ac:dyDescent="0.2">
      <c r="A210" t="s">
        <v>17</v>
      </c>
      <c r="B210">
        <v>7.75</v>
      </c>
    </row>
    <row r="211" spans="1:2" x14ac:dyDescent="0.2">
      <c r="A211" t="s">
        <v>17</v>
      </c>
      <c r="B211">
        <v>13.791700000000001</v>
      </c>
    </row>
    <row r="212" spans="1:2" x14ac:dyDescent="0.2">
      <c r="A212" t="s">
        <v>17</v>
      </c>
      <c r="B212">
        <v>27.75</v>
      </c>
    </row>
    <row r="213" spans="1:2" x14ac:dyDescent="0.2">
      <c r="A213" t="s">
        <v>17</v>
      </c>
      <c r="B213">
        <v>21</v>
      </c>
    </row>
    <row r="214" spans="1:2" x14ac:dyDescent="0.2">
      <c r="A214" t="s">
        <v>17</v>
      </c>
      <c r="B214">
        <v>19.258299999999998</v>
      </c>
    </row>
    <row r="215" spans="1:2" x14ac:dyDescent="0.2">
      <c r="A215" t="s">
        <v>17</v>
      </c>
      <c r="B215">
        <v>10.5</v>
      </c>
    </row>
    <row r="216" spans="1:2" x14ac:dyDescent="0.2">
      <c r="A216" t="s">
        <v>17</v>
      </c>
      <c r="B216">
        <v>51.862499999999997</v>
      </c>
    </row>
    <row r="217" spans="1:2" x14ac:dyDescent="0.2">
      <c r="A217" t="s">
        <v>17</v>
      </c>
      <c r="B217">
        <v>113.27500000000001</v>
      </c>
    </row>
    <row r="218" spans="1:2" x14ac:dyDescent="0.2">
      <c r="A218" t="s">
        <v>17</v>
      </c>
      <c r="B218">
        <v>7.9249999999999998</v>
      </c>
    </row>
    <row r="219" spans="1:2" x14ac:dyDescent="0.2">
      <c r="A219" t="s">
        <v>17</v>
      </c>
      <c r="B219">
        <v>19.258299999999998</v>
      </c>
    </row>
    <row r="220" spans="1:2" x14ac:dyDescent="0.2">
      <c r="A220" t="s">
        <v>17</v>
      </c>
      <c r="B220">
        <v>76.291700000000006</v>
      </c>
    </row>
    <row r="221" spans="1:2" x14ac:dyDescent="0.2">
      <c r="A221" t="s">
        <v>17</v>
      </c>
      <c r="B221">
        <v>19.5</v>
      </c>
    </row>
    <row r="222" spans="1:2" x14ac:dyDescent="0.2">
      <c r="A222" t="s">
        <v>17</v>
      </c>
      <c r="B222">
        <v>13</v>
      </c>
    </row>
    <row r="223" spans="1:2" x14ac:dyDescent="0.2">
      <c r="A223" t="s">
        <v>17</v>
      </c>
      <c r="B223">
        <v>26.25</v>
      </c>
    </row>
    <row r="224" spans="1:2" x14ac:dyDescent="0.2">
      <c r="A224" t="s">
        <v>17</v>
      </c>
      <c r="B224">
        <v>18.75</v>
      </c>
    </row>
    <row r="225" spans="1:2" x14ac:dyDescent="0.2">
      <c r="A225" t="s">
        <v>17</v>
      </c>
      <c r="B225">
        <v>34.375</v>
      </c>
    </row>
    <row r="226" spans="1:2" x14ac:dyDescent="0.2">
      <c r="A226" t="s">
        <v>17</v>
      </c>
      <c r="B226">
        <v>120</v>
      </c>
    </row>
    <row r="227" spans="1:2" x14ac:dyDescent="0.2">
      <c r="A227" t="s">
        <v>17</v>
      </c>
      <c r="B227">
        <v>26</v>
      </c>
    </row>
    <row r="228" spans="1:2" x14ac:dyDescent="0.2">
      <c r="A228" t="s">
        <v>17</v>
      </c>
      <c r="B228">
        <v>16.100000000000001</v>
      </c>
    </row>
    <row r="229" spans="1:2" x14ac:dyDescent="0.2">
      <c r="A229" t="s">
        <v>17</v>
      </c>
      <c r="B229">
        <v>26</v>
      </c>
    </row>
    <row r="230" spans="1:2" x14ac:dyDescent="0.2">
      <c r="A230" t="s">
        <v>17</v>
      </c>
      <c r="B230">
        <v>26</v>
      </c>
    </row>
    <row r="231" spans="1:2" x14ac:dyDescent="0.2">
      <c r="A231" t="s">
        <v>17</v>
      </c>
      <c r="B231">
        <v>25.466699999999999</v>
      </c>
    </row>
    <row r="232" spans="1:2" x14ac:dyDescent="0.2">
      <c r="A232" t="s">
        <v>17</v>
      </c>
      <c r="B232">
        <v>83.474999999999994</v>
      </c>
    </row>
    <row r="233" spans="1:2" x14ac:dyDescent="0.2">
      <c r="A233" t="s">
        <v>17</v>
      </c>
      <c r="B233">
        <v>14.4</v>
      </c>
    </row>
    <row r="234" spans="1:2" x14ac:dyDescent="0.2">
      <c r="A234" t="s">
        <v>17</v>
      </c>
      <c r="B234">
        <v>24.15</v>
      </c>
    </row>
    <row r="235" spans="1:2" x14ac:dyDescent="0.2">
      <c r="A235" t="s">
        <v>17</v>
      </c>
      <c r="B235">
        <v>31.387499999999999</v>
      </c>
    </row>
    <row r="236" spans="1:2" x14ac:dyDescent="0.2">
      <c r="A236" t="s">
        <v>17</v>
      </c>
      <c r="B236">
        <v>13</v>
      </c>
    </row>
    <row r="237" spans="1:2" x14ac:dyDescent="0.2">
      <c r="A237" t="s">
        <v>17</v>
      </c>
      <c r="B237">
        <v>7.55</v>
      </c>
    </row>
    <row r="238" spans="1:2" x14ac:dyDescent="0.2">
      <c r="A238" t="s">
        <v>17</v>
      </c>
      <c r="B238">
        <v>32.5</v>
      </c>
    </row>
    <row r="239" spans="1:2" x14ac:dyDescent="0.2">
      <c r="A239" t="s">
        <v>17</v>
      </c>
      <c r="B239">
        <v>26.25</v>
      </c>
    </row>
    <row r="240" spans="1:2" x14ac:dyDescent="0.2">
      <c r="A240" t="s">
        <v>17</v>
      </c>
      <c r="B240">
        <v>8.0500000000000007</v>
      </c>
    </row>
    <row r="241" spans="1:2" x14ac:dyDescent="0.2">
      <c r="A241" t="s">
        <v>17</v>
      </c>
      <c r="B241">
        <v>90</v>
      </c>
    </row>
    <row r="242" spans="1:2" x14ac:dyDescent="0.2">
      <c r="A242" t="s">
        <v>17</v>
      </c>
      <c r="B242">
        <v>14.4542</v>
      </c>
    </row>
    <row r="243" spans="1:2" x14ac:dyDescent="0.2">
      <c r="A243" t="s">
        <v>17</v>
      </c>
      <c r="B243">
        <v>15.5</v>
      </c>
    </row>
    <row r="244" spans="1:2" x14ac:dyDescent="0.2">
      <c r="A244" t="s">
        <v>17</v>
      </c>
      <c r="B244">
        <v>25.466699999999999</v>
      </c>
    </row>
    <row r="245" spans="1:2" x14ac:dyDescent="0.2">
      <c r="A245" t="s">
        <v>17</v>
      </c>
      <c r="B245">
        <v>8.6624999999999996</v>
      </c>
    </row>
    <row r="246" spans="1:2" x14ac:dyDescent="0.2">
      <c r="A246" t="s">
        <v>17</v>
      </c>
      <c r="B246">
        <v>9.8249999999999993</v>
      </c>
    </row>
    <row r="247" spans="1:2" x14ac:dyDescent="0.2">
      <c r="A247" t="s">
        <v>17</v>
      </c>
      <c r="B247">
        <v>12.65</v>
      </c>
    </row>
    <row r="248" spans="1:2" x14ac:dyDescent="0.2">
      <c r="A248" t="s">
        <v>17</v>
      </c>
      <c r="B248">
        <v>7.7750000000000004</v>
      </c>
    </row>
    <row r="249" spans="1:2" x14ac:dyDescent="0.2">
      <c r="A249" t="s">
        <v>17</v>
      </c>
      <c r="B249">
        <v>14.5</v>
      </c>
    </row>
    <row r="250" spans="1:2" x14ac:dyDescent="0.2">
      <c r="A250" t="s">
        <v>17</v>
      </c>
      <c r="B250">
        <v>7.8541999999999996</v>
      </c>
    </row>
    <row r="251" spans="1:2" x14ac:dyDescent="0.2">
      <c r="A251" t="s">
        <v>17</v>
      </c>
      <c r="B251">
        <v>16.7</v>
      </c>
    </row>
    <row r="252" spans="1:2" x14ac:dyDescent="0.2">
      <c r="A252" t="s">
        <v>17</v>
      </c>
      <c r="B252">
        <v>113.27500000000001</v>
      </c>
    </row>
    <row r="253" spans="1:2" x14ac:dyDescent="0.2">
      <c r="A253" t="s">
        <v>17</v>
      </c>
      <c r="B253">
        <v>10.4625</v>
      </c>
    </row>
    <row r="254" spans="1:2" x14ac:dyDescent="0.2">
      <c r="A254" t="s">
        <v>17</v>
      </c>
      <c r="B254">
        <v>12</v>
      </c>
    </row>
    <row r="255" spans="1:2" x14ac:dyDescent="0.2">
      <c r="A255" t="s">
        <v>17</v>
      </c>
      <c r="B255">
        <v>13</v>
      </c>
    </row>
    <row r="256" spans="1:2" x14ac:dyDescent="0.2">
      <c r="A256" t="s">
        <v>17</v>
      </c>
      <c r="B256">
        <v>20.212499999999999</v>
      </c>
    </row>
    <row r="257" spans="1:2" x14ac:dyDescent="0.2">
      <c r="A257" t="s">
        <v>17</v>
      </c>
      <c r="B257">
        <v>15.245799999999999</v>
      </c>
    </row>
    <row r="258" spans="1:2" x14ac:dyDescent="0.2">
      <c r="A258" t="s">
        <v>17</v>
      </c>
      <c r="B258">
        <v>79.2</v>
      </c>
    </row>
    <row r="259" spans="1:2" x14ac:dyDescent="0.2">
      <c r="A259" t="s">
        <v>17</v>
      </c>
      <c r="B259">
        <v>86.5</v>
      </c>
    </row>
    <row r="260" spans="1:2" x14ac:dyDescent="0.2">
      <c r="A260" t="s">
        <v>17</v>
      </c>
      <c r="B260">
        <v>512.32920000000001</v>
      </c>
    </row>
    <row r="261" spans="1:2" x14ac:dyDescent="0.2">
      <c r="A261" t="s">
        <v>17</v>
      </c>
      <c r="B261">
        <v>26</v>
      </c>
    </row>
    <row r="262" spans="1:2" x14ac:dyDescent="0.2">
      <c r="A262" t="s">
        <v>17</v>
      </c>
      <c r="B262">
        <v>52</v>
      </c>
    </row>
    <row r="263" spans="1:2" x14ac:dyDescent="0.2">
      <c r="A263" t="s">
        <v>17</v>
      </c>
      <c r="B263">
        <v>15.7417</v>
      </c>
    </row>
    <row r="264" spans="1:2" x14ac:dyDescent="0.2">
      <c r="A264" t="s">
        <v>17</v>
      </c>
      <c r="B264">
        <v>227.52500000000001</v>
      </c>
    </row>
    <row r="265" spans="1:2" x14ac:dyDescent="0.2">
      <c r="A265" t="s">
        <v>17</v>
      </c>
      <c r="B265">
        <v>7.25</v>
      </c>
    </row>
    <row r="266" spans="1:2" x14ac:dyDescent="0.2">
      <c r="A266" t="s">
        <v>17</v>
      </c>
      <c r="B266">
        <v>7.75</v>
      </c>
    </row>
    <row r="267" spans="1:2" x14ac:dyDescent="0.2">
      <c r="A267" t="s">
        <v>17</v>
      </c>
      <c r="B267">
        <v>82.1708</v>
      </c>
    </row>
    <row r="268" spans="1:2" x14ac:dyDescent="0.2">
      <c r="A268" t="s">
        <v>17</v>
      </c>
      <c r="B268">
        <v>21.074999999999999</v>
      </c>
    </row>
    <row r="269" spans="1:2" x14ac:dyDescent="0.2">
      <c r="A269" t="s">
        <v>17</v>
      </c>
      <c r="B269">
        <v>69.3</v>
      </c>
    </row>
    <row r="270" spans="1:2" x14ac:dyDescent="0.2">
      <c r="A270" t="s">
        <v>17</v>
      </c>
      <c r="B270">
        <v>153.46250000000001</v>
      </c>
    </row>
    <row r="271" spans="1:2" x14ac:dyDescent="0.2">
      <c r="A271" t="s">
        <v>17</v>
      </c>
      <c r="B271">
        <v>135.63329999999999</v>
      </c>
    </row>
    <row r="272" spans="1:2" x14ac:dyDescent="0.2">
      <c r="A272" t="s">
        <v>17</v>
      </c>
      <c r="B272">
        <v>7.75</v>
      </c>
    </row>
    <row r="273" spans="1:2" x14ac:dyDescent="0.2">
      <c r="A273" t="s">
        <v>17</v>
      </c>
      <c r="B273">
        <v>7.2291999999999996</v>
      </c>
    </row>
    <row r="274" spans="1:2" x14ac:dyDescent="0.2">
      <c r="A274" t="s">
        <v>17</v>
      </c>
      <c r="B274">
        <v>19.5</v>
      </c>
    </row>
    <row r="275" spans="1:2" x14ac:dyDescent="0.2">
      <c r="A275" t="s">
        <v>17</v>
      </c>
      <c r="B275">
        <v>75.25</v>
      </c>
    </row>
    <row r="276" spans="1:2" x14ac:dyDescent="0.2">
      <c r="A276" t="s">
        <v>17</v>
      </c>
      <c r="B276">
        <v>7.75</v>
      </c>
    </row>
    <row r="277" spans="1:2" x14ac:dyDescent="0.2">
      <c r="A277" t="s">
        <v>17</v>
      </c>
      <c r="B277">
        <v>77.958299999999994</v>
      </c>
    </row>
    <row r="278" spans="1:2" x14ac:dyDescent="0.2">
      <c r="A278" t="s">
        <v>17</v>
      </c>
      <c r="B278">
        <v>7.75</v>
      </c>
    </row>
    <row r="279" spans="1:2" x14ac:dyDescent="0.2">
      <c r="A279" t="s">
        <v>17</v>
      </c>
      <c r="B279">
        <v>14.4542</v>
      </c>
    </row>
    <row r="280" spans="1:2" x14ac:dyDescent="0.2">
      <c r="A280" t="s">
        <v>17</v>
      </c>
      <c r="B280">
        <v>7.8792</v>
      </c>
    </row>
    <row r="281" spans="1:2" x14ac:dyDescent="0.2">
      <c r="A281" t="s">
        <v>17</v>
      </c>
      <c r="B281">
        <v>20.25</v>
      </c>
    </row>
    <row r="282" spans="1:2" x14ac:dyDescent="0.2">
      <c r="A282" t="s">
        <v>17</v>
      </c>
      <c r="B282">
        <v>7.8792</v>
      </c>
    </row>
    <row r="283" spans="1:2" x14ac:dyDescent="0.2">
      <c r="A283" t="s">
        <v>17</v>
      </c>
      <c r="B283">
        <v>13</v>
      </c>
    </row>
    <row r="284" spans="1:2" x14ac:dyDescent="0.2">
      <c r="A284" t="s">
        <v>17</v>
      </c>
      <c r="B284">
        <v>55</v>
      </c>
    </row>
    <row r="285" spans="1:2" x14ac:dyDescent="0.2">
      <c r="A285" t="s">
        <v>17</v>
      </c>
      <c r="B285">
        <v>16.100000000000001</v>
      </c>
    </row>
    <row r="286" spans="1:2" x14ac:dyDescent="0.2">
      <c r="A286" t="s">
        <v>17</v>
      </c>
      <c r="B286">
        <v>13</v>
      </c>
    </row>
    <row r="287" spans="1:2" x14ac:dyDescent="0.2">
      <c r="A287" t="s">
        <v>17</v>
      </c>
      <c r="B287">
        <v>13</v>
      </c>
    </row>
    <row r="288" spans="1:2" x14ac:dyDescent="0.2">
      <c r="A288" t="s">
        <v>17</v>
      </c>
      <c r="B288">
        <v>263</v>
      </c>
    </row>
    <row r="289" spans="1:2" x14ac:dyDescent="0.2">
      <c r="A289" t="s">
        <v>17</v>
      </c>
      <c r="B289">
        <v>134.5</v>
      </c>
    </row>
    <row r="290" spans="1:2" x14ac:dyDescent="0.2">
      <c r="A290" t="s">
        <v>17</v>
      </c>
      <c r="B290">
        <v>133.65</v>
      </c>
    </row>
    <row r="291" spans="1:2" x14ac:dyDescent="0.2">
      <c r="A291" t="s">
        <v>17</v>
      </c>
      <c r="B291">
        <v>7.75</v>
      </c>
    </row>
    <row r="292" spans="1:2" x14ac:dyDescent="0.2">
      <c r="A292" t="s">
        <v>17</v>
      </c>
      <c r="B292">
        <v>78.849999999999994</v>
      </c>
    </row>
    <row r="293" spans="1:2" x14ac:dyDescent="0.2">
      <c r="A293" t="s">
        <v>17</v>
      </c>
      <c r="B293">
        <v>91.0792</v>
      </c>
    </row>
    <row r="294" spans="1:2" x14ac:dyDescent="0.2">
      <c r="A294" t="s">
        <v>17</v>
      </c>
      <c r="B294">
        <v>23.25</v>
      </c>
    </row>
    <row r="295" spans="1:2" x14ac:dyDescent="0.2">
      <c r="A295" t="s">
        <v>17</v>
      </c>
      <c r="B295">
        <v>8.85</v>
      </c>
    </row>
    <row r="296" spans="1:2" x14ac:dyDescent="0.2">
      <c r="A296" t="s">
        <v>17</v>
      </c>
      <c r="B296">
        <v>57.979199999999999</v>
      </c>
    </row>
    <row r="297" spans="1:2" x14ac:dyDescent="0.2">
      <c r="A297" t="s">
        <v>17</v>
      </c>
      <c r="B297">
        <v>20.524999999999999</v>
      </c>
    </row>
    <row r="298" spans="1:2" x14ac:dyDescent="0.2">
      <c r="A298" t="s">
        <v>17</v>
      </c>
      <c r="B298">
        <v>13</v>
      </c>
    </row>
    <row r="299" spans="1:2" x14ac:dyDescent="0.2">
      <c r="A299" t="s">
        <v>17</v>
      </c>
      <c r="B299">
        <v>151.55000000000001</v>
      </c>
    </row>
    <row r="300" spans="1:2" x14ac:dyDescent="0.2">
      <c r="A300" t="s">
        <v>17</v>
      </c>
      <c r="B300">
        <v>135.63329999999999</v>
      </c>
    </row>
    <row r="301" spans="1:2" x14ac:dyDescent="0.2">
      <c r="A301" t="s">
        <v>17</v>
      </c>
      <c r="B301">
        <v>247.52080000000001</v>
      </c>
    </row>
    <row r="302" spans="1:2" x14ac:dyDescent="0.2">
      <c r="A302" t="s">
        <v>17</v>
      </c>
      <c r="B302">
        <v>7.75</v>
      </c>
    </row>
    <row r="303" spans="1:2" x14ac:dyDescent="0.2">
      <c r="A303" t="s">
        <v>17</v>
      </c>
      <c r="B303">
        <v>29</v>
      </c>
    </row>
    <row r="304" spans="1:2" x14ac:dyDescent="0.2">
      <c r="A304" t="s">
        <v>17</v>
      </c>
      <c r="B304">
        <v>12.35</v>
      </c>
    </row>
    <row r="305" spans="1:2" x14ac:dyDescent="0.2">
      <c r="A305" t="s">
        <v>17</v>
      </c>
      <c r="B305">
        <v>12.35</v>
      </c>
    </row>
    <row r="306" spans="1:2" x14ac:dyDescent="0.2">
      <c r="A306" t="s">
        <v>17</v>
      </c>
      <c r="B306">
        <v>134.5</v>
      </c>
    </row>
    <row r="307" spans="1:2" x14ac:dyDescent="0.2">
      <c r="A307" t="s">
        <v>17</v>
      </c>
      <c r="B307">
        <v>164.86670000000001</v>
      </c>
    </row>
    <row r="308" spans="1:2" x14ac:dyDescent="0.2">
      <c r="A308" t="s">
        <v>17</v>
      </c>
      <c r="B308">
        <v>110.88330000000001</v>
      </c>
    </row>
    <row r="309" spans="1:2" x14ac:dyDescent="0.2">
      <c r="A309" t="s">
        <v>17</v>
      </c>
      <c r="B309">
        <v>108.9</v>
      </c>
    </row>
    <row r="310" spans="1:2" x14ac:dyDescent="0.2">
      <c r="A310" t="s">
        <v>17</v>
      </c>
      <c r="B310">
        <v>26</v>
      </c>
    </row>
    <row r="311" spans="1:2" x14ac:dyDescent="0.2">
      <c r="A311" t="s">
        <v>17</v>
      </c>
      <c r="B311">
        <v>56.929200000000002</v>
      </c>
    </row>
    <row r="312" spans="1:2" x14ac:dyDescent="0.2">
      <c r="A312" t="s">
        <v>17</v>
      </c>
      <c r="B312">
        <v>83.158299999999997</v>
      </c>
    </row>
    <row r="313" spans="1:2" x14ac:dyDescent="0.2">
      <c r="A313" t="s">
        <v>17</v>
      </c>
      <c r="B313">
        <v>262.375</v>
      </c>
    </row>
    <row r="314" spans="1:2" x14ac:dyDescent="0.2">
      <c r="A314" t="s">
        <v>17</v>
      </c>
      <c r="B314">
        <v>26</v>
      </c>
    </row>
    <row r="315" spans="1:2" x14ac:dyDescent="0.2">
      <c r="A315" t="s">
        <v>17</v>
      </c>
      <c r="B315">
        <v>7.8541999999999996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DC83B-620D-EB44-9540-ACFF82C2273F}">
  <dimension ref="A3:B7"/>
  <sheetViews>
    <sheetView zoomScale="165" workbookViewId="0">
      <selection activeCell="B5" sqref="B5"/>
    </sheetView>
  </sheetViews>
  <sheetFormatPr baseColWidth="10" defaultRowHeight="16" x14ac:dyDescent="0.2"/>
  <cols>
    <col min="1" max="1" width="13" bestFit="1" customWidth="1"/>
    <col min="2" max="2" width="11.1640625" bestFit="1" customWidth="1"/>
  </cols>
  <sheetData>
    <row r="3" spans="1:2" x14ac:dyDescent="0.2">
      <c r="A3" s="5" t="s">
        <v>1269</v>
      </c>
      <c r="B3" t="s">
        <v>1272</v>
      </c>
    </row>
    <row r="4" spans="1:2" x14ac:dyDescent="0.2">
      <c r="A4" s="6" t="s">
        <v>17</v>
      </c>
      <c r="B4">
        <v>13966.662799999989</v>
      </c>
    </row>
    <row r="5" spans="1:2" x14ac:dyDescent="0.2">
      <c r="A5" s="6" t="s">
        <v>13</v>
      </c>
      <c r="B5">
        <v>14727.286499999989</v>
      </c>
    </row>
    <row r="6" spans="1:2" x14ac:dyDescent="0.2">
      <c r="A6" s="6" t="s">
        <v>1270</v>
      </c>
    </row>
    <row r="7" spans="1:2" x14ac:dyDescent="0.2">
      <c r="A7" s="6" t="s">
        <v>1271</v>
      </c>
      <c r="B7">
        <v>28693.949299999978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92"/>
  <sheetViews>
    <sheetView workbookViewId="0">
      <selection sqref="A1:B1048576"/>
    </sheetView>
  </sheetViews>
  <sheetFormatPr baseColWidth="10" defaultRowHeight="16" x14ac:dyDescent="0.2"/>
  <cols>
    <col min="2" max="2" width="9.33203125" customWidth="1"/>
  </cols>
  <sheetData>
    <row r="1" spans="1:2" x14ac:dyDescent="0.2">
      <c r="A1" t="s">
        <v>5</v>
      </c>
      <c r="B1" t="s">
        <v>9</v>
      </c>
    </row>
    <row r="2" spans="1:2" x14ac:dyDescent="0.2">
      <c r="A2">
        <v>22</v>
      </c>
      <c r="B2">
        <v>7.25</v>
      </c>
    </row>
    <row r="3" spans="1:2" x14ac:dyDescent="0.2">
      <c r="A3">
        <v>38</v>
      </c>
      <c r="B3">
        <v>71.283299999999997</v>
      </c>
    </row>
    <row r="4" spans="1:2" x14ac:dyDescent="0.2">
      <c r="A4">
        <v>26</v>
      </c>
      <c r="B4">
        <v>7.9249999999999998</v>
      </c>
    </row>
    <row r="5" spans="1:2" x14ac:dyDescent="0.2">
      <c r="A5">
        <v>35</v>
      </c>
      <c r="B5">
        <v>53.1</v>
      </c>
    </row>
    <row r="6" spans="1:2" x14ac:dyDescent="0.2">
      <c r="A6">
        <v>35</v>
      </c>
      <c r="B6">
        <v>8.0500000000000007</v>
      </c>
    </row>
    <row r="7" spans="1:2" x14ac:dyDescent="0.2">
      <c r="B7">
        <v>8.4582999999999995</v>
      </c>
    </row>
    <row r="8" spans="1:2" x14ac:dyDescent="0.2">
      <c r="A8">
        <v>54</v>
      </c>
      <c r="B8">
        <v>51.862499999999997</v>
      </c>
    </row>
    <row r="9" spans="1:2" x14ac:dyDescent="0.2">
      <c r="A9">
        <v>2</v>
      </c>
      <c r="B9">
        <v>21.074999999999999</v>
      </c>
    </row>
    <row r="10" spans="1:2" x14ac:dyDescent="0.2">
      <c r="A10">
        <v>27</v>
      </c>
      <c r="B10">
        <v>11.1333</v>
      </c>
    </row>
    <row r="11" spans="1:2" x14ac:dyDescent="0.2">
      <c r="A11">
        <v>14</v>
      </c>
      <c r="B11">
        <v>30.070799999999998</v>
      </c>
    </row>
    <row r="12" spans="1:2" x14ac:dyDescent="0.2">
      <c r="A12">
        <v>4</v>
      </c>
      <c r="B12">
        <v>16.7</v>
      </c>
    </row>
    <row r="13" spans="1:2" x14ac:dyDescent="0.2">
      <c r="A13">
        <v>58</v>
      </c>
      <c r="B13">
        <v>26.55</v>
      </c>
    </row>
    <row r="14" spans="1:2" x14ac:dyDescent="0.2">
      <c r="A14">
        <v>20</v>
      </c>
      <c r="B14">
        <v>8.0500000000000007</v>
      </c>
    </row>
    <row r="15" spans="1:2" x14ac:dyDescent="0.2">
      <c r="A15">
        <v>39</v>
      </c>
      <c r="B15">
        <v>31.274999999999999</v>
      </c>
    </row>
    <row r="16" spans="1:2" x14ac:dyDescent="0.2">
      <c r="A16">
        <v>14</v>
      </c>
      <c r="B16">
        <v>7.8541999999999996</v>
      </c>
    </row>
    <row r="17" spans="1:2" x14ac:dyDescent="0.2">
      <c r="A17">
        <v>55</v>
      </c>
      <c r="B17">
        <v>16</v>
      </c>
    </row>
    <row r="18" spans="1:2" x14ac:dyDescent="0.2">
      <c r="A18">
        <v>2</v>
      </c>
      <c r="B18">
        <v>29.125</v>
      </c>
    </row>
    <row r="19" spans="1:2" x14ac:dyDescent="0.2">
      <c r="B19">
        <v>13</v>
      </c>
    </row>
    <row r="20" spans="1:2" x14ac:dyDescent="0.2">
      <c r="A20">
        <v>31</v>
      </c>
      <c r="B20">
        <v>18</v>
      </c>
    </row>
    <row r="21" spans="1:2" x14ac:dyDescent="0.2">
      <c r="B21">
        <v>7.2249999999999996</v>
      </c>
    </row>
    <row r="22" spans="1:2" x14ac:dyDescent="0.2">
      <c r="A22">
        <v>35</v>
      </c>
      <c r="B22">
        <v>26</v>
      </c>
    </row>
    <row r="23" spans="1:2" x14ac:dyDescent="0.2">
      <c r="A23">
        <v>34</v>
      </c>
      <c r="B23">
        <v>13</v>
      </c>
    </row>
    <row r="24" spans="1:2" x14ac:dyDescent="0.2">
      <c r="A24">
        <v>15</v>
      </c>
      <c r="B24">
        <v>8.0291999999999994</v>
      </c>
    </row>
    <row r="25" spans="1:2" x14ac:dyDescent="0.2">
      <c r="A25">
        <v>28</v>
      </c>
      <c r="B25">
        <v>35.5</v>
      </c>
    </row>
    <row r="26" spans="1:2" x14ac:dyDescent="0.2">
      <c r="A26">
        <v>8</v>
      </c>
      <c r="B26">
        <v>21.074999999999999</v>
      </c>
    </row>
    <row r="27" spans="1:2" x14ac:dyDescent="0.2">
      <c r="A27">
        <v>38</v>
      </c>
      <c r="B27">
        <v>31.387499999999999</v>
      </c>
    </row>
    <row r="28" spans="1:2" x14ac:dyDescent="0.2">
      <c r="B28">
        <v>7.2249999999999996</v>
      </c>
    </row>
    <row r="29" spans="1:2" x14ac:dyDescent="0.2">
      <c r="A29">
        <v>19</v>
      </c>
      <c r="B29">
        <v>263</v>
      </c>
    </row>
    <row r="30" spans="1:2" x14ac:dyDescent="0.2">
      <c r="B30">
        <v>7.8792</v>
      </c>
    </row>
    <row r="31" spans="1:2" x14ac:dyDescent="0.2">
      <c r="B31">
        <v>7.8958000000000004</v>
      </c>
    </row>
    <row r="32" spans="1:2" x14ac:dyDescent="0.2">
      <c r="A32">
        <v>40</v>
      </c>
      <c r="B32">
        <v>27.720800000000001</v>
      </c>
    </row>
    <row r="33" spans="1:2" x14ac:dyDescent="0.2">
      <c r="B33">
        <v>146.52080000000001</v>
      </c>
    </row>
    <row r="34" spans="1:2" x14ac:dyDescent="0.2">
      <c r="B34">
        <v>7.75</v>
      </c>
    </row>
    <row r="35" spans="1:2" x14ac:dyDescent="0.2">
      <c r="A35">
        <v>66</v>
      </c>
      <c r="B35">
        <v>10.5</v>
      </c>
    </row>
    <row r="36" spans="1:2" x14ac:dyDescent="0.2">
      <c r="A36">
        <v>28</v>
      </c>
      <c r="B36">
        <v>82.1708</v>
      </c>
    </row>
    <row r="37" spans="1:2" x14ac:dyDescent="0.2">
      <c r="A37">
        <v>42</v>
      </c>
      <c r="B37">
        <v>52</v>
      </c>
    </row>
    <row r="38" spans="1:2" x14ac:dyDescent="0.2">
      <c r="B38">
        <v>7.2291999999999996</v>
      </c>
    </row>
    <row r="39" spans="1:2" x14ac:dyDescent="0.2">
      <c r="A39">
        <v>21</v>
      </c>
      <c r="B39">
        <v>8.0500000000000007</v>
      </c>
    </row>
    <row r="40" spans="1:2" x14ac:dyDescent="0.2">
      <c r="A40">
        <v>18</v>
      </c>
      <c r="B40">
        <v>18</v>
      </c>
    </row>
    <row r="41" spans="1:2" x14ac:dyDescent="0.2">
      <c r="A41">
        <v>14</v>
      </c>
      <c r="B41">
        <v>11.2417</v>
      </c>
    </row>
    <row r="42" spans="1:2" x14ac:dyDescent="0.2">
      <c r="A42">
        <v>40</v>
      </c>
      <c r="B42">
        <v>9.4749999999999996</v>
      </c>
    </row>
    <row r="43" spans="1:2" x14ac:dyDescent="0.2">
      <c r="A43">
        <v>27</v>
      </c>
      <c r="B43">
        <v>21</v>
      </c>
    </row>
    <row r="44" spans="1:2" x14ac:dyDescent="0.2">
      <c r="B44">
        <v>7.8958000000000004</v>
      </c>
    </row>
    <row r="45" spans="1:2" x14ac:dyDescent="0.2">
      <c r="A45">
        <v>3</v>
      </c>
      <c r="B45">
        <v>41.5792</v>
      </c>
    </row>
    <row r="46" spans="1:2" x14ac:dyDescent="0.2">
      <c r="A46">
        <v>19</v>
      </c>
      <c r="B46">
        <v>7.8792</v>
      </c>
    </row>
    <row r="47" spans="1:2" x14ac:dyDescent="0.2">
      <c r="B47">
        <v>8.0500000000000007</v>
      </c>
    </row>
    <row r="48" spans="1:2" x14ac:dyDescent="0.2">
      <c r="B48">
        <v>15.5</v>
      </c>
    </row>
    <row r="49" spans="1:2" x14ac:dyDescent="0.2">
      <c r="B49">
        <v>7.75</v>
      </c>
    </row>
    <row r="50" spans="1:2" x14ac:dyDescent="0.2">
      <c r="B50">
        <v>21.679200000000002</v>
      </c>
    </row>
    <row r="51" spans="1:2" x14ac:dyDescent="0.2">
      <c r="A51">
        <v>18</v>
      </c>
      <c r="B51">
        <v>17.8</v>
      </c>
    </row>
    <row r="52" spans="1:2" x14ac:dyDescent="0.2">
      <c r="A52">
        <v>7</v>
      </c>
      <c r="B52">
        <v>39.6875</v>
      </c>
    </row>
    <row r="53" spans="1:2" x14ac:dyDescent="0.2">
      <c r="A53">
        <v>21</v>
      </c>
      <c r="B53">
        <v>7.8</v>
      </c>
    </row>
    <row r="54" spans="1:2" x14ac:dyDescent="0.2">
      <c r="A54">
        <v>49</v>
      </c>
      <c r="B54">
        <v>76.729200000000006</v>
      </c>
    </row>
    <row r="55" spans="1:2" x14ac:dyDescent="0.2">
      <c r="A55">
        <v>29</v>
      </c>
      <c r="B55">
        <v>26</v>
      </c>
    </row>
    <row r="56" spans="1:2" x14ac:dyDescent="0.2">
      <c r="A56">
        <v>65</v>
      </c>
      <c r="B56">
        <v>61.979199999999999</v>
      </c>
    </row>
    <row r="57" spans="1:2" x14ac:dyDescent="0.2">
      <c r="B57">
        <v>35.5</v>
      </c>
    </row>
    <row r="58" spans="1:2" x14ac:dyDescent="0.2">
      <c r="A58">
        <v>21</v>
      </c>
      <c r="B58">
        <v>10.5</v>
      </c>
    </row>
    <row r="59" spans="1:2" x14ac:dyDescent="0.2">
      <c r="A59">
        <v>28.5</v>
      </c>
      <c r="B59">
        <v>7.2291999999999996</v>
      </c>
    </row>
    <row r="60" spans="1:2" x14ac:dyDescent="0.2">
      <c r="A60">
        <v>5</v>
      </c>
      <c r="B60">
        <v>27.75</v>
      </c>
    </row>
    <row r="61" spans="1:2" x14ac:dyDescent="0.2">
      <c r="A61">
        <v>11</v>
      </c>
      <c r="B61">
        <v>46.9</v>
      </c>
    </row>
    <row r="62" spans="1:2" x14ac:dyDescent="0.2">
      <c r="A62">
        <v>22</v>
      </c>
      <c r="B62">
        <v>7.2291999999999996</v>
      </c>
    </row>
    <row r="63" spans="1:2" x14ac:dyDescent="0.2">
      <c r="A63">
        <v>38</v>
      </c>
      <c r="B63">
        <v>80</v>
      </c>
    </row>
    <row r="64" spans="1:2" x14ac:dyDescent="0.2">
      <c r="A64">
        <v>45</v>
      </c>
      <c r="B64">
        <v>83.474999999999994</v>
      </c>
    </row>
    <row r="65" spans="1:2" x14ac:dyDescent="0.2">
      <c r="A65">
        <v>4</v>
      </c>
      <c r="B65">
        <v>27.9</v>
      </c>
    </row>
    <row r="66" spans="1:2" x14ac:dyDescent="0.2">
      <c r="B66">
        <v>27.720800000000001</v>
      </c>
    </row>
    <row r="67" spans="1:2" x14ac:dyDescent="0.2">
      <c r="B67">
        <v>15.245799999999999</v>
      </c>
    </row>
    <row r="68" spans="1:2" x14ac:dyDescent="0.2">
      <c r="A68">
        <v>29</v>
      </c>
      <c r="B68">
        <v>10.5</v>
      </c>
    </row>
    <row r="69" spans="1:2" x14ac:dyDescent="0.2">
      <c r="A69">
        <v>19</v>
      </c>
      <c r="B69">
        <v>8.1583000000000006</v>
      </c>
    </row>
    <row r="70" spans="1:2" x14ac:dyDescent="0.2">
      <c r="A70">
        <v>17</v>
      </c>
      <c r="B70">
        <v>7.9249999999999998</v>
      </c>
    </row>
    <row r="71" spans="1:2" x14ac:dyDescent="0.2">
      <c r="A71">
        <v>26</v>
      </c>
      <c r="B71">
        <v>8.6624999999999996</v>
      </c>
    </row>
    <row r="72" spans="1:2" x14ac:dyDescent="0.2">
      <c r="A72">
        <v>32</v>
      </c>
      <c r="B72">
        <v>10.5</v>
      </c>
    </row>
    <row r="73" spans="1:2" x14ac:dyDescent="0.2">
      <c r="A73">
        <v>16</v>
      </c>
      <c r="B73">
        <v>46.9</v>
      </c>
    </row>
    <row r="74" spans="1:2" x14ac:dyDescent="0.2">
      <c r="A74">
        <v>21</v>
      </c>
      <c r="B74">
        <v>73.5</v>
      </c>
    </row>
    <row r="75" spans="1:2" x14ac:dyDescent="0.2">
      <c r="A75">
        <v>26</v>
      </c>
      <c r="B75">
        <v>14.4542</v>
      </c>
    </row>
    <row r="76" spans="1:2" x14ac:dyDescent="0.2">
      <c r="A76">
        <v>32</v>
      </c>
      <c r="B76">
        <v>56.495800000000003</v>
      </c>
    </row>
    <row r="77" spans="1:2" x14ac:dyDescent="0.2">
      <c r="A77">
        <v>25</v>
      </c>
      <c r="B77">
        <v>7.65</v>
      </c>
    </row>
    <row r="78" spans="1:2" x14ac:dyDescent="0.2">
      <c r="B78">
        <v>7.8958000000000004</v>
      </c>
    </row>
    <row r="79" spans="1:2" x14ac:dyDescent="0.2">
      <c r="B79">
        <v>8.0500000000000007</v>
      </c>
    </row>
    <row r="80" spans="1:2" x14ac:dyDescent="0.2">
      <c r="A80">
        <v>0.83</v>
      </c>
      <c r="B80">
        <v>29</v>
      </c>
    </row>
    <row r="81" spans="1:2" x14ac:dyDescent="0.2">
      <c r="A81">
        <v>30</v>
      </c>
      <c r="B81">
        <v>12.475</v>
      </c>
    </row>
    <row r="82" spans="1:2" x14ac:dyDescent="0.2">
      <c r="A82">
        <v>22</v>
      </c>
      <c r="B82">
        <v>9</v>
      </c>
    </row>
    <row r="83" spans="1:2" x14ac:dyDescent="0.2">
      <c r="A83">
        <v>29</v>
      </c>
      <c r="B83">
        <v>9.5</v>
      </c>
    </row>
    <row r="84" spans="1:2" x14ac:dyDescent="0.2">
      <c r="B84">
        <v>7.7874999999999996</v>
      </c>
    </row>
    <row r="85" spans="1:2" x14ac:dyDescent="0.2">
      <c r="A85">
        <v>28</v>
      </c>
      <c r="B85">
        <v>47.1</v>
      </c>
    </row>
    <row r="86" spans="1:2" x14ac:dyDescent="0.2">
      <c r="A86">
        <v>17</v>
      </c>
      <c r="B86">
        <v>10.5</v>
      </c>
    </row>
    <row r="87" spans="1:2" x14ac:dyDescent="0.2">
      <c r="A87">
        <v>33</v>
      </c>
      <c r="B87">
        <v>15.85</v>
      </c>
    </row>
    <row r="88" spans="1:2" x14ac:dyDescent="0.2">
      <c r="A88">
        <v>16</v>
      </c>
      <c r="B88">
        <v>34.375</v>
      </c>
    </row>
    <row r="89" spans="1:2" x14ac:dyDescent="0.2">
      <c r="B89">
        <v>8.0500000000000007</v>
      </c>
    </row>
    <row r="90" spans="1:2" x14ac:dyDescent="0.2">
      <c r="A90">
        <v>23</v>
      </c>
      <c r="B90">
        <v>263</v>
      </c>
    </row>
    <row r="91" spans="1:2" x14ac:dyDescent="0.2">
      <c r="A91">
        <v>24</v>
      </c>
      <c r="B91">
        <v>8.0500000000000007</v>
      </c>
    </row>
    <row r="92" spans="1:2" x14ac:dyDescent="0.2">
      <c r="A92">
        <v>29</v>
      </c>
      <c r="B92">
        <v>8.0500000000000007</v>
      </c>
    </row>
    <row r="93" spans="1:2" x14ac:dyDescent="0.2">
      <c r="A93">
        <v>20</v>
      </c>
      <c r="B93">
        <v>7.8541999999999996</v>
      </c>
    </row>
    <row r="94" spans="1:2" x14ac:dyDescent="0.2">
      <c r="A94">
        <v>46</v>
      </c>
      <c r="B94">
        <v>61.174999999999997</v>
      </c>
    </row>
    <row r="95" spans="1:2" x14ac:dyDescent="0.2">
      <c r="A95">
        <v>26</v>
      </c>
      <c r="B95">
        <v>20.574999999999999</v>
      </c>
    </row>
    <row r="96" spans="1:2" x14ac:dyDescent="0.2">
      <c r="A96">
        <v>59</v>
      </c>
      <c r="B96">
        <v>7.25</v>
      </c>
    </row>
    <row r="97" spans="1:2" x14ac:dyDescent="0.2">
      <c r="B97">
        <v>8.0500000000000007</v>
      </c>
    </row>
    <row r="98" spans="1:2" x14ac:dyDescent="0.2">
      <c r="A98">
        <v>71</v>
      </c>
      <c r="B98">
        <v>34.654200000000003</v>
      </c>
    </row>
    <row r="99" spans="1:2" x14ac:dyDescent="0.2">
      <c r="A99">
        <v>23</v>
      </c>
      <c r="B99">
        <v>63.3583</v>
      </c>
    </row>
    <row r="100" spans="1:2" x14ac:dyDescent="0.2">
      <c r="A100">
        <v>34</v>
      </c>
      <c r="B100">
        <v>23</v>
      </c>
    </row>
    <row r="101" spans="1:2" x14ac:dyDescent="0.2">
      <c r="A101">
        <v>34</v>
      </c>
      <c r="B101">
        <v>26</v>
      </c>
    </row>
    <row r="102" spans="1:2" x14ac:dyDescent="0.2">
      <c r="A102">
        <v>28</v>
      </c>
      <c r="B102">
        <v>7.8958000000000004</v>
      </c>
    </row>
    <row r="103" spans="1:2" x14ac:dyDescent="0.2">
      <c r="B103">
        <v>7.8958000000000004</v>
      </c>
    </row>
    <row r="104" spans="1:2" x14ac:dyDescent="0.2">
      <c r="A104">
        <v>21</v>
      </c>
      <c r="B104">
        <v>77.287499999999994</v>
      </c>
    </row>
    <row r="105" spans="1:2" x14ac:dyDescent="0.2">
      <c r="A105">
        <v>33</v>
      </c>
      <c r="B105">
        <v>8.6541999999999994</v>
      </c>
    </row>
    <row r="106" spans="1:2" x14ac:dyDescent="0.2">
      <c r="A106">
        <v>37</v>
      </c>
      <c r="B106">
        <v>7.9249999999999998</v>
      </c>
    </row>
    <row r="107" spans="1:2" x14ac:dyDescent="0.2">
      <c r="A107">
        <v>28</v>
      </c>
      <c r="B107">
        <v>7.8958000000000004</v>
      </c>
    </row>
    <row r="108" spans="1:2" x14ac:dyDescent="0.2">
      <c r="A108">
        <v>21</v>
      </c>
      <c r="B108">
        <v>7.65</v>
      </c>
    </row>
    <row r="109" spans="1:2" x14ac:dyDescent="0.2">
      <c r="B109">
        <v>7.7750000000000004</v>
      </c>
    </row>
    <row r="110" spans="1:2" x14ac:dyDescent="0.2">
      <c r="A110">
        <v>38</v>
      </c>
      <c r="B110">
        <v>7.8958000000000004</v>
      </c>
    </row>
    <row r="111" spans="1:2" x14ac:dyDescent="0.2">
      <c r="B111">
        <v>24.15</v>
      </c>
    </row>
    <row r="112" spans="1:2" x14ac:dyDescent="0.2">
      <c r="A112">
        <v>47</v>
      </c>
      <c r="B112">
        <v>52</v>
      </c>
    </row>
    <row r="113" spans="1:2" x14ac:dyDescent="0.2">
      <c r="A113">
        <v>14.5</v>
      </c>
      <c r="B113">
        <v>14.4542</v>
      </c>
    </row>
    <row r="114" spans="1:2" x14ac:dyDescent="0.2">
      <c r="A114">
        <v>22</v>
      </c>
      <c r="B114">
        <v>8.0500000000000007</v>
      </c>
    </row>
    <row r="115" spans="1:2" x14ac:dyDescent="0.2">
      <c r="A115">
        <v>20</v>
      </c>
      <c r="B115">
        <v>9.8249999999999993</v>
      </c>
    </row>
    <row r="116" spans="1:2" x14ac:dyDescent="0.2">
      <c r="A116">
        <v>17</v>
      </c>
      <c r="B116">
        <v>14.458299999999999</v>
      </c>
    </row>
    <row r="117" spans="1:2" x14ac:dyDescent="0.2">
      <c r="A117">
        <v>21</v>
      </c>
      <c r="B117">
        <v>7.9249999999999998</v>
      </c>
    </row>
    <row r="118" spans="1:2" x14ac:dyDescent="0.2">
      <c r="A118">
        <v>70.5</v>
      </c>
      <c r="B118">
        <v>7.75</v>
      </c>
    </row>
    <row r="119" spans="1:2" x14ac:dyDescent="0.2">
      <c r="A119">
        <v>29</v>
      </c>
      <c r="B119">
        <v>21</v>
      </c>
    </row>
    <row r="120" spans="1:2" x14ac:dyDescent="0.2">
      <c r="A120">
        <v>24</v>
      </c>
      <c r="B120">
        <v>247.52080000000001</v>
      </c>
    </row>
    <row r="121" spans="1:2" x14ac:dyDescent="0.2">
      <c r="A121">
        <v>2</v>
      </c>
      <c r="B121">
        <v>31.274999999999999</v>
      </c>
    </row>
    <row r="122" spans="1:2" x14ac:dyDescent="0.2">
      <c r="A122">
        <v>21</v>
      </c>
      <c r="B122">
        <v>73.5</v>
      </c>
    </row>
    <row r="123" spans="1:2" x14ac:dyDescent="0.2">
      <c r="B123">
        <v>8.0500000000000007</v>
      </c>
    </row>
    <row r="124" spans="1:2" x14ac:dyDescent="0.2">
      <c r="A124">
        <v>32.5</v>
      </c>
      <c r="B124">
        <v>30.070799999999998</v>
      </c>
    </row>
    <row r="125" spans="1:2" x14ac:dyDescent="0.2">
      <c r="A125">
        <v>32.5</v>
      </c>
      <c r="B125">
        <v>13</v>
      </c>
    </row>
    <row r="126" spans="1:2" x14ac:dyDescent="0.2">
      <c r="A126">
        <v>54</v>
      </c>
      <c r="B126">
        <v>77.287499999999994</v>
      </c>
    </row>
    <row r="127" spans="1:2" x14ac:dyDescent="0.2">
      <c r="A127">
        <v>12</v>
      </c>
      <c r="B127">
        <v>11.2417</v>
      </c>
    </row>
    <row r="128" spans="1:2" x14ac:dyDescent="0.2">
      <c r="B128">
        <v>7.75</v>
      </c>
    </row>
    <row r="129" spans="1:2" x14ac:dyDescent="0.2">
      <c r="A129">
        <v>24</v>
      </c>
      <c r="B129">
        <v>7.1417000000000002</v>
      </c>
    </row>
    <row r="130" spans="1:2" x14ac:dyDescent="0.2">
      <c r="B130">
        <v>22.3583</v>
      </c>
    </row>
    <row r="131" spans="1:2" x14ac:dyDescent="0.2">
      <c r="A131">
        <v>45</v>
      </c>
      <c r="B131">
        <v>6.9749999999999996</v>
      </c>
    </row>
    <row r="132" spans="1:2" x14ac:dyDescent="0.2">
      <c r="A132">
        <v>33</v>
      </c>
      <c r="B132">
        <v>7.8958000000000004</v>
      </c>
    </row>
    <row r="133" spans="1:2" x14ac:dyDescent="0.2">
      <c r="A133">
        <v>20</v>
      </c>
      <c r="B133">
        <v>7.05</v>
      </c>
    </row>
    <row r="134" spans="1:2" x14ac:dyDescent="0.2">
      <c r="A134">
        <v>47</v>
      </c>
      <c r="B134">
        <v>14.5</v>
      </c>
    </row>
    <row r="135" spans="1:2" x14ac:dyDescent="0.2">
      <c r="A135">
        <v>29</v>
      </c>
      <c r="B135">
        <v>26</v>
      </c>
    </row>
    <row r="136" spans="1:2" x14ac:dyDescent="0.2">
      <c r="A136">
        <v>25</v>
      </c>
      <c r="B136">
        <v>13</v>
      </c>
    </row>
    <row r="137" spans="1:2" x14ac:dyDescent="0.2">
      <c r="A137">
        <v>23</v>
      </c>
      <c r="B137">
        <v>15.0458</v>
      </c>
    </row>
    <row r="138" spans="1:2" x14ac:dyDescent="0.2">
      <c r="A138">
        <v>19</v>
      </c>
      <c r="B138">
        <v>26.283300000000001</v>
      </c>
    </row>
    <row r="139" spans="1:2" x14ac:dyDescent="0.2">
      <c r="A139">
        <v>37</v>
      </c>
      <c r="B139">
        <v>53.1</v>
      </c>
    </row>
    <row r="140" spans="1:2" x14ac:dyDescent="0.2">
      <c r="A140">
        <v>16</v>
      </c>
      <c r="B140">
        <v>9.2166999999999994</v>
      </c>
    </row>
    <row r="141" spans="1:2" x14ac:dyDescent="0.2">
      <c r="A141">
        <v>24</v>
      </c>
      <c r="B141">
        <v>79.2</v>
      </c>
    </row>
    <row r="142" spans="1:2" x14ac:dyDescent="0.2">
      <c r="B142">
        <v>15.245799999999999</v>
      </c>
    </row>
    <row r="143" spans="1:2" x14ac:dyDescent="0.2">
      <c r="A143">
        <v>22</v>
      </c>
      <c r="B143">
        <v>7.75</v>
      </c>
    </row>
    <row r="144" spans="1:2" x14ac:dyDescent="0.2">
      <c r="A144">
        <v>24</v>
      </c>
      <c r="B144">
        <v>15.85</v>
      </c>
    </row>
    <row r="145" spans="1:2" x14ac:dyDescent="0.2">
      <c r="A145">
        <v>19</v>
      </c>
      <c r="B145">
        <v>6.75</v>
      </c>
    </row>
    <row r="146" spans="1:2" x14ac:dyDescent="0.2">
      <c r="A146">
        <v>18</v>
      </c>
      <c r="B146">
        <v>11.5</v>
      </c>
    </row>
    <row r="147" spans="1:2" x14ac:dyDescent="0.2">
      <c r="A147">
        <v>19</v>
      </c>
      <c r="B147">
        <v>36.75</v>
      </c>
    </row>
    <row r="148" spans="1:2" x14ac:dyDescent="0.2">
      <c r="A148">
        <v>27</v>
      </c>
      <c r="B148">
        <v>7.7957999999999998</v>
      </c>
    </row>
    <row r="149" spans="1:2" x14ac:dyDescent="0.2">
      <c r="A149">
        <v>9</v>
      </c>
      <c r="B149">
        <v>34.375</v>
      </c>
    </row>
    <row r="150" spans="1:2" x14ac:dyDescent="0.2">
      <c r="A150">
        <v>36.5</v>
      </c>
      <c r="B150">
        <v>26</v>
      </c>
    </row>
    <row r="151" spans="1:2" x14ac:dyDescent="0.2">
      <c r="A151">
        <v>42</v>
      </c>
      <c r="B151">
        <v>13</v>
      </c>
    </row>
    <row r="152" spans="1:2" x14ac:dyDescent="0.2">
      <c r="A152">
        <v>51</v>
      </c>
      <c r="B152">
        <v>12.525</v>
      </c>
    </row>
    <row r="153" spans="1:2" x14ac:dyDescent="0.2">
      <c r="A153">
        <v>22</v>
      </c>
      <c r="B153">
        <v>66.599999999999994</v>
      </c>
    </row>
    <row r="154" spans="1:2" x14ac:dyDescent="0.2">
      <c r="A154">
        <v>55.5</v>
      </c>
      <c r="B154">
        <v>8.0500000000000007</v>
      </c>
    </row>
    <row r="155" spans="1:2" x14ac:dyDescent="0.2">
      <c r="A155">
        <v>40.5</v>
      </c>
      <c r="B155">
        <v>14.5</v>
      </c>
    </row>
    <row r="156" spans="1:2" x14ac:dyDescent="0.2">
      <c r="B156">
        <v>7.3125</v>
      </c>
    </row>
    <row r="157" spans="1:2" x14ac:dyDescent="0.2">
      <c r="A157">
        <v>51</v>
      </c>
      <c r="B157">
        <v>61.379199999999997</v>
      </c>
    </row>
    <row r="158" spans="1:2" x14ac:dyDescent="0.2">
      <c r="A158">
        <v>16</v>
      </c>
      <c r="B158">
        <v>7.7332999999999998</v>
      </c>
    </row>
    <row r="159" spans="1:2" x14ac:dyDescent="0.2">
      <c r="A159">
        <v>30</v>
      </c>
      <c r="B159">
        <v>8.0500000000000007</v>
      </c>
    </row>
    <row r="160" spans="1:2" x14ac:dyDescent="0.2">
      <c r="B160">
        <v>8.6624999999999996</v>
      </c>
    </row>
    <row r="161" spans="1:2" x14ac:dyDescent="0.2">
      <c r="B161">
        <v>69.55</v>
      </c>
    </row>
    <row r="162" spans="1:2" x14ac:dyDescent="0.2">
      <c r="A162">
        <v>44</v>
      </c>
      <c r="B162">
        <v>16.100000000000001</v>
      </c>
    </row>
    <row r="163" spans="1:2" x14ac:dyDescent="0.2">
      <c r="A163">
        <v>40</v>
      </c>
      <c r="B163">
        <v>15.75</v>
      </c>
    </row>
    <row r="164" spans="1:2" x14ac:dyDescent="0.2">
      <c r="A164">
        <v>26</v>
      </c>
      <c r="B164">
        <v>7.7750000000000004</v>
      </c>
    </row>
    <row r="165" spans="1:2" x14ac:dyDescent="0.2">
      <c r="A165">
        <v>17</v>
      </c>
      <c r="B165">
        <v>8.6624999999999996</v>
      </c>
    </row>
    <row r="166" spans="1:2" x14ac:dyDescent="0.2">
      <c r="A166">
        <v>1</v>
      </c>
      <c r="B166">
        <v>39.6875</v>
      </c>
    </row>
    <row r="167" spans="1:2" x14ac:dyDescent="0.2">
      <c r="A167">
        <v>9</v>
      </c>
      <c r="B167">
        <v>20.524999999999999</v>
      </c>
    </row>
    <row r="168" spans="1:2" x14ac:dyDescent="0.2">
      <c r="B168">
        <v>55</v>
      </c>
    </row>
    <row r="169" spans="1:2" x14ac:dyDescent="0.2">
      <c r="A169">
        <v>45</v>
      </c>
      <c r="B169">
        <v>27.9</v>
      </c>
    </row>
    <row r="170" spans="1:2" x14ac:dyDescent="0.2">
      <c r="B170">
        <v>25.925000000000001</v>
      </c>
    </row>
    <row r="171" spans="1:2" x14ac:dyDescent="0.2">
      <c r="A171">
        <v>28</v>
      </c>
      <c r="B171">
        <v>56.495800000000003</v>
      </c>
    </row>
    <row r="172" spans="1:2" x14ac:dyDescent="0.2">
      <c r="A172">
        <v>61</v>
      </c>
      <c r="B172">
        <v>33.5</v>
      </c>
    </row>
    <row r="173" spans="1:2" x14ac:dyDescent="0.2">
      <c r="A173">
        <v>4</v>
      </c>
      <c r="B173">
        <v>29.125</v>
      </c>
    </row>
    <row r="174" spans="1:2" x14ac:dyDescent="0.2">
      <c r="A174">
        <v>1</v>
      </c>
      <c r="B174">
        <v>11.1333</v>
      </c>
    </row>
    <row r="175" spans="1:2" x14ac:dyDescent="0.2">
      <c r="A175">
        <v>21</v>
      </c>
      <c r="B175">
        <v>7.9249999999999998</v>
      </c>
    </row>
    <row r="176" spans="1:2" x14ac:dyDescent="0.2">
      <c r="A176">
        <v>56</v>
      </c>
      <c r="B176">
        <v>30.695799999999998</v>
      </c>
    </row>
    <row r="177" spans="1:2" x14ac:dyDescent="0.2">
      <c r="A177">
        <v>18</v>
      </c>
      <c r="B177">
        <v>7.8541999999999996</v>
      </c>
    </row>
    <row r="178" spans="1:2" x14ac:dyDescent="0.2">
      <c r="B178">
        <v>25.466699999999999</v>
      </c>
    </row>
    <row r="179" spans="1:2" x14ac:dyDescent="0.2">
      <c r="A179">
        <v>50</v>
      </c>
      <c r="B179">
        <v>28.712499999999999</v>
      </c>
    </row>
    <row r="180" spans="1:2" x14ac:dyDescent="0.2">
      <c r="A180">
        <v>30</v>
      </c>
      <c r="B180">
        <v>13</v>
      </c>
    </row>
    <row r="181" spans="1:2" x14ac:dyDescent="0.2">
      <c r="A181">
        <v>36</v>
      </c>
      <c r="B181">
        <v>0</v>
      </c>
    </row>
    <row r="182" spans="1:2" x14ac:dyDescent="0.2">
      <c r="B182">
        <v>69.55</v>
      </c>
    </row>
    <row r="183" spans="1:2" x14ac:dyDescent="0.2">
      <c r="B183">
        <v>15.05</v>
      </c>
    </row>
    <row r="184" spans="1:2" x14ac:dyDescent="0.2">
      <c r="A184">
        <v>9</v>
      </c>
      <c r="B184">
        <v>31.387499999999999</v>
      </c>
    </row>
    <row r="185" spans="1:2" x14ac:dyDescent="0.2">
      <c r="A185">
        <v>1</v>
      </c>
      <c r="B185">
        <v>39</v>
      </c>
    </row>
    <row r="186" spans="1:2" x14ac:dyDescent="0.2">
      <c r="A186">
        <v>4</v>
      </c>
      <c r="B186">
        <v>22.024999999999999</v>
      </c>
    </row>
    <row r="187" spans="1:2" x14ac:dyDescent="0.2">
      <c r="B187">
        <v>50</v>
      </c>
    </row>
    <row r="188" spans="1:2" x14ac:dyDescent="0.2">
      <c r="B188">
        <v>15.5</v>
      </c>
    </row>
    <row r="189" spans="1:2" x14ac:dyDescent="0.2">
      <c r="A189">
        <v>45</v>
      </c>
      <c r="B189">
        <v>26.55</v>
      </c>
    </row>
    <row r="190" spans="1:2" x14ac:dyDescent="0.2">
      <c r="A190">
        <v>40</v>
      </c>
      <c r="B190">
        <v>15.5</v>
      </c>
    </row>
    <row r="191" spans="1:2" x14ac:dyDescent="0.2">
      <c r="A191">
        <v>36</v>
      </c>
      <c r="B191">
        <v>7.8958000000000004</v>
      </c>
    </row>
    <row r="192" spans="1:2" x14ac:dyDescent="0.2">
      <c r="A192">
        <v>32</v>
      </c>
      <c r="B192">
        <v>13</v>
      </c>
    </row>
    <row r="193" spans="1:2" x14ac:dyDescent="0.2">
      <c r="A193">
        <v>19</v>
      </c>
      <c r="B193">
        <v>13</v>
      </c>
    </row>
    <row r="194" spans="1:2" x14ac:dyDescent="0.2">
      <c r="A194">
        <v>19</v>
      </c>
      <c r="B194">
        <v>7.8541999999999996</v>
      </c>
    </row>
    <row r="195" spans="1:2" x14ac:dyDescent="0.2">
      <c r="A195">
        <v>3</v>
      </c>
      <c r="B195">
        <v>26</v>
      </c>
    </row>
    <row r="196" spans="1:2" x14ac:dyDescent="0.2">
      <c r="A196">
        <v>44</v>
      </c>
      <c r="B196">
        <v>27.720800000000001</v>
      </c>
    </row>
    <row r="197" spans="1:2" x14ac:dyDescent="0.2">
      <c r="A197">
        <v>58</v>
      </c>
      <c r="B197">
        <v>146.52080000000001</v>
      </c>
    </row>
    <row r="198" spans="1:2" x14ac:dyDescent="0.2">
      <c r="B198">
        <v>7.75</v>
      </c>
    </row>
    <row r="199" spans="1:2" x14ac:dyDescent="0.2">
      <c r="A199">
        <v>42</v>
      </c>
      <c r="B199">
        <v>8.4041999999999994</v>
      </c>
    </row>
    <row r="200" spans="1:2" x14ac:dyDescent="0.2">
      <c r="B200">
        <v>7.75</v>
      </c>
    </row>
    <row r="201" spans="1:2" x14ac:dyDescent="0.2">
      <c r="A201">
        <v>24</v>
      </c>
      <c r="B201">
        <v>13</v>
      </c>
    </row>
    <row r="202" spans="1:2" x14ac:dyDescent="0.2">
      <c r="A202">
        <v>28</v>
      </c>
      <c r="B202">
        <v>9.5</v>
      </c>
    </row>
    <row r="203" spans="1:2" x14ac:dyDescent="0.2">
      <c r="B203">
        <v>69.55</v>
      </c>
    </row>
    <row r="204" spans="1:2" x14ac:dyDescent="0.2">
      <c r="A204">
        <v>34</v>
      </c>
      <c r="B204">
        <v>6.4958</v>
      </c>
    </row>
    <row r="205" spans="1:2" x14ac:dyDescent="0.2">
      <c r="A205">
        <v>45.5</v>
      </c>
      <c r="B205">
        <v>7.2249999999999996</v>
      </c>
    </row>
    <row r="206" spans="1:2" x14ac:dyDescent="0.2">
      <c r="A206">
        <v>18</v>
      </c>
      <c r="B206">
        <v>8.0500000000000007</v>
      </c>
    </row>
    <row r="207" spans="1:2" x14ac:dyDescent="0.2">
      <c r="A207">
        <v>2</v>
      </c>
      <c r="B207">
        <v>10.4625</v>
      </c>
    </row>
    <row r="208" spans="1:2" x14ac:dyDescent="0.2">
      <c r="A208">
        <v>32</v>
      </c>
      <c r="B208">
        <v>15.85</v>
      </c>
    </row>
    <row r="209" spans="1:2" x14ac:dyDescent="0.2">
      <c r="A209">
        <v>26</v>
      </c>
      <c r="B209">
        <v>18.787500000000001</v>
      </c>
    </row>
    <row r="210" spans="1:2" x14ac:dyDescent="0.2">
      <c r="A210">
        <v>16</v>
      </c>
      <c r="B210">
        <v>7.75</v>
      </c>
    </row>
    <row r="211" spans="1:2" x14ac:dyDescent="0.2">
      <c r="A211">
        <v>40</v>
      </c>
      <c r="B211">
        <v>31</v>
      </c>
    </row>
    <row r="212" spans="1:2" x14ac:dyDescent="0.2">
      <c r="A212">
        <v>24</v>
      </c>
      <c r="B212">
        <v>7.05</v>
      </c>
    </row>
    <row r="213" spans="1:2" x14ac:dyDescent="0.2">
      <c r="A213">
        <v>35</v>
      </c>
      <c r="B213">
        <v>21</v>
      </c>
    </row>
    <row r="214" spans="1:2" x14ac:dyDescent="0.2">
      <c r="A214">
        <v>22</v>
      </c>
      <c r="B214">
        <v>7.25</v>
      </c>
    </row>
    <row r="215" spans="1:2" x14ac:dyDescent="0.2">
      <c r="A215">
        <v>30</v>
      </c>
      <c r="B215">
        <v>13</v>
      </c>
    </row>
    <row r="216" spans="1:2" x14ac:dyDescent="0.2">
      <c r="B216">
        <v>7.75</v>
      </c>
    </row>
    <row r="217" spans="1:2" x14ac:dyDescent="0.2">
      <c r="A217">
        <v>31</v>
      </c>
      <c r="B217">
        <v>113.27500000000001</v>
      </c>
    </row>
    <row r="218" spans="1:2" x14ac:dyDescent="0.2">
      <c r="A218">
        <v>27</v>
      </c>
      <c r="B218">
        <v>7.9249999999999998</v>
      </c>
    </row>
    <row r="219" spans="1:2" x14ac:dyDescent="0.2">
      <c r="A219">
        <v>42</v>
      </c>
      <c r="B219">
        <v>27</v>
      </c>
    </row>
    <row r="220" spans="1:2" x14ac:dyDescent="0.2">
      <c r="A220">
        <v>32</v>
      </c>
      <c r="B220">
        <v>76.291700000000006</v>
      </c>
    </row>
    <row r="221" spans="1:2" x14ac:dyDescent="0.2">
      <c r="A221">
        <v>30</v>
      </c>
      <c r="B221">
        <v>10.5</v>
      </c>
    </row>
    <row r="222" spans="1:2" x14ac:dyDescent="0.2">
      <c r="A222">
        <v>16</v>
      </c>
      <c r="B222">
        <v>8.0500000000000007</v>
      </c>
    </row>
    <row r="223" spans="1:2" x14ac:dyDescent="0.2">
      <c r="A223">
        <v>27</v>
      </c>
      <c r="B223">
        <v>13</v>
      </c>
    </row>
    <row r="224" spans="1:2" x14ac:dyDescent="0.2">
      <c r="A224">
        <v>51</v>
      </c>
      <c r="B224">
        <v>8.0500000000000007</v>
      </c>
    </row>
    <row r="225" spans="1:2" x14ac:dyDescent="0.2">
      <c r="B225">
        <v>7.8958000000000004</v>
      </c>
    </row>
    <row r="226" spans="1:2" x14ac:dyDescent="0.2">
      <c r="A226">
        <v>38</v>
      </c>
      <c r="B226">
        <v>90</v>
      </c>
    </row>
    <row r="227" spans="1:2" x14ac:dyDescent="0.2">
      <c r="A227">
        <v>22</v>
      </c>
      <c r="B227">
        <v>9.35</v>
      </c>
    </row>
    <row r="228" spans="1:2" x14ac:dyDescent="0.2">
      <c r="A228">
        <v>19</v>
      </c>
      <c r="B228">
        <v>10.5</v>
      </c>
    </row>
    <row r="229" spans="1:2" x14ac:dyDescent="0.2">
      <c r="A229">
        <v>20.5</v>
      </c>
      <c r="B229">
        <v>7.25</v>
      </c>
    </row>
    <row r="230" spans="1:2" x14ac:dyDescent="0.2">
      <c r="A230">
        <v>18</v>
      </c>
      <c r="B230">
        <v>13</v>
      </c>
    </row>
    <row r="231" spans="1:2" x14ac:dyDescent="0.2">
      <c r="B231">
        <v>25.466699999999999</v>
      </c>
    </row>
    <row r="232" spans="1:2" x14ac:dyDescent="0.2">
      <c r="A232">
        <v>35</v>
      </c>
      <c r="B232">
        <v>83.474999999999994</v>
      </c>
    </row>
    <row r="233" spans="1:2" x14ac:dyDescent="0.2">
      <c r="A233">
        <v>29</v>
      </c>
      <c r="B233">
        <v>7.7750000000000004</v>
      </c>
    </row>
    <row r="234" spans="1:2" x14ac:dyDescent="0.2">
      <c r="A234">
        <v>59</v>
      </c>
      <c r="B234">
        <v>13.5</v>
      </c>
    </row>
    <row r="235" spans="1:2" x14ac:dyDescent="0.2">
      <c r="A235">
        <v>5</v>
      </c>
      <c r="B235">
        <v>31.387499999999999</v>
      </c>
    </row>
    <row r="236" spans="1:2" x14ac:dyDescent="0.2">
      <c r="A236">
        <v>24</v>
      </c>
      <c r="B236">
        <v>10.5</v>
      </c>
    </row>
    <row r="237" spans="1:2" x14ac:dyDescent="0.2">
      <c r="B237">
        <v>7.55</v>
      </c>
    </row>
    <row r="238" spans="1:2" x14ac:dyDescent="0.2">
      <c r="A238">
        <v>44</v>
      </c>
      <c r="B238">
        <v>26</v>
      </c>
    </row>
    <row r="239" spans="1:2" x14ac:dyDescent="0.2">
      <c r="A239">
        <v>8</v>
      </c>
      <c r="B239">
        <v>26.25</v>
      </c>
    </row>
    <row r="240" spans="1:2" x14ac:dyDescent="0.2">
      <c r="A240">
        <v>19</v>
      </c>
      <c r="B240">
        <v>10.5</v>
      </c>
    </row>
    <row r="241" spans="1:2" x14ac:dyDescent="0.2">
      <c r="A241">
        <v>33</v>
      </c>
      <c r="B241">
        <v>12.275</v>
      </c>
    </row>
    <row r="242" spans="1:2" x14ac:dyDescent="0.2">
      <c r="B242">
        <v>14.4542</v>
      </c>
    </row>
    <row r="243" spans="1:2" x14ac:dyDescent="0.2">
      <c r="B243">
        <v>15.5</v>
      </c>
    </row>
    <row r="244" spans="1:2" x14ac:dyDescent="0.2">
      <c r="A244">
        <v>29</v>
      </c>
      <c r="B244">
        <v>10.5</v>
      </c>
    </row>
    <row r="245" spans="1:2" x14ac:dyDescent="0.2">
      <c r="A245">
        <v>22</v>
      </c>
      <c r="B245">
        <v>7.125</v>
      </c>
    </row>
    <row r="246" spans="1:2" x14ac:dyDescent="0.2">
      <c r="A246">
        <v>30</v>
      </c>
      <c r="B246">
        <v>7.2249999999999996</v>
      </c>
    </row>
    <row r="247" spans="1:2" x14ac:dyDescent="0.2">
      <c r="A247">
        <v>44</v>
      </c>
      <c r="B247">
        <v>90</v>
      </c>
    </row>
    <row r="248" spans="1:2" x14ac:dyDescent="0.2">
      <c r="A248">
        <v>25</v>
      </c>
      <c r="B248">
        <v>7.7750000000000004</v>
      </c>
    </row>
    <row r="249" spans="1:2" x14ac:dyDescent="0.2">
      <c r="A249">
        <v>24</v>
      </c>
      <c r="B249">
        <v>14.5</v>
      </c>
    </row>
    <row r="250" spans="1:2" x14ac:dyDescent="0.2">
      <c r="A250">
        <v>37</v>
      </c>
      <c r="B250">
        <v>52.554200000000002</v>
      </c>
    </row>
    <row r="251" spans="1:2" x14ac:dyDescent="0.2">
      <c r="A251">
        <v>54</v>
      </c>
      <c r="B251">
        <v>26</v>
      </c>
    </row>
    <row r="252" spans="1:2" x14ac:dyDescent="0.2">
      <c r="B252">
        <v>7.25</v>
      </c>
    </row>
    <row r="253" spans="1:2" x14ac:dyDescent="0.2">
      <c r="A253">
        <v>29</v>
      </c>
      <c r="B253">
        <v>10.4625</v>
      </c>
    </row>
    <row r="254" spans="1:2" x14ac:dyDescent="0.2">
      <c r="A254">
        <v>62</v>
      </c>
      <c r="B254">
        <v>26.55</v>
      </c>
    </row>
    <row r="255" spans="1:2" x14ac:dyDescent="0.2">
      <c r="A255">
        <v>30</v>
      </c>
      <c r="B255">
        <v>16.100000000000001</v>
      </c>
    </row>
    <row r="256" spans="1:2" x14ac:dyDescent="0.2">
      <c r="A256">
        <v>41</v>
      </c>
      <c r="B256">
        <v>20.212499999999999</v>
      </c>
    </row>
    <row r="257" spans="1:2" x14ac:dyDescent="0.2">
      <c r="A257">
        <v>29</v>
      </c>
      <c r="B257">
        <v>15.245799999999999</v>
      </c>
    </row>
    <row r="258" spans="1:2" x14ac:dyDescent="0.2">
      <c r="B258">
        <v>79.2</v>
      </c>
    </row>
    <row r="259" spans="1:2" x14ac:dyDescent="0.2">
      <c r="A259">
        <v>30</v>
      </c>
      <c r="B259">
        <v>86.5</v>
      </c>
    </row>
    <row r="260" spans="1:2" x14ac:dyDescent="0.2">
      <c r="A260">
        <v>35</v>
      </c>
      <c r="B260">
        <v>512.32920000000001</v>
      </c>
    </row>
    <row r="261" spans="1:2" x14ac:dyDescent="0.2">
      <c r="A261">
        <v>50</v>
      </c>
      <c r="B261">
        <v>26</v>
      </c>
    </row>
    <row r="262" spans="1:2" x14ac:dyDescent="0.2">
      <c r="B262">
        <v>7.75</v>
      </c>
    </row>
    <row r="263" spans="1:2" x14ac:dyDescent="0.2">
      <c r="A263">
        <v>3</v>
      </c>
      <c r="B263">
        <v>31.387499999999999</v>
      </c>
    </row>
    <row r="264" spans="1:2" x14ac:dyDescent="0.2">
      <c r="A264">
        <v>52</v>
      </c>
      <c r="B264">
        <v>79.650000000000006</v>
      </c>
    </row>
    <row r="265" spans="1:2" x14ac:dyDescent="0.2">
      <c r="A265">
        <v>40</v>
      </c>
      <c r="B265">
        <v>0</v>
      </c>
    </row>
    <row r="266" spans="1:2" x14ac:dyDescent="0.2">
      <c r="B266">
        <v>7.75</v>
      </c>
    </row>
    <row r="267" spans="1:2" x14ac:dyDescent="0.2">
      <c r="A267">
        <v>36</v>
      </c>
      <c r="B267">
        <v>10.5</v>
      </c>
    </row>
    <row r="268" spans="1:2" x14ac:dyDescent="0.2">
      <c r="A268">
        <v>16</v>
      </c>
      <c r="B268">
        <v>39.6875</v>
      </c>
    </row>
    <row r="269" spans="1:2" x14ac:dyDescent="0.2">
      <c r="A269">
        <v>25</v>
      </c>
      <c r="B269">
        <v>7.7750000000000004</v>
      </c>
    </row>
    <row r="270" spans="1:2" x14ac:dyDescent="0.2">
      <c r="A270">
        <v>58</v>
      </c>
      <c r="B270">
        <v>153.46250000000001</v>
      </c>
    </row>
    <row r="271" spans="1:2" x14ac:dyDescent="0.2">
      <c r="A271">
        <v>35</v>
      </c>
      <c r="B271">
        <v>135.63329999999999</v>
      </c>
    </row>
    <row r="272" spans="1:2" x14ac:dyDescent="0.2">
      <c r="B272">
        <v>31</v>
      </c>
    </row>
    <row r="273" spans="1:2" x14ac:dyDescent="0.2">
      <c r="A273">
        <v>25</v>
      </c>
      <c r="B273">
        <v>0</v>
      </c>
    </row>
    <row r="274" spans="1:2" x14ac:dyDescent="0.2">
      <c r="A274">
        <v>41</v>
      </c>
      <c r="B274">
        <v>19.5</v>
      </c>
    </row>
    <row r="275" spans="1:2" x14ac:dyDescent="0.2">
      <c r="A275">
        <v>37</v>
      </c>
      <c r="B275">
        <v>29.7</v>
      </c>
    </row>
    <row r="276" spans="1:2" x14ac:dyDescent="0.2">
      <c r="B276">
        <v>7.75</v>
      </c>
    </row>
    <row r="277" spans="1:2" x14ac:dyDescent="0.2">
      <c r="A277">
        <v>63</v>
      </c>
      <c r="B277">
        <v>77.958299999999994</v>
      </c>
    </row>
    <row r="278" spans="1:2" x14ac:dyDescent="0.2">
      <c r="A278">
        <v>45</v>
      </c>
      <c r="B278">
        <v>7.75</v>
      </c>
    </row>
    <row r="279" spans="1:2" x14ac:dyDescent="0.2">
      <c r="B279">
        <v>0</v>
      </c>
    </row>
    <row r="280" spans="1:2" x14ac:dyDescent="0.2">
      <c r="A280">
        <v>7</v>
      </c>
      <c r="B280">
        <v>29.125</v>
      </c>
    </row>
    <row r="281" spans="1:2" x14ac:dyDescent="0.2">
      <c r="A281">
        <v>35</v>
      </c>
      <c r="B281">
        <v>20.25</v>
      </c>
    </row>
    <row r="282" spans="1:2" x14ac:dyDescent="0.2">
      <c r="A282">
        <v>65</v>
      </c>
      <c r="B282">
        <v>7.75</v>
      </c>
    </row>
    <row r="283" spans="1:2" x14ac:dyDescent="0.2">
      <c r="A283">
        <v>28</v>
      </c>
      <c r="B283">
        <v>7.8541999999999996</v>
      </c>
    </row>
    <row r="284" spans="1:2" x14ac:dyDescent="0.2">
      <c r="A284">
        <v>16</v>
      </c>
      <c r="B284">
        <v>9.5</v>
      </c>
    </row>
    <row r="285" spans="1:2" x14ac:dyDescent="0.2">
      <c r="A285">
        <v>19</v>
      </c>
      <c r="B285">
        <v>8.0500000000000007</v>
      </c>
    </row>
    <row r="286" spans="1:2" x14ac:dyDescent="0.2">
      <c r="B286">
        <v>26</v>
      </c>
    </row>
    <row r="287" spans="1:2" x14ac:dyDescent="0.2">
      <c r="A287">
        <v>33</v>
      </c>
      <c r="B287">
        <v>8.6624999999999996</v>
      </c>
    </row>
    <row r="288" spans="1:2" x14ac:dyDescent="0.2">
      <c r="A288">
        <v>30</v>
      </c>
      <c r="B288">
        <v>9.5</v>
      </c>
    </row>
    <row r="289" spans="1:2" x14ac:dyDescent="0.2">
      <c r="A289">
        <v>22</v>
      </c>
      <c r="B289">
        <v>7.8958000000000004</v>
      </c>
    </row>
    <row r="290" spans="1:2" x14ac:dyDescent="0.2">
      <c r="A290">
        <v>42</v>
      </c>
      <c r="B290">
        <v>13</v>
      </c>
    </row>
    <row r="291" spans="1:2" x14ac:dyDescent="0.2">
      <c r="A291">
        <v>22</v>
      </c>
      <c r="B291">
        <v>7.75</v>
      </c>
    </row>
    <row r="292" spans="1:2" x14ac:dyDescent="0.2">
      <c r="A292">
        <v>26</v>
      </c>
      <c r="B292">
        <v>78.849999999999994</v>
      </c>
    </row>
    <row r="293" spans="1:2" x14ac:dyDescent="0.2">
      <c r="A293">
        <v>19</v>
      </c>
      <c r="B293">
        <v>91.0792</v>
      </c>
    </row>
    <row r="294" spans="1:2" x14ac:dyDescent="0.2">
      <c r="A294">
        <v>36</v>
      </c>
      <c r="B294">
        <v>12.875</v>
      </c>
    </row>
    <row r="295" spans="1:2" x14ac:dyDescent="0.2">
      <c r="A295">
        <v>24</v>
      </c>
      <c r="B295">
        <v>8.85</v>
      </c>
    </row>
    <row r="296" spans="1:2" x14ac:dyDescent="0.2">
      <c r="A296">
        <v>24</v>
      </c>
      <c r="B296">
        <v>7.8958000000000004</v>
      </c>
    </row>
    <row r="297" spans="1:2" x14ac:dyDescent="0.2">
      <c r="B297">
        <v>27.720800000000001</v>
      </c>
    </row>
    <row r="298" spans="1:2" x14ac:dyDescent="0.2">
      <c r="A298">
        <v>23.5</v>
      </c>
      <c r="B298">
        <v>7.2291999999999996</v>
      </c>
    </row>
    <row r="299" spans="1:2" x14ac:dyDescent="0.2">
      <c r="A299">
        <v>2</v>
      </c>
      <c r="B299">
        <v>151.55000000000001</v>
      </c>
    </row>
    <row r="300" spans="1:2" x14ac:dyDescent="0.2">
      <c r="B300">
        <v>30.5</v>
      </c>
    </row>
    <row r="301" spans="1:2" x14ac:dyDescent="0.2">
      <c r="A301">
        <v>50</v>
      </c>
      <c r="B301">
        <v>247.52080000000001</v>
      </c>
    </row>
    <row r="302" spans="1:2" x14ac:dyDescent="0.2">
      <c r="B302">
        <v>7.75</v>
      </c>
    </row>
    <row r="303" spans="1:2" x14ac:dyDescent="0.2">
      <c r="B303">
        <v>23.25</v>
      </c>
    </row>
    <row r="304" spans="1:2" x14ac:dyDescent="0.2">
      <c r="A304">
        <v>19</v>
      </c>
      <c r="B304">
        <v>0</v>
      </c>
    </row>
    <row r="305" spans="1:2" x14ac:dyDescent="0.2">
      <c r="B305">
        <v>12.35</v>
      </c>
    </row>
    <row r="306" spans="1:2" x14ac:dyDescent="0.2">
      <c r="B306">
        <v>8.0500000000000007</v>
      </c>
    </row>
    <row r="307" spans="1:2" x14ac:dyDescent="0.2">
      <c r="A307">
        <v>0.92</v>
      </c>
      <c r="B307">
        <v>151.55000000000001</v>
      </c>
    </row>
    <row r="308" spans="1:2" x14ac:dyDescent="0.2">
      <c r="B308">
        <v>110.88330000000001</v>
      </c>
    </row>
    <row r="309" spans="1:2" x14ac:dyDescent="0.2">
      <c r="A309">
        <v>17</v>
      </c>
      <c r="B309">
        <v>108.9</v>
      </c>
    </row>
    <row r="310" spans="1:2" x14ac:dyDescent="0.2">
      <c r="A310">
        <v>30</v>
      </c>
      <c r="B310">
        <v>24</v>
      </c>
    </row>
    <row r="311" spans="1:2" x14ac:dyDescent="0.2">
      <c r="A311">
        <v>30</v>
      </c>
      <c r="B311">
        <v>56.929200000000002</v>
      </c>
    </row>
    <row r="312" spans="1:2" x14ac:dyDescent="0.2">
      <c r="A312">
        <v>24</v>
      </c>
      <c r="B312">
        <v>83.158299999999997</v>
      </c>
    </row>
    <row r="313" spans="1:2" x14ac:dyDescent="0.2">
      <c r="A313">
        <v>18</v>
      </c>
      <c r="B313">
        <v>262.375</v>
      </c>
    </row>
    <row r="314" spans="1:2" x14ac:dyDescent="0.2">
      <c r="A314">
        <v>26</v>
      </c>
      <c r="B314">
        <v>26</v>
      </c>
    </row>
    <row r="315" spans="1:2" x14ac:dyDescent="0.2">
      <c r="A315">
        <v>28</v>
      </c>
      <c r="B315">
        <v>7.8958000000000004</v>
      </c>
    </row>
    <row r="316" spans="1:2" x14ac:dyDescent="0.2">
      <c r="A316">
        <v>43</v>
      </c>
      <c r="B316">
        <v>26.25</v>
      </c>
    </row>
    <row r="317" spans="1:2" x14ac:dyDescent="0.2">
      <c r="A317">
        <v>26</v>
      </c>
      <c r="B317">
        <v>7.8541999999999996</v>
      </c>
    </row>
    <row r="318" spans="1:2" x14ac:dyDescent="0.2">
      <c r="A318">
        <v>24</v>
      </c>
      <c r="B318">
        <v>26</v>
      </c>
    </row>
    <row r="319" spans="1:2" x14ac:dyDescent="0.2">
      <c r="A319">
        <v>54</v>
      </c>
      <c r="B319">
        <v>14</v>
      </c>
    </row>
    <row r="320" spans="1:2" x14ac:dyDescent="0.2">
      <c r="A320">
        <v>31</v>
      </c>
      <c r="B320">
        <v>164.86670000000001</v>
      </c>
    </row>
    <row r="321" spans="1:2" x14ac:dyDescent="0.2">
      <c r="A321">
        <v>40</v>
      </c>
      <c r="B321">
        <v>134.5</v>
      </c>
    </row>
    <row r="322" spans="1:2" x14ac:dyDescent="0.2">
      <c r="A322">
        <v>22</v>
      </c>
      <c r="B322">
        <v>7.25</v>
      </c>
    </row>
    <row r="323" spans="1:2" x14ac:dyDescent="0.2">
      <c r="A323">
        <v>27</v>
      </c>
      <c r="B323">
        <v>7.8958000000000004</v>
      </c>
    </row>
    <row r="324" spans="1:2" x14ac:dyDescent="0.2">
      <c r="A324">
        <v>30</v>
      </c>
      <c r="B324">
        <v>12.35</v>
      </c>
    </row>
    <row r="325" spans="1:2" x14ac:dyDescent="0.2">
      <c r="A325">
        <v>22</v>
      </c>
      <c r="B325">
        <v>29</v>
      </c>
    </row>
    <row r="326" spans="1:2" x14ac:dyDescent="0.2">
      <c r="B326">
        <v>69.55</v>
      </c>
    </row>
    <row r="327" spans="1:2" x14ac:dyDescent="0.2">
      <c r="A327">
        <v>36</v>
      </c>
      <c r="B327">
        <v>135.63329999999999</v>
      </c>
    </row>
    <row r="328" spans="1:2" x14ac:dyDescent="0.2">
      <c r="A328">
        <v>61</v>
      </c>
      <c r="B328">
        <v>6.2374999999999998</v>
      </c>
    </row>
    <row r="329" spans="1:2" x14ac:dyDescent="0.2">
      <c r="A329">
        <v>36</v>
      </c>
      <c r="B329">
        <v>13</v>
      </c>
    </row>
    <row r="330" spans="1:2" x14ac:dyDescent="0.2">
      <c r="A330">
        <v>31</v>
      </c>
      <c r="B330">
        <v>20.524999999999999</v>
      </c>
    </row>
    <row r="331" spans="1:2" x14ac:dyDescent="0.2">
      <c r="A331">
        <v>16</v>
      </c>
      <c r="B331">
        <v>57.979199999999999</v>
      </c>
    </row>
    <row r="332" spans="1:2" x14ac:dyDescent="0.2">
      <c r="B332">
        <v>23.25</v>
      </c>
    </row>
    <row r="333" spans="1:2" x14ac:dyDescent="0.2">
      <c r="A333">
        <v>45.5</v>
      </c>
      <c r="B333">
        <v>28.5</v>
      </c>
    </row>
    <row r="334" spans="1:2" x14ac:dyDescent="0.2">
      <c r="A334">
        <v>38</v>
      </c>
      <c r="B334">
        <v>153.46250000000001</v>
      </c>
    </row>
    <row r="335" spans="1:2" x14ac:dyDescent="0.2">
      <c r="A335">
        <v>16</v>
      </c>
      <c r="B335">
        <v>18</v>
      </c>
    </row>
    <row r="336" spans="1:2" x14ac:dyDescent="0.2">
      <c r="B336">
        <v>133.65</v>
      </c>
    </row>
    <row r="337" spans="1:2" x14ac:dyDescent="0.2">
      <c r="B337">
        <v>7.8958000000000004</v>
      </c>
    </row>
    <row r="338" spans="1:2" x14ac:dyDescent="0.2">
      <c r="A338">
        <v>29</v>
      </c>
      <c r="B338">
        <v>66.599999999999994</v>
      </c>
    </row>
    <row r="339" spans="1:2" x14ac:dyDescent="0.2">
      <c r="A339">
        <v>41</v>
      </c>
      <c r="B339">
        <v>134.5</v>
      </c>
    </row>
    <row r="340" spans="1:2" x14ac:dyDescent="0.2">
      <c r="A340">
        <v>45</v>
      </c>
      <c r="B340">
        <v>8.0500000000000007</v>
      </c>
    </row>
    <row r="341" spans="1:2" x14ac:dyDescent="0.2">
      <c r="A341">
        <v>45</v>
      </c>
      <c r="B341">
        <v>35.5</v>
      </c>
    </row>
    <row r="342" spans="1:2" x14ac:dyDescent="0.2">
      <c r="A342">
        <v>2</v>
      </c>
      <c r="B342">
        <v>26</v>
      </c>
    </row>
    <row r="343" spans="1:2" x14ac:dyDescent="0.2">
      <c r="A343">
        <v>24</v>
      </c>
      <c r="B343">
        <v>263</v>
      </c>
    </row>
    <row r="344" spans="1:2" x14ac:dyDescent="0.2">
      <c r="A344">
        <v>28</v>
      </c>
      <c r="B344">
        <v>13</v>
      </c>
    </row>
    <row r="345" spans="1:2" x14ac:dyDescent="0.2">
      <c r="A345">
        <v>25</v>
      </c>
      <c r="B345">
        <v>13</v>
      </c>
    </row>
    <row r="346" spans="1:2" x14ac:dyDescent="0.2">
      <c r="A346">
        <v>36</v>
      </c>
      <c r="B346">
        <v>13</v>
      </c>
    </row>
    <row r="347" spans="1:2" x14ac:dyDescent="0.2">
      <c r="A347">
        <v>24</v>
      </c>
      <c r="B347">
        <v>13</v>
      </c>
    </row>
    <row r="348" spans="1:2" x14ac:dyDescent="0.2">
      <c r="A348">
        <v>40</v>
      </c>
      <c r="B348">
        <v>13</v>
      </c>
    </row>
    <row r="349" spans="1:2" x14ac:dyDescent="0.2">
      <c r="B349">
        <v>16.100000000000001</v>
      </c>
    </row>
    <row r="350" spans="1:2" x14ac:dyDescent="0.2">
      <c r="A350">
        <v>3</v>
      </c>
      <c r="B350">
        <v>15.9</v>
      </c>
    </row>
    <row r="351" spans="1:2" x14ac:dyDescent="0.2">
      <c r="A351">
        <v>42</v>
      </c>
      <c r="B351">
        <v>8.6624999999999996</v>
      </c>
    </row>
    <row r="352" spans="1:2" x14ac:dyDescent="0.2">
      <c r="A352">
        <v>23</v>
      </c>
      <c r="B352">
        <v>9.2249999999999996</v>
      </c>
    </row>
    <row r="353" spans="1:2" x14ac:dyDescent="0.2">
      <c r="B353">
        <v>35</v>
      </c>
    </row>
    <row r="354" spans="1:2" x14ac:dyDescent="0.2">
      <c r="A354">
        <v>15</v>
      </c>
      <c r="B354">
        <v>7.2291999999999996</v>
      </c>
    </row>
    <row r="355" spans="1:2" x14ac:dyDescent="0.2">
      <c r="A355">
        <v>25</v>
      </c>
      <c r="B355">
        <v>17.8</v>
      </c>
    </row>
    <row r="356" spans="1:2" x14ac:dyDescent="0.2">
      <c r="B356">
        <v>7.2249999999999996</v>
      </c>
    </row>
    <row r="357" spans="1:2" x14ac:dyDescent="0.2">
      <c r="A357">
        <v>28</v>
      </c>
      <c r="B357">
        <v>9.5</v>
      </c>
    </row>
    <row r="358" spans="1:2" x14ac:dyDescent="0.2">
      <c r="A358">
        <v>22</v>
      </c>
      <c r="B358">
        <v>55</v>
      </c>
    </row>
    <row r="359" spans="1:2" x14ac:dyDescent="0.2">
      <c r="A359">
        <v>38</v>
      </c>
      <c r="B359">
        <v>13</v>
      </c>
    </row>
    <row r="360" spans="1:2" x14ac:dyDescent="0.2">
      <c r="B360">
        <v>7.8792</v>
      </c>
    </row>
    <row r="361" spans="1:2" x14ac:dyDescent="0.2">
      <c r="B361">
        <v>7.8792</v>
      </c>
    </row>
    <row r="362" spans="1:2" x14ac:dyDescent="0.2">
      <c r="A362">
        <v>40</v>
      </c>
      <c r="B362">
        <v>27.9</v>
      </c>
    </row>
    <row r="363" spans="1:2" x14ac:dyDescent="0.2">
      <c r="A363">
        <v>29</v>
      </c>
      <c r="B363">
        <v>27.720800000000001</v>
      </c>
    </row>
    <row r="364" spans="1:2" x14ac:dyDescent="0.2">
      <c r="A364">
        <v>45</v>
      </c>
      <c r="B364">
        <v>14.4542</v>
      </c>
    </row>
    <row r="365" spans="1:2" x14ac:dyDescent="0.2">
      <c r="A365">
        <v>35</v>
      </c>
      <c r="B365">
        <v>7.05</v>
      </c>
    </row>
    <row r="366" spans="1:2" x14ac:dyDescent="0.2">
      <c r="B366">
        <v>15.5</v>
      </c>
    </row>
    <row r="367" spans="1:2" x14ac:dyDescent="0.2">
      <c r="A367">
        <v>30</v>
      </c>
      <c r="B367">
        <v>7.25</v>
      </c>
    </row>
    <row r="368" spans="1:2" x14ac:dyDescent="0.2">
      <c r="A368">
        <v>60</v>
      </c>
      <c r="B368">
        <v>75.25</v>
      </c>
    </row>
    <row r="369" spans="1:2" x14ac:dyDescent="0.2">
      <c r="B369">
        <v>7.2291999999999996</v>
      </c>
    </row>
    <row r="370" spans="1:2" x14ac:dyDescent="0.2">
      <c r="B370">
        <v>7.75</v>
      </c>
    </row>
    <row r="371" spans="1:2" x14ac:dyDescent="0.2">
      <c r="A371">
        <v>24</v>
      </c>
      <c r="B371">
        <v>69.3</v>
      </c>
    </row>
    <row r="372" spans="1:2" x14ac:dyDescent="0.2">
      <c r="A372">
        <v>25</v>
      </c>
      <c r="B372">
        <v>55.441699999999997</v>
      </c>
    </row>
    <row r="373" spans="1:2" x14ac:dyDescent="0.2">
      <c r="A373">
        <v>18</v>
      </c>
      <c r="B373">
        <v>6.4958</v>
      </c>
    </row>
    <row r="374" spans="1:2" x14ac:dyDescent="0.2">
      <c r="A374">
        <v>19</v>
      </c>
      <c r="B374">
        <v>8.0500000000000007</v>
      </c>
    </row>
    <row r="375" spans="1:2" x14ac:dyDescent="0.2">
      <c r="A375">
        <v>22</v>
      </c>
      <c r="B375">
        <v>135.63329999999999</v>
      </c>
    </row>
    <row r="376" spans="1:2" x14ac:dyDescent="0.2">
      <c r="A376">
        <v>3</v>
      </c>
      <c r="B376">
        <v>21.074999999999999</v>
      </c>
    </row>
    <row r="377" spans="1:2" x14ac:dyDescent="0.2">
      <c r="B377">
        <v>82.1708</v>
      </c>
    </row>
    <row r="378" spans="1:2" x14ac:dyDescent="0.2">
      <c r="A378">
        <v>22</v>
      </c>
      <c r="B378">
        <v>7.25</v>
      </c>
    </row>
    <row r="379" spans="1:2" x14ac:dyDescent="0.2">
      <c r="A379">
        <v>27</v>
      </c>
      <c r="B379">
        <v>211.5</v>
      </c>
    </row>
    <row r="380" spans="1:2" x14ac:dyDescent="0.2">
      <c r="A380">
        <v>20</v>
      </c>
      <c r="B380">
        <v>4.0125000000000002</v>
      </c>
    </row>
    <row r="381" spans="1:2" x14ac:dyDescent="0.2">
      <c r="A381">
        <v>19</v>
      </c>
      <c r="B381">
        <v>7.7750000000000004</v>
      </c>
    </row>
    <row r="382" spans="1:2" x14ac:dyDescent="0.2">
      <c r="A382">
        <v>42</v>
      </c>
      <c r="B382">
        <v>227.52500000000001</v>
      </c>
    </row>
    <row r="383" spans="1:2" x14ac:dyDescent="0.2">
      <c r="A383">
        <v>1</v>
      </c>
      <c r="B383">
        <v>15.7417</v>
      </c>
    </row>
    <row r="384" spans="1:2" x14ac:dyDescent="0.2">
      <c r="A384">
        <v>32</v>
      </c>
      <c r="B384">
        <v>7.9249999999999998</v>
      </c>
    </row>
    <row r="385" spans="1:2" x14ac:dyDescent="0.2">
      <c r="A385">
        <v>35</v>
      </c>
      <c r="B385">
        <v>52</v>
      </c>
    </row>
    <row r="386" spans="1:2" x14ac:dyDescent="0.2">
      <c r="B386">
        <v>7.8958000000000004</v>
      </c>
    </row>
    <row r="387" spans="1:2" x14ac:dyDescent="0.2">
      <c r="A387">
        <v>18</v>
      </c>
      <c r="B387">
        <v>73.5</v>
      </c>
    </row>
    <row r="388" spans="1:2" x14ac:dyDescent="0.2">
      <c r="A388">
        <v>1</v>
      </c>
      <c r="B388">
        <v>46.9</v>
      </c>
    </row>
    <row r="389" spans="1:2" x14ac:dyDescent="0.2">
      <c r="A389">
        <v>36</v>
      </c>
      <c r="B389">
        <v>13</v>
      </c>
    </row>
    <row r="390" spans="1:2" x14ac:dyDescent="0.2">
      <c r="B390">
        <v>7.7291999999999996</v>
      </c>
    </row>
    <row r="391" spans="1:2" x14ac:dyDescent="0.2">
      <c r="A391">
        <v>17</v>
      </c>
      <c r="B391">
        <v>12</v>
      </c>
    </row>
    <row r="392" spans="1:2" x14ac:dyDescent="0.2">
      <c r="A392">
        <v>36</v>
      </c>
      <c r="B392">
        <v>120</v>
      </c>
    </row>
    <row r="393" spans="1:2" x14ac:dyDescent="0.2">
      <c r="A393">
        <v>21</v>
      </c>
      <c r="B393">
        <v>7.7957999999999998</v>
      </c>
    </row>
    <row r="394" spans="1:2" x14ac:dyDescent="0.2">
      <c r="A394">
        <v>28</v>
      </c>
      <c r="B394">
        <v>7.9249999999999998</v>
      </c>
    </row>
    <row r="395" spans="1:2" x14ac:dyDescent="0.2">
      <c r="A395">
        <v>23</v>
      </c>
      <c r="B395">
        <v>113.27500000000001</v>
      </c>
    </row>
    <row r="396" spans="1:2" x14ac:dyDescent="0.2">
      <c r="A396">
        <v>24</v>
      </c>
      <c r="B396">
        <v>16.7</v>
      </c>
    </row>
    <row r="397" spans="1:2" x14ac:dyDescent="0.2">
      <c r="A397">
        <v>22</v>
      </c>
      <c r="B397">
        <v>7.7957999999999998</v>
      </c>
    </row>
    <row r="398" spans="1:2" x14ac:dyDescent="0.2">
      <c r="A398">
        <v>31</v>
      </c>
      <c r="B398">
        <v>7.8541999999999996</v>
      </c>
    </row>
    <row r="399" spans="1:2" x14ac:dyDescent="0.2">
      <c r="A399">
        <v>46</v>
      </c>
      <c r="B399">
        <v>26</v>
      </c>
    </row>
    <row r="400" spans="1:2" x14ac:dyDescent="0.2">
      <c r="A400">
        <v>23</v>
      </c>
      <c r="B400">
        <v>10.5</v>
      </c>
    </row>
    <row r="401" spans="1:2" x14ac:dyDescent="0.2">
      <c r="A401">
        <v>28</v>
      </c>
      <c r="B401">
        <v>12.65</v>
      </c>
    </row>
    <row r="402" spans="1:2" x14ac:dyDescent="0.2">
      <c r="A402">
        <v>39</v>
      </c>
      <c r="B402">
        <v>7.9249999999999998</v>
      </c>
    </row>
    <row r="403" spans="1:2" x14ac:dyDescent="0.2">
      <c r="A403">
        <v>26</v>
      </c>
      <c r="B403">
        <v>8.0500000000000007</v>
      </c>
    </row>
    <row r="404" spans="1:2" x14ac:dyDescent="0.2">
      <c r="A404">
        <v>21</v>
      </c>
      <c r="B404">
        <v>9.8249999999999993</v>
      </c>
    </row>
    <row r="405" spans="1:2" x14ac:dyDescent="0.2">
      <c r="A405">
        <v>28</v>
      </c>
      <c r="B405">
        <v>15.85</v>
      </c>
    </row>
    <row r="406" spans="1:2" x14ac:dyDescent="0.2">
      <c r="A406">
        <v>20</v>
      </c>
      <c r="B406">
        <v>8.6624999999999996</v>
      </c>
    </row>
    <row r="407" spans="1:2" x14ac:dyDescent="0.2">
      <c r="A407">
        <v>34</v>
      </c>
      <c r="B407">
        <v>21</v>
      </c>
    </row>
    <row r="408" spans="1:2" x14ac:dyDescent="0.2">
      <c r="A408">
        <v>51</v>
      </c>
      <c r="B408">
        <v>7.75</v>
      </c>
    </row>
    <row r="409" spans="1:2" x14ac:dyDescent="0.2">
      <c r="A409">
        <v>3</v>
      </c>
      <c r="B409">
        <v>18.75</v>
      </c>
    </row>
    <row r="410" spans="1:2" x14ac:dyDescent="0.2">
      <c r="A410">
        <v>21</v>
      </c>
      <c r="B410">
        <v>7.7750000000000004</v>
      </c>
    </row>
    <row r="411" spans="1:2" x14ac:dyDescent="0.2">
      <c r="B411">
        <v>25.466699999999999</v>
      </c>
    </row>
    <row r="412" spans="1:2" x14ac:dyDescent="0.2">
      <c r="B412">
        <v>7.8958000000000004</v>
      </c>
    </row>
    <row r="413" spans="1:2" x14ac:dyDescent="0.2">
      <c r="B413">
        <v>6.8582999999999998</v>
      </c>
    </row>
    <row r="414" spans="1:2" x14ac:dyDescent="0.2">
      <c r="A414">
        <v>33</v>
      </c>
      <c r="B414">
        <v>90</v>
      </c>
    </row>
    <row r="415" spans="1:2" x14ac:dyDescent="0.2">
      <c r="B415">
        <v>0</v>
      </c>
    </row>
    <row r="416" spans="1:2" x14ac:dyDescent="0.2">
      <c r="A416">
        <v>44</v>
      </c>
      <c r="B416">
        <v>7.9249999999999998</v>
      </c>
    </row>
    <row r="417" spans="1:2" x14ac:dyDescent="0.2">
      <c r="B417">
        <v>8.0500000000000007</v>
      </c>
    </row>
    <row r="418" spans="1:2" x14ac:dyDescent="0.2">
      <c r="A418">
        <v>34</v>
      </c>
      <c r="B418">
        <v>32.5</v>
      </c>
    </row>
    <row r="419" spans="1:2" x14ac:dyDescent="0.2">
      <c r="A419">
        <v>18</v>
      </c>
      <c r="B419">
        <v>13</v>
      </c>
    </row>
    <row r="420" spans="1:2" x14ac:dyDescent="0.2">
      <c r="A420">
        <v>30</v>
      </c>
      <c r="B420">
        <v>13</v>
      </c>
    </row>
    <row r="421" spans="1:2" x14ac:dyDescent="0.2">
      <c r="A421">
        <v>10</v>
      </c>
      <c r="B421">
        <v>24.15</v>
      </c>
    </row>
    <row r="422" spans="1:2" x14ac:dyDescent="0.2">
      <c r="B422">
        <v>7.8958000000000004</v>
      </c>
    </row>
    <row r="423" spans="1:2" x14ac:dyDescent="0.2">
      <c r="A423">
        <v>21</v>
      </c>
      <c r="B423">
        <v>7.7332999999999998</v>
      </c>
    </row>
    <row r="424" spans="1:2" x14ac:dyDescent="0.2">
      <c r="A424">
        <v>29</v>
      </c>
      <c r="B424">
        <v>7.875</v>
      </c>
    </row>
    <row r="425" spans="1:2" x14ac:dyDescent="0.2">
      <c r="A425">
        <v>28</v>
      </c>
      <c r="B425">
        <v>14.4</v>
      </c>
    </row>
    <row r="426" spans="1:2" x14ac:dyDescent="0.2">
      <c r="A426">
        <v>18</v>
      </c>
      <c r="B426">
        <v>20.212499999999999</v>
      </c>
    </row>
    <row r="427" spans="1:2" x14ac:dyDescent="0.2">
      <c r="B427">
        <v>7.25</v>
      </c>
    </row>
    <row r="428" spans="1:2" x14ac:dyDescent="0.2">
      <c r="A428">
        <v>28</v>
      </c>
      <c r="B428">
        <v>26</v>
      </c>
    </row>
    <row r="429" spans="1:2" x14ac:dyDescent="0.2">
      <c r="A429">
        <v>19</v>
      </c>
      <c r="B429">
        <v>26</v>
      </c>
    </row>
    <row r="430" spans="1:2" x14ac:dyDescent="0.2">
      <c r="B430">
        <v>7.75</v>
      </c>
    </row>
    <row r="431" spans="1:2" x14ac:dyDescent="0.2">
      <c r="A431">
        <v>32</v>
      </c>
      <c r="B431">
        <v>8.0500000000000007</v>
      </c>
    </row>
    <row r="432" spans="1:2" x14ac:dyDescent="0.2">
      <c r="A432">
        <v>28</v>
      </c>
      <c r="B432">
        <v>26.55</v>
      </c>
    </row>
    <row r="433" spans="1:2" x14ac:dyDescent="0.2">
      <c r="B433">
        <v>16.100000000000001</v>
      </c>
    </row>
    <row r="434" spans="1:2" x14ac:dyDescent="0.2">
      <c r="A434">
        <v>42</v>
      </c>
      <c r="B434">
        <v>26</v>
      </c>
    </row>
    <row r="435" spans="1:2" x14ac:dyDescent="0.2">
      <c r="A435">
        <v>17</v>
      </c>
      <c r="B435">
        <v>7.125</v>
      </c>
    </row>
    <row r="436" spans="1:2" x14ac:dyDescent="0.2">
      <c r="A436">
        <v>50</v>
      </c>
      <c r="B436">
        <v>55.9</v>
      </c>
    </row>
    <row r="437" spans="1:2" x14ac:dyDescent="0.2">
      <c r="A437">
        <v>14</v>
      </c>
      <c r="B437">
        <v>120</v>
      </c>
    </row>
    <row r="438" spans="1:2" x14ac:dyDescent="0.2">
      <c r="A438">
        <v>21</v>
      </c>
      <c r="B438">
        <v>34.375</v>
      </c>
    </row>
    <row r="439" spans="1:2" x14ac:dyDescent="0.2">
      <c r="A439">
        <v>24</v>
      </c>
      <c r="B439">
        <v>18.75</v>
      </c>
    </row>
    <row r="440" spans="1:2" x14ac:dyDescent="0.2">
      <c r="A440">
        <v>64</v>
      </c>
      <c r="B440">
        <v>263</v>
      </c>
    </row>
    <row r="441" spans="1:2" x14ac:dyDescent="0.2">
      <c r="A441">
        <v>31</v>
      </c>
      <c r="B441">
        <v>10.5</v>
      </c>
    </row>
    <row r="442" spans="1:2" x14ac:dyDescent="0.2">
      <c r="A442">
        <v>45</v>
      </c>
      <c r="B442">
        <v>26.25</v>
      </c>
    </row>
    <row r="443" spans="1:2" x14ac:dyDescent="0.2">
      <c r="A443">
        <v>20</v>
      </c>
      <c r="B443">
        <v>9.5</v>
      </c>
    </row>
    <row r="444" spans="1:2" x14ac:dyDescent="0.2">
      <c r="A444">
        <v>25</v>
      </c>
      <c r="B444">
        <v>7.7750000000000004</v>
      </c>
    </row>
    <row r="445" spans="1:2" x14ac:dyDescent="0.2">
      <c r="A445">
        <v>28</v>
      </c>
      <c r="B445">
        <v>13</v>
      </c>
    </row>
    <row r="446" spans="1:2" x14ac:dyDescent="0.2">
      <c r="B446">
        <v>8.1125000000000007</v>
      </c>
    </row>
    <row r="447" spans="1:2" x14ac:dyDescent="0.2">
      <c r="A447">
        <v>4</v>
      </c>
      <c r="B447">
        <v>81.8583</v>
      </c>
    </row>
    <row r="448" spans="1:2" x14ac:dyDescent="0.2">
      <c r="A448">
        <v>13</v>
      </c>
      <c r="B448">
        <v>19.5</v>
      </c>
    </row>
    <row r="449" spans="1:2" x14ac:dyDescent="0.2">
      <c r="A449">
        <v>34</v>
      </c>
      <c r="B449">
        <v>26.55</v>
      </c>
    </row>
    <row r="450" spans="1:2" x14ac:dyDescent="0.2">
      <c r="A450">
        <v>5</v>
      </c>
      <c r="B450">
        <v>19.258299999999998</v>
      </c>
    </row>
    <row r="451" spans="1:2" x14ac:dyDescent="0.2">
      <c r="A451">
        <v>52</v>
      </c>
      <c r="B451">
        <v>30.5</v>
      </c>
    </row>
    <row r="452" spans="1:2" x14ac:dyDescent="0.2">
      <c r="A452">
        <v>36</v>
      </c>
      <c r="B452">
        <v>27.75</v>
      </c>
    </row>
    <row r="453" spans="1:2" x14ac:dyDescent="0.2">
      <c r="B453">
        <v>19.966699999999999</v>
      </c>
    </row>
    <row r="454" spans="1:2" x14ac:dyDescent="0.2">
      <c r="A454">
        <v>30</v>
      </c>
      <c r="B454">
        <v>27.75</v>
      </c>
    </row>
    <row r="455" spans="1:2" x14ac:dyDescent="0.2">
      <c r="A455">
        <v>49</v>
      </c>
      <c r="B455">
        <v>89.104200000000006</v>
      </c>
    </row>
    <row r="456" spans="1:2" x14ac:dyDescent="0.2">
      <c r="B456">
        <v>8.0500000000000007</v>
      </c>
    </row>
    <row r="457" spans="1:2" x14ac:dyDescent="0.2">
      <c r="A457">
        <v>29</v>
      </c>
      <c r="B457">
        <v>7.8958000000000004</v>
      </c>
    </row>
    <row r="458" spans="1:2" x14ac:dyDescent="0.2">
      <c r="A458">
        <v>65</v>
      </c>
      <c r="B458">
        <v>26.55</v>
      </c>
    </row>
    <row r="459" spans="1:2" x14ac:dyDescent="0.2">
      <c r="B459">
        <v>51.862499999999997</v>
      </c>
    </row>
    <row r="460" spans="1:2" x14ac:dyDescent="0.2">
      <c r="A460">
        <v>50</v>
      </c>
      <c r="B460">
        <v>10.5</v>
      </c>
    </row>
    <row r="461" spans="1:2" x14ac:dyDescent="0.2">
      <c r="B461">
        <v>7.75</v>
      </c>
    </row>
    <row r="462" spans="1:2" x14ac:dyDescent="0.2">
      <c r="A462">
        <v>48</v>
      </c>
      <c r="B462">
        <v>26.55</v>
      </c>
    </row>
    <row r="463" spans="1:2" x14ac:dyDescent="0.2">
      <c r="A463">
        <v>34</v>
      </c>
      <c r="B463">
        <v>8.0500000000000007</v>
      </c>
    </row>
    <row r="464" spans="1:2" x14ac:dyDescent="0.2">
      <c r="A464">
        <v>47</v>
      </c>
      <c r="B464">
        <v>38.5</v>
      </c>
    </row>
    <row r="465" spans="1:2" x14ac:dyDescent="0.2">
      <c r="A465">
        <v>48</v>
      </c>
      <c r="B465">
        <v>13</v>
      </c>
    </row>
    <row r="466" spans="1:2" x14ac:dyDescent="0.2">
      <c r="B466">
        <v>8.0500000000000007</v>
      </c>
    </row>
    <row r="467" spans="1:2" x14ac:dyDescent="0.2">
      <c r="A467">
        <v>38</v>
      </c>
      <c r="B467">
        <v>7.05</v>
      </c>
    </row>
    <row r="468" spans="1:2" x14ac:dyDescent="0.2">
      <c r="B468">
        <v>0</v>
      </c>
    </row>
    <row r="469" spans="1:2" x14ac:dyDescent="0.2">
      <c r="A469">
        <v>56</v>
      </c>
      <c r="B469">
        <v>26.55</v>
      </c>
    </row>
    <row r="470" spans="1:2" x14ac:dyDescent="0.2">
      <c r="B470">
        <v>7.7249999999999996</v>
      </c>
    </row>
    <row r="471" spans="1:2" x14ac:dyDescent="0.2">
      <c r="A471">
        <v>0.75</v>
      </c>
      <c r="B471">
        <v>19.258299999999998</v>
      </c>
    </row>
    <row r="472" spans="1:2" x14ac:dyDescent="0.2">
      <c r="B472">
        <v>7.25</v>
      </c>
    </row>
    <row r="473" spans="1:2" x14ac:dyDescent="0.2">
      <c r="A473">
        <v>38</v>
      </c>
      <c r="B473">
        <v>8.6624999999999996</v>
      </c>
    </row>
    <row r="474" spans="1:2" x14ac:dyDescent="0.2">
      <c r="A474">
        <v>33</v>
      </c>
      <c r="B474">
        <v>27.75</v>
      </c>
    </row>
    <row r="475" spans="1:2" x14ac:dyDescent="0.2">
      <c r="A475">
        <v>23</v>
      </c>
      <c r="B475">
        <v>13.791700000000001</v>
      </c>
    </row>
    <row r="476" spans="1:2" x14ac:dyDescent="0.2">
      <c r="A476">
        <v>22</v>
      </c>
      <c r="B476">
        <v>9.8375000000000004</v>
      </c>
    </row>
    <row r="477" spans="1:2" x14ac:dyDescent="0.2">
      <c r="B477">
        <v>52</v>
      </c>
    </row>
    <row r="478" spans="1:2" x14ac:dyDescent="0.2">
      <c r="A478">
        <v>34</v>
      </c>
      <c r="B478">
        <v>21</v>
      </c>
    </row>
    <row r="479" spans="1:2" x14ac:dyDescent="0.2">
      <c r="A479">
        <v>29</v>
      </c>
      <c r="B479">
        <v>7.0457999999999998</v>
      </c>
    </row>
    <row r="480" spans="1:2" x14ac:dyDescent="0.2">
      <c r="A480">
        <v>22</v>
      </c>
      <c r="B480">
        <v>7.5208000000000004</v>
      </c>
    </row>
    <row r="481" spans="1:2" x14ac:dyDescent="0.2">
      <c r="A481">
        <v>2</v>
      </c>
      <c r="B481">
        <v>12.2875</v>
      </c>
    </row>
    <row r="482" spans="1:2" x14ac:dyDescent="0.2">
      <c r="A482">
        <v>9</v>
      </c>
      <c r="B482">
        <v>46.9</v>
      </c>
    </row>
    <row r="483" spans="1:2" x14ac:dyDescent="0.2">
      <c r="B483">
        <v>0</v>
      </c>
    </row>
    <row r="484" spans="1:2" x14ac:dyDescent="0.2">
      <c r="A484">
        <v>50</v>
      </c>
      <c r="B484">
        <v>8.0500000000000007</v>
      </c>
    </row>
    <row r="485" spans="1:2" x14ac:dyDescent="0.2">
      <c r="A485">
        <v>63</v>
      </c>
      <c r="B485">
        <v>9.5875000000000004</v>
      </c>
    </row>
    <row r="486" spans="1:2" x14ac:dyDescent="0.2">
      <c r="A486">
        <v>25</v>
      </c>
      <c r="B486">
        <v>91.0792</v>
      </c>
    </row>
    <row r="487" spans="1:2" x14ac:dyDescent="0.2">
      <c r="B487">
        <v>25.466699999999999</v>
      </c>
    </row>
    <row r="488" spans="1:2" x14ac:dyDescent="0.2">
      <c r="A488">
        <v>35</v>
      </c>
      <c r="B488">
        <v>90</v>
      </c>
    </row>
    <row r="489" spans="1:2" x14ac:dyDescent="0.2">
      <c r="A489">
        <v>58</v>
      </c>
      <c r="B489">
        <v>29.7</v>
      </c>
    </row>
    <row r="490" spans="1:2" x14ac:dyDescent="0.2">
      <c r="A490">
        <v>30</v>
      </c>
      <c r="B490">
        <v>8.0500000000000007</v>
      </c>
    </row>
    <row r="491" spans="1:2" x14ac:dyDescent="0.2">
      <c r="A491">
        <v>9</v>
      </c>
      <c r="B491">
        <v>15.9</v>
      </c>
    </row>
    <row r="492" spans="1:2" x14ac:dyDescent="0.2">
      <c r="B492">
        <v>19.966699999999999</v>
      </c>
    </row>
    <row r="493" spans="1:2" x14ac:dyDescent="0.2">
      <c r="A493">
        <v>21</v>
      </c>
      <c r="B493">
        <v>7.25</v>
      </c>
    </row>
    <row r="494" spans="1:2" x14ac:dyDescent="0.2">
      <c r="A494">
        <v>55</v>
      </c>
      <c r="B494">
        <v>30.5</v>
      </c>
    </row>
    <row r="495" spans="1:2" x14ac:dyDescent="0.2">
      <c r="A495">
        <v>71</v>
      </c>
      <c r="B495">
        <v>49.504199999999997</v>
      </c>
    </row>
    <row r="496" spans="1:2" x14ac:dyDescent="0.2">
      <c r="A496">
        <v>21</v>
      </c>
      <c r="B496">
        <v>8.0500000000000007</v>
      </c>
    </row>
    <row r="497" spans="1:2" x14ac:dyDescent="0.2">
      <c r="B497">
        <v>14.458299999999999</v>
      </c>
    </row>
    <row r="498" spans="1:2" x14ac:dyDescent="0.2">
      <c r="A498">
        <v>54</v>
      </c>
      <c r="B498">
        <v>78.2667</v>
      </c>
    </row>
    <row r="499" spans="1:2" x14ac:dyDescent="0.2">
      <c r="B499">
        <v>15.1</v>
      </c>
    </row>
    <row r="500" spans="1:2" x14ac:dyDescent="0.2">
      <c r="A500">
        <v>25</v>
      </c>
      <c r="B500">
        <v>151.55000000000001</v>
      </c>
    </row>
    <row r="501" spans="1:2" x14ac:dyDescent="0.2">
      <c r="A501">
        <v>24</v>
      </c>
      <c r="B501">
        <v>7.7957999999999998</v>
      </c>
    </row>
    <row r="502" spans="1:2" x14ac:dyDescent="0.2">
      <c r="A502">
        <v>17</v>
      </c>
      <c r="B502">
        <v>8.6624999999999996</v>
      </c>
    </row>
    <row r="503" spans="1:2" x14ac:dyDescent="0.2">
      <c r="A503">
        <v>21</v>
      </c>
      <c r="B503">
        <v>7.75</v>
      </c>
    </row>
    <row r="504" spans="1:2" x14ac:dyDescent="0.2">
      <c r="B504">
        <v>7.6292</v>
      </c>
    </row>
    <row r="505" spans="1:2" x14ac:dyDescent="0.2">
      <c r="A505">
        <v>37</v>
      </c>
      <c r="B505">
        <v>9.5875000000000004</v>
      </c>
    </row>
    <row r="506" spans="1:2" x14ac:dyDescent="0.2">
      <c r="A506">
        <v>16</v>
      </c>
      <c r="B506">
        <v>86.5</v>
      </c>
    </row>
    <row r="507" spans="1:2" x14ac:dyDescent="0.2">
      <c r="A507">
        <v>18</v>
      </c>
      <c r="B507">
        <v>108.9</v>
      </c>
    </row>
    <row r="508" spans="1:2" x14ac:dyDescent="0.2">
      <c r="A508">
        <v>33</v>
      </c>
      <c r="B508">
        <v>26</v>
      </c>
    </row>
    <row r="509" spans="1:2" x14ac:dyDescent="0.2">
      <c r="B509">
        <v>26.55</v>
      </c>
    </row>
    <row r="510" spans="1:2" x14ac:dyDescent="0.2">
      <c r="A510">
        <v>28</v>
      </c>
      <c r="B510">
        <v>22.524999999999999</v>
      </c>
    </row>
    <row r="511" spans="1:2" x14ac:dyDescent="0.2">
      <c r="A511">
        <v>26</v>
      </c>
      <c r="B511">
        <v>56.495800000000003</v>
      </c>
    </row>
    <row r="512" spans="1:2" x14ac:dyDescent="0.2">
      <c r="A512">
        <v>29</v>
      </c>
      <c r="B512">
        <v>7.75</v>
      </c>
    </row>
    <row r="513" spans="1:2" x14ac:dyDescent="0.2">
      <c r="B513">
        <v>8.0500000000000007</v>
      </c>
    </row>
    <row r="514" spans="1:2" x14ac:dyDescent="0.2">
      <c r="A514">
        <v>36</v>
      </c>
      <c r="B514">
        <v>26.287500000000001</v>
      </c>
    </row>
    <row r="515" spans="1:2" x14ac:dyDescent="0.2">
      <c r="A515">
        <v>54</v>
      </c>
      <c r="B515">
        <v>59.4</v>
      </c>
    </row>
    <row r="516" spans="1:2" x14ac:dyDescent="0.2">
      <c r="A516">
        <v>24</v>
      </c>
      <c r="B516">
        <v>7.4958</v>
      </c>
    </row>
    <row r="517" spans="1:2" x14ac:dyDescent="0.2">
      <c r="A517">
        <v>47</v>
      </c>
      <c r="B517">
        <v>34.020800000000001</v>
      </c>
    </row>
    <row r="518" spans="1:2" x14ac:dyDescent="0.2">
      <c r="A518">
        <v>34</v>
      </c>
      <c r="B518">
        <v>10.5</v>
      </c>
    </row>
    <row r="519" spans="1:2" x14ac:dyDescent="0.2">
      <c r="B519">
        <v>24.15</v>
      </c>
    </row>
    <row r="520" spans="1:2" x14ac:dyDescent="0.2">
      <c r="A520">
        <v>36</v>
      </c>
      <c r="B520">
        <v>26</v>
      </c>
    </row>
    <row r="521" spans="1:2" x14ac:dyDescent="0.2">
      <c r="A521">
        <v>32</v>
      </c>
      <c r="B521">
        <v>7.8958000000000004</v>
      </c>
    </row>
    <row r="522" spans="1:2" x14ac:dyDescent="0.2">
      <c r="A522">
        <v>30</v>
      </c>
      <c r="B522">
        <v>93.5</v>
      </c>
    </row>
    <row r="523" spans="1:2" x14ac:dyDescent="0.2">
      <c r="A523">
        <v>22</v>
      </c>
      <c r="B523">
        <v>7.8958000000000004</v>
      </c>
    </row>
    <row r="524" spans="1:2" x14ac:dyDescent="0.2">
      <c r="B524">
        <v>7.2249999999999996</v>
      </c>
    </row>
    <row r="525" spans="1:2" x14ac:dyDescent="0.2">
      <c r="A525">
        <v>44</v>
      </c>
      <c r="B525">
        <v>57.979199999999999</v>
      </c>
    </row>
    <row r="526" spans="1:2" x14ac:dyDescent="0.2">
      <c r="B526">
        <v>7.2291999999999996</v>
      </c>
    </row>
    <row r="527" spans="1:2" x14ac:dyDescent="0.2">
      <c r="A527">
        <v>40.5</v>
      </c>
      <c r="B527">
        <v>7.75</v>
      </c>
    </row>
    <row r="528" spans="1:2" x14ac:dyDescent="0.2">
      <c r="A528">
        <v>50</v>
      </c>
      <c r="B528">
        <v>10.5</v>
      </c>
    </row>
    <row r="529" spans="1:2" x14ac:dyDescent="0.2">
      <c r="B529">
        <v>221.7792</v>
      </c>
    </row>
    <row r="530" spans="1:2" x14ac:dyDescent="0.2">
      <c r="A530">
        <v>39</v>
      </c>
      <c r="B530">
        <v>7.9249999999999998</v>
      </c>
    </row>
    <row r="531" spans="1:2" x14ac:dyDescent="0.2">
      <c r="A531">
        <v>23</v>
      </c>
      <c r="B531">
        <v>11.5</v>
      </c>
    </row>
    <row r="532" spans="1:2" x14ac:dyDescent="0.2">
      <c r="A532">
        <v>2</v>
      </c>
      <c r="B532">
        <v>26</v>
      </c>
    </row>
    <row r="533" spans="1:2" x14ac:dyDescent="0.2">
      <c r="B533">
        <v>7.2291999999999996</v>
      </c>
    </row>
    <row r="534" spans="1:2" x14ac:dyDescent="0.2">
      <c r="A534">
        <v>17</v>
      </c>
      <c r="B534">
        <v>7.2291999999999996</v>
      </c>
    </row>
    <row r="535" spans="1:2" x14ac:dyDescent="0.2">
      <c r="B535">
        <v>22.3583</v>
      </c>
    </row>
    <row r="536" spans="1:2" x14ac:dyDescent="0.2">
      <c r="A536">
        <v>30</v>
      </c>
      <c r="B536">
        <v>8.6624999999999996</v>
      </c>
    </row>
    <row r="537" spans="1:2" x14ac:dyDescent="0.2">
      <c r="A537">
        <v>7</v>
      </c>
      <c r="B537">
        <v>26.25</v>
      </c>
    </row>
    <row r="538" spans="1:2" x14ac:dyDescent="0.2">
      <c r="A538">
        <v>45</v>
      </c>
      <c r="B538">
        <v>26.55</v>
      </c>
    </row>
    <row r="539" spans="1:2" x14ac:dyDescent="0.2">
      <c r="A539">
        <v>30</v>
      </c>
      <c r="B539">
        <v>106.425</v>
      </c>
    </row>
    <row r="540" spans="1:2" x14ac:dyDescent="0.2">
      <c r="B540">
        <v>14.5</v>
      </c>
    </row>
    <row r="541" spans="1:2" x14ac:dyDescent="0.2">
      <c r="A541">
        <v>22</v>
      </c>
      <c r="B541">
        <v>49.5</v>
      </c>
    </row>
    <row r="542" spans="1:2" x14ac:dyDescent="0.2">
      <c r="A542">
        <v>36</v>
      </c>
      <c r="B542">
        <v>71</v>
      </c>
    </row>
    <row r="543" spans="1:2" x14ac:dyDescent="0.2">
      <c r="A543">
        <v>9</v>
      </c>
      <c r="B543">
        <v>31.274999999999999</v>
      </c>
    </row>
    <row r="544" spans="1:2" x14ac:dyDescent="0.2">
      <c r="A544">
        <v>11</v>
      </c>
      <c r="B544">
        <v>31.274999999999999</v>
      </c>
    </row>
    <row r="545" spans="1:2" x14ac:dyDescent="0.2">
      <c r="A545">
        <v>32</v>
      </c>
      <c r="B545">
        <v>26</v>
      </c>
    </row>
    <row r="546" spans="1:2" x14ac:dyDescent="0.2">
      <c r="A546">
        <v>50</v>
      </c>
      <c r="B546">
        <v>106.425</v>
      </c>
    </row>
    <row r="547" spans="1:2" x14ac:dyDescent="0.2">
      <c r="A547">
        <v>64</v>
      </c>
      <c r="B547">
        <v>26</v>
      </c>
    </row>
    <row r="548" spans="1:2" x14ac:dyDescent="0.2">
      <c r="A548">
        <v>19</v>
      </c>
      <c r="B548">
        <v>26</v>
      </c>
    </row>
    <row r="549" spans="1:2" x14ac:dyDescent="0.2">
      <c r="B549">
        <v>13.862500000000001</v>
      </c>
    </row>
    <row r="550" spans="1:2" x14ac:dyDescent="0.2">
      <c r="A550">
        <v>33</v>
      </c>
      <c r="B550">
        <v>20.524999999999999</v>
      </c>
    </row>
    <row r="551" spans="1:2" x14ac:dyDescent="0.2">
      <c r="A551">
        <v>8</v>
      </c>
      <c r="B551">
        <v>36.75</v>
      </c>
    </row>
    <row r="552" spans="1:2" x14ac:dyDescent="0.2">
      <c r="A552">
        <v>17</v>
      </c>
      <c r="B552">
        <v>110.88330000000001</v>
      </c>
    </row>
    <row r="553" spans="1:2" x14ac:dyDescent="0.2">
      <c r="A553">
        <v>27</v>
      </c>
      <c r="B553">
        <v>26</v>
      </c>
    </row>
    <row r="554" spans="1:2" x14ac:dyDescent="0.2">
      <c r="B554">
        <v>7.8292000000000002</v>
      </c>
    </row>
    <row r="555" spans="1:2" x14ac:dyDescent="0.2">
      <c r="A555">
        <v>22</v>
      </c>
      <c r="B555">
        <v>7.2249999999999996</v>
      </c>
    </row>
    <row r="556" spans="1:2" x14ac:dyDescent="0.2">
      <c r="A556">
        <v>22</v>
      </c>
      <c r="B556">
        <v>7.7750000000000004</v>
      </c>
    </row>
    <row r="557" spans="1:2" x14ac:dyDescent="0.2">
      <c r="A557">
        <v>62</v>
      </c>
      <c r="B557">
        <v>26.55</v>
      </c>
    </row>
    <row r="558" spans="1:2" x14ac:dyDescent="0.2">
      <c r="A558">
        <v>48</v>
      </c>
      <c r="B558">
        <v>39.6</v>
      </c>
    </row>
    <row r="559" spans="1:2" x14ac:dyDescent="0.2">
      <c r="B559">
        <v>227.52500000000001</v>
      </c>
    </row>
    <row r="560" spans="1:2" x14ac:dyDescent="0.2">
      <c r="A560">
        <v>39</v>
      </c>
      <c r="B560">
        <v>79.650000000000006</v>
      </c>
    </row>
    <row r="561" spans="1:2" x14ac:dyDescent="0.2">
      <c r="A561">
        <v>36</v>
      </c>
      <c r="B561">
        <v>17.399999999999999</v>
      </c>
    </row>
    <row r="562" spans="1:2" x14ac:dyDescent="0.2">
      <c r="B562">
        <v>7.75</v>
      </c>
    </row>
    <row r="563" spans="1:2" x14ac:dyDescent="0.2">
      <c r="A563">
        <v>40</v>
      </c>
      <c r="B563">
        <v>7.8958000000000004</v>
      </c>
    </row>
    <row r="564" spans="1:2" x14ac:dyDescent="0.2">
      <c r="A564">
        <v>28</v>
      </c>
      <c r="B564">
        <v>13.5</v>
      </c>
    </row>
    <row r="565" spans="1:2" x14ac:dyDescent="0.2">
      <c r="B565">
        <v>8.0500000000000007</v>
      </c>
    </row>
    <row r="566" spans="1:2" x14ac:dyDescent="0.2">
      <c r="B566">
        <v>8.0500000000000007</v>
      </c>
    </row>
    <row r="567" spans="1:2" x14ac:dyDescent="0.2">
      <c r="A567">
        <v>24</v>
      </c>
      <c r="B567">
        <v>24.15</v>
      </c>
    </row>
    <row r="568" spans="1:2" x14ac:dyDescent="0.2">
      <c r="A568">
        <v>19</v>
      </c>
      <c r="B568">
        <v>7.8958000000000004</v>
      </c>
    </row>
    <row r="569" spans="1:2" x14ac:dyDescent="0.2">
      <c r="A569">
        <v>29</v>
      </c>
      <c r="B569">
        <v>21.074999999999999</v>
      </c>
    </row>
    <row r="570" spans="1:2" x14ac:dyDescent="0.2">
      <c r="B570">
        <v>7.2291999999999996</v>
      </c>
    </row>
    <row r="571" spans="1:2" x14ac:dyDescent="0.2">
      <c r="A571">
        <v>32</v>
      </c>
      <c r="B571">
        <v>7.8541999999999996</v>
      </c>
    </row>
    <row r="572" spans="1:2" x14ac:dyDescent="0.2">
      <c r="A572">
        <v>62</v>
      </c>
      <c r="B572">
        <v>10.5</v>
      </c>
    </row>
    <row r="573" spans="1:2" x14ac:dyDescent="0.2">
      <c r="A573">
        <v>53</v>
      </c>
      <c r="B573">
        <v>51.479199999999999</v>
      </c>
    </row>
    <row r="574" spans="1:2" x14ac:dyDescent="0.2">
      <c r="A574">
        <v>36</v>
      </c>
      <c r="B574">
        <v>26.387499999999999</v>
      </c>
    </row>
    <row r="575" spans="1:2" x14ac:dyDescent="0.2">
      <c r="B575">
        <v>7.75</v>
      </c>
    </row>
    <row r="576" spans="1:2" x14ac:dyDescent="0.2">
      <c r="A576">
        <v>16</v>
      </c>
      <c r="B576">
        <v>8.0500000000000007</v>
      </c>
    </row>
    <row r="577" spans="1:2" x14ac:dyDescent="0.2">
      <c r="A577">
        <v>19</v>
      </c>
      <c r="B577">
        <v>14.5</v>
      </c>
    </row>
    <row r="578" spans="1:2" x14ac:dyDescent="0.2">
      <c r="A578">
        <v>34</v>
      </c>
      <c r="B578">
        <v>13</v>
      </c>
    </row>
    <row r="579" spans="1:2" x14ac:dyDescent="0.2">
      <c r="A579">
        <v>39</v>
      </c>
      <c r="B579">
        <v>55.9</v>
      </c>
    </row>
    <row r="580" spans="1:2" x14ac:dyDescent="0.2">
      <c r="B580">
        <v>14.458299999999999</v>
      </c>
    </row>
    <row r="581" spans="1:2" x14ac:dyDescent="0.2">
      <c r="A581">
        <v>32</v>
      </c>
      <c r="B581">
        <v>7.9249999999999998</v>
      </c>
    </row>
    <row r="582" spans="1:2" x14ac:dyDescent="0.2">
      <c r="A582">
        <v>25</v>
      </c>
      <c r="B582">
        <v>30</v>
      </c>
    </row>
    <row r="583" spans="1:2" x14ac:dyDescent="0.2">
      <c r="A583">
        <v>39</v>
      </c>
      <c r="B583">
        <v>110.88330000000001</v>
      </c>
    </row>
    <row r="584" spans="1:2" x14ac:dyDescent="0.2">
      <c r="A584">
        <v>54</v>
      </c>
      <c r="B584">
        <v>26</v>
      </c>
    </row>
    <row r="585" spans="1:2" x14ac:dyDescent="0.2">
      <c r="A585">
        <v>36</v>
      </c>
      <c r="B585">
        <v>40.125</v>
      </c>
    </row>
    <row r="586" spans="1:2" x14ac:dyDescent="0.2">
      <c r="B586">
        <v>8.7125000000000004</v>
      </c>
    </row>
    <row r="587" spans="1:2" x14ac:dyDescent="0.2">
      <c r="A587">
        <v>18</v>
      </c>
      <c r="B587">
        <v>79.650000000000006</v>
      </c>
    </row>
    <row r="588" spans="1:2" x14ac:dyDescent="0.2">
      <c r="A588">
        <v>47</v>
      </c>
      <c r="B588">
        <v>15</v>
      </c>
    </row>
    <row r="589" spans="1:2" x14ac:dyDescent="0.2">
      <c r="A589">
        <v>60</v>
      </c>
      <c r="B589">
        <v>79.2</v>
      </c>
    </row>
    <row r="590" spans="1:2" x14ac:dyDescent="0.2">
      <c r="A590">
        <v>22</v>
      </c>
      <c r="B590">
        <v>8.0500000000000007</v>
      </c>
    </row>
    <row r="591" spans="1:2" x14ac:dyDescent="0.2">
      <c r="B591">
        <v>8.0500000000000007</v>
      </c>
    </row>
    <row r="592" spans="1:2" x14ac:dyDescent="0.2">
      <c r="A592">
        <v>35</v>
      </c>
      <c r="B592">
        <v>7.125</v>
      </c>
    </row>
    <row r="593" spans="1:2" x14ac:dyDescent="0.2">
      <c r="A593">
        <v>52</v>
      </c>
      <c r="B593">
        <v>78.2667</v>
      </c>
    </row>
    <row r="594" spans="1:2" x14ac:dyDescent="0.2">
      <c r="A594">
        <v>47</v>
      </c>
      <c r="B594">
        <v>7.25</v>
      </c>
    </row>
    <row r="595" spans="1:2" x14ac:dyDescent="0.2">
      <c r="B595">
        <v>7.75</v>
      </c>
    </row>
    <row r="596" spans="1:2" x14ac:dyDescent="0.2">
      <c r="A596">
        <v>37</v>
      </c>
      <c r="B596">
        <v>26</v>
      </c>
    </row>
    <row r="597" spans="1:2" x14ac:dyDescent="0.2">
      <c r="A597">
        <v>36</v>
      </c>
      <c r="B597">
        <v>24.15</v>
      </c>
    </row>
    <row r="598" spans="1:2" x14ac:dyDescent="0.2">
      <c r="B598">
        <v>33</v>
      </c>
    </row>
    <row r="599" spans="1:2" x14ac:dyDescent="0.2">
      <c r="A599">
        <v>49</v>
      </c>
      <c r="B599">
        <v>0</v>
      </c>
    </row>
    <row r="600" spans="1:2" x14ac:dyDescent="0.2">
      <c r="B600">
        <v>7.2249999999999996</v>
      </c>
    </row>
    <row r="601" spans="1:2" x14ac:dyDescent="0.2">
      <c r="A601">
        <v>49</v>
      </c>
      <c r="B601">
        <v>56.929200000000002</v>
      </c>
    </row>
    <row r="602" spans="1:2" x14ac:dyDescent="0.2">
      <c r="A602">
        <v>24</v>
      </c>
      <c r="B602">
        <v>27</v>
      </c>
    </row>
    <row r="603" spans="1:2" x14ac:dyDescent="0.2">
      <c r="B603">
        <v>7.8958000000000004</v>
      </c>
    </row>
    <row r="604" spans="1:2" x14ac:dyDescent="0.2">
      <c r="B604">
        <v>42.4</v>
      </c>
    </row>
    <row r="605" spans="1:2" x14ac:dyDescent="0.2">
      <c r="A605">
        <v>44</v>
      </c>
      <c r="B605">
        <v>8.0500000000000007</v>
      </c>
    </row>
    <row r="606" spans="1:2" x14ac:dyDescent="0.2">
      <c r="A606">
        <v>35</v>
      </c>
      <c r="B606">
        <v>26.55</v>
      </c>
    </row>
    <row r="607" spans="1:2" x14ac:dyDescent="0.2">
      <c r="A607">
        <v>36</v>
      </c>
      <c r="B607">
        <v>15.55</v>
      </c>
    </row>
    <row r="608" spans="1:2" x14ac:dyDescent="0.2">
      <c r="A608">
        <v>30</v>
      </c>
      <c r="B608">
        <v>7.8958000000000004</v>
      </c>
    </row>
    <row r="609" spans="1:2" x14ac:dyDescent="0.2">
      <c r="A609">
        <v>27</v>
      </c>
      <c r="B609">
        <v>30.5</v>
      </c>
    </row>
    <row r="610" spans="1:2" x14ac:dyDescent="0.2">
      <c r="A610">
        <v>22</v>
      </c>
      <c r="B610">
        <v>41.5792</v>
      </c>
    </row>
    <row r="611" spans="1:2" x14ac:dyDescent="0.2">
      <c r="A611">
        <v>40</v>
      </c>
      <c r="B611">
        <v>153.46250000000001</v>
      </c>
    </row>
    <row r="612" spans="1:2" x14ac:dyDescent="0.2">
      <c r="A612">
        <v>39</v>
      </c>
      <c r="B612">
        <v>31.274999999999999</v>
      </c>
    </row>
    <row r="613" spans="1:2" x14ac:dyDescent="0.2">
      <c r="B613">
        <v>7.05</v>
      </c>
    </row>
    <row r="614" spans="1:2" x14ac:dyDescent="0.2">
      <c r="B614">
        <v>15.5</v>
      </c>
    </row>
    <row r="615" spans="1:2" x14ac:dyDescent="0.2">
      <c r="B615">
        <v>7.75</v>
      </c>
    </row>
    <row r="616" spans="1:2" x14ac:dyDescent="0.2">
      <c r="A616">
        <v>35</v>
      </c>
      <c r="B616">
        <v>8.0500000000000007</v>
      </c>
    </row>
    <row r="617" spans="1:2" x14ac:dyDescent="0.2">
      <c r="A617">
        <v>24</v>
      </c>
      <c r="B617">
        <v>65</v>
      </c>
    </row>
    <row r="618" spans="1:2" x14ac:dyDescent="0.2">
      <c r="A618">
        <v>34</v>
      </c>
      <c r="B618">
        <v>14.4</v>
      </c>
    </row>
    <row r="619" spans="1:2" x14ac:dyDescent="0.2">
      <c r="A619">
        <v>26</v>
      </c>
      <c r="B619">
        <v>16.100000000000001</v>
      </c>
    </row>
    <row r="620" spans="1:2" x14ac:dyDescent="0.2">
      <c r="A620">
        <v>4</v>
      </c>
      <c r="B620">
        <v>39</v>
      </c>
    </row>
    <row r="621" spans="1:2" x14ac:dyDescent="0.2">
      <c r="A621">
        <v>26</v>
      </c>
      <c r="B621">
        <v>10.5</v>
      </c>
    </row>
    <row r="622" spans="1:2" x14ac:dyDescent="0.2">
      <c r="A622">
        <v>27</v>
      </c>
      <c r="B622">
        <v>14.4542</v>
      </c>
    </row>
    <row r="623" spans="1:2" x14ac:dyDescent="0.2">
      <c r="A623">
        <v>42</v>
      </c>
      <c r="B623">
        <v>52.554200000000002</v>
      </c>
    </row>
    <row r="624" spans="1:2" x14ac:dyDescent="0.2">
      <c r="A624">
        <v>20</v>
      </c>
      <c r="B624">
        <v>15.7417</v>
      </c>
    </row>
    <row r="625" spans="1:2" x14ac:dyDescent="0.2">
      <c r="A625">
        <v>21</v>
      </c>
      <c r="B625">
        <v>7.8541999999999996</v>
      </c>
    </row>
    <row r="626" spans="1:2" x14ac:dyDescent="0.2">
      <c r="A626">
        <v>21</v>
      </c>
      <c r="B626">
        <v>16.100000000000001</v>
      </c>
    </row>
    <row r="627" spans="1:2" x14ac:dyDescent="0.2">
      <c r="A627">
        <v>61</v>
      </c>
      <c r="B627">
        <v>32.320799999999998</v>
      </c>
    </row>
    <row r="628" spans="1:2" x14ac:dyDescent="0.2">
      <c r="A628">
        <v>57</v>
      </c>
      <c r="B628">
        <v>12.35</v>
      </c>
    </row>
    <row r="629" spans="1:2" x14ac:dyDescent="0.2">
      <c r="A629">
        <v>21</v>
      </c>
      <c r="B629">
        <v>77.958299999999994</v>
      </c>
    </row>
    <row r="630" spans="1:2" x14ac:dyDescent="0.2">
      <c r="A630">
        <v>26</v>
      </c>
      <c r="B630">
        <v>7.8958000000000004</v>
      </c>
    </row>
    <row r="631" spans="1:2" x14ac:dyDescent="0.2">
      <c r="B631">
        <v>7.7332999999999998</v>
      </c>
    </row>
    <row r="632" spans="1:2" x14ac:dyDescent="0.2">
      <c r="A632">
        <v>80</v>
      </c>
      <c r="B632">
        <v>30</v>
      </c>
    </row>
    <row r="633" spans="1:2" x14ac:dyDescent="0.2">
      <c r="A633">
        <v>51</v>
      </c>
      <c r="B633">
        <v>7.0541999999999998</v>
      </c>
    </row>
    <row r="634" spans="1:2" x14ac:dyDescent="0.2">
      <c r="A634">
        <v>32</v>
      </c>
      <c r="B634">
        <v>30.5</v>
      </c>
    </row>
    <row r="635" spans="1:2" x14ac:dyDescent="0.2">
      <c r="B635">
        <v>0</v>
      </c>
    </row>
    <row r="636" spans="1:2" x14ac:dyDescent="0.2">
      <c r="A636">
        <v>9</v>
      </c>
      <c r="B636">
        <v>27.9</v>
      </c>
    </row>
    <row r="637" spans="1:2" x14ac:dyDescent="0.2">
      <c r="A637">
        <v>28</v>
      </c>
      <c r="B637">
        <v>13</v>
      </c>
    </row>
    <row r="638" spans="1:2" x14ac:dyDescent="0.2">
      <c r="A638">
        <v>32</v>
      </c>
      <c r="B638">
        <v>7.9249999999999998</v>
      </c>
    </row>
    <row r="639" spans="1:2" x14ac:dyDescent="0.2">
      <c r="A639">
        <v>31</v>
      </c>
      <c r="B639">
        <v>26.25</v>
      </c>
    </row>
    <row r="640" spans="1:2" x14ac:dyDescent="0.2">
      <c r="A640">
        <v>41</v>
      </c>
      <c r="B640">
        <v>39.6875</v>
      </c>
    </row>
    <row r="641" spans="1:2" x14ac:dyDescent="0.2">
      <c r="B641">
        <v>16.100000000000001</v>
      </c>
    </row>
    <row r="642" spans="1:2" x14ac:dyDescent="0.2">
      <c r="A642">
        <v>20</v>
      </c>
      <c r="B642">
        <v>7.8541999999999996</v>
      </c>
    </row>
    <row r="643" spans="1:2" x14ac:dyDescent="0.2">
      <c r="A643">
        <v>24</v>
      </c>
      <c r="B643">
        <v>69.3</v>
      </c>
    </row>
    <row r="644" spans="1:2" x14ac:dyDescent="0.2">
      <c r="A644">
        <v>2</v>
      </c>
      <c r="B644">
        <v>27.9</v>
      </c>
    </row>
    <row r="645" spans="1:2" x14ac:dyDescent="0.2">
      <c r="B645">
        <v>56.495800000000003</v>
      </c>
    </row>
    <row r="646" spans="1:2" x14ac:dyDescent="0.2">
      <c r="A646">
        <v>0.75</v>
      </c>
      <c r="B646">
        <v>19.258299999999998</v>
      </c>
    </row>
    <row r="647" spans="1:2" x14ac:dyDescent="0.2">
      <c r="A647">
        <v>48</v>
      </c>
      <c r="B647">
        <v>76.729200000000006</v>
      </c>
    </row>
    <row r="648" spans="1:2" x14ac:dyDescent="0.2">
      <c r="A648">
        <v>19</v>
      </c>
      <c r="B648">
        <v>7.8958000000000004</v>
      </c>
    </row>
    <row r="649" spans="1:2" x14ac:dyDescent="0.2">
      <c r="A649">
        <v>56</v>
      </c>
      <c r="B649">
        <v>35.5</v>
      </c>
    </row>
    <row r="650" spans="1:2" x14ac:dyDescent="0.2">
      <c r="B650">
        <v>7.55</v>
      </c>
    </row>
    <row r="651" spans="1:2" x14ac:dyDescent="0.2">
      <c r="A651">
        <v>23</v>
      </c>
      <c r="B651">
        <v>7.55</v>
      </c>
    </row>
    <row r="652" spans="1:2" x14ac:dyDescent="0.2">
      <c r="B652">
        <v>7.8958000000000004</v>
      </c>
    </row>
    <row r="653" spans="1:2" x14ac:dyDescent="0.2">
      <c r="A653">
        <v>18</v>
      </c>
      <c r="B653">
        <v>23</v>
      </c>
    </row>
    <row r="654" spans="1:2" x14ac:dyDescent="0.2">
      <c r="A654">
        <v>21</v>
      </c>
      <c r="B654">
        <v>8.4332999999999991</v>
      </c>
    </row>
    <row r="655" spans="1:2" x14ac:dyDescent="0.2">
      <c r="B655">
        <v>7.8292000000000002</v>
      </c>
    </row>
    <row r="656" spans="1:2" x14ac:dyDescent="0.2">
      <c r="A656">
        <v>18</v>
      </c>
      <c r="B656">
        <v>6.75</v>
      </c>
    </row>
    <row r="657" spans="1:2" x14ac:dyDescent="0.2">
      <c r="A657">
        <v>24</v>
      </c>
      <c r="B657">
        <v>73.5</v>
      </c>
    </row>
    <row r="658" spans="1:2" x14ac:dyDescent="0.2">
      <c r="B658">
        <v>7.8958000000000004</v>
      </c>
    </row>
    <row r="659" spans="1:2" x14ac:dyDescent="0.2">
      <c r="A659">
        <v>32</v>
      </c>
      <c r="B659">
        <v>15.5</v>
      </c>
    </row>
    <row r="660" spans="1:2" x14ac:dyDescent="0.2">
      <c r="A660">
        <v>23</v>
      </c>
      <c r="B660">
        <v>13</v>
      </c>
    </row>
    <row r="661" spans="1:2" x14ac:dyDescent="0.2">
      <c r="A661">
        <v>58</v>
      </c>
      <c r="B661">
        <v>113.27500000000001</v>
      </c>
    </row>
    <row r="662" spans="1:2" x14ac:dyDescent="0.2">
      <c r="A662">
        <v>50</v>
      </c>
      <c r="B662">
        <v>133.65</v>
      </c>
    </row>
    <row r="663" spans="1:2" x14ac:dyDescent="0.2">
      <c r="A663">
        <v>40</v>
      </c>
      <c r="B663">
        <v>7.2249999999999996</v>
      </c>
    </row>
    <row r="664" spans="1:2" x14ac:dyDescent="0.2">
      <c r="A664">
        <v>47</v>
      </c>
      <c r="B664">
        <v>25.587499999999999</v>
      </c>
    </row>
    <row r="665" spans="1:2" x14ac:dyDescent="0.2">
      <c r="A665">
        <v>36</v>
      </c>
      <c r="B665">
        <v>7.4958</v>
      </c>
    </row>
    <row r="666" spans="1:2" x14ac:dyDescent="0.2">
      <c r="A666">
        <v>20</v>
      </c>
      <c r="B666">
        <v>7.9249999999999998</v>
      </c>
    </row>
    <row r="667" spans="1:2" x14ac:dyDescent="0.2">
      <c r="A667">
        <v>32</v>
      </c>
      <c r="B667">
        <v>73.5</v>
      </c>
    </row>
    <row r="668" spans="1:2" x14ac:dyDescent="0.2">
      <c r="A668">
        <v>25</v>
      </c>
      <c r="B668">
        <v>13</v>
      </c>
    </row>
    <row r="669" spans="1:2" x14ac:dyDescent="0.2">
      <c r="B669">
        <v>7.7750000000000004</v>
      </c>
    </row>
    <row r="670" spans="1:2" x14ac:dyDescent="0.2">
      <c r="A670">
        <v>43</v>
      </c>
      <c r="B670">
        <v>8.0500000000000007</v>
      </c>
    </row>
    <row r="671" spans="1:2" x14ac:dyDescent="0.2">
      <c r="B671">
        <v>52</v>
      </c>
    </row>
    <row r="672" spans="1:2" x14ac:dyDescent="0.2">
      <c r="A672">
        <v>40</v>
      </c>
      <c r="B672">
        <v>39</v>
      </c>
    </row>
    <row r="673" spans="1:2" x14ac:dyDescent="0.2">
      <c r="A673">
        <v>31</v>
      </c>
      <c r="B673">
        <v>52</v>
      </c>
    </row>
    <row r="674" spans="1:2" x14ac:dyDescent="0.2">
      <c r="A674">
        <v>70</v>
      </c>
      <c r="B674">
        <v>10.5</v>
      </c>
    </row>
    <row r="675" spans="1:2" x14ac:dyDescent="0.2">
      <c r="A675">
        <v>31</v>
      </c>
      <c r="B675">
        <v>13</v>
      </c>
    </row>
    <row r="676" spans="1:2" x14ac:dyDescent="0.2">
      <c r="B676">
        <v>0</v>
      </c>
    </row>
    <row r="677" spans="1:2" x14ac:dyDescent="0.2">
      <c r="A677">
        <v>18</v>
      </c>
      <c r="B677">
        <v>7.7750000000000004</v>
      </c>
    </row>
    <row r="678" spans="1:2" x14ac:dyDescent="0.2">
      <c r="A678">
        <v>24.5</v>
      </c>
      <c r="B678">
        <v>8.0500000000000007</v>
      </c>
    </row>
    <row r="679" spans="1:2" x14ac:dyDescent="0.2">
      <c r="A679">
        <v>18</v>
      </c>
      <c r="B679">
        <v>9.8416999999999994</v>
      </c>
    </row>
    <row r="680" spans="1:2" x14ac:dyDescent="0.2">
      <c r="A680">
        <v>43</v>
      </c>
      <c r="B680">
        <v>46.9</v>
      </c>
    </row>
    <row r="681" spans="1:2" x14ac:dyDescent="0.2">
      <c r="A681">
        <v>36</v>
      </c>
      <c r="B681">
        <v>512.32920000000001</v>
      </c>
    </row>
    <row r="682" spans="1:2" x14ac:dyDescent="0.2">
      <c r="B682">
        <v>8.1374999999999993</v>
      </c>
    </row>
    <row r="683" spans="1:2" x14ac:dyDescent="0.2">
      <c r="A683">
        <v>27</v>
      </c>
      <c r="B683">
        <v>76.729200000000006</v>
      </c>
    </row>
    <row r="684" spans="1:2" x14ac:dyDescent="0.2">
      <c r="A684">
        <v>20</v>
      </c>
      <c r="B684">
        <v>9.2249999999999996</v>
      </c>
    </row>
    <row r="685" spans="1:2" x14ac:dyDescent="0.2">
      <c r="A685">
        <v>14</v>
      </c>
      <c r="B685">
        <v>46.9</v>
      </c>
    </row>
    <row r="686" spans="1:2" x14ac:dyDescent="0.2">
      <c r="A686">
        <v>60</v>
      </c>
      <c r="B686">
        <v>39</v>
      </c>
    </row>
    <row r="687" spans="1:2" x14ac:dyDescent="0.2">
      <c r="A687">
        <v>25</v>
      </c>
      <c r="B687">
        <v>41.5792</v>
      </c>
    </row>
    <row r="688" spans="1:2" x14ac:dyDescent="0.2">
      <c r="A688">
        <v>14</v>
      </c>
      <c r="B688">
        <v>39.6875</v>
      </c>
    </row>
    <row r="689" spans="1:2" x14ac:dyDescent="0.2">
      <c r="A689">
        <v>19</v>
      </c>
      <c r="B689">
        <v>10.1708</v>
      </c>
    </row>
    <row r="690" spans="1:2" x14ac:dyDescent="0.2">
      <c r="A690">
        <v>18</v>
      </c>
      <c r="B690">
        <v>7.7957999999999998</v>
      </c>
    </row>
    <row r="691" spans="1:2" x14ac:dyDescent="0.2">
      <c r="A691">
        <v>15</v>
      </c>
      <c r="B691">
        <v>211.33750000000001</v>
      </c>
    </row>
    <row r="692" spans="1:2" x14ac:dyDescent="0.2">
      <c r="A692">
        <v>31</v>
      </c>
      <c r="B692">
        <v>57</v>
      </c>
    </row>
    <row r="693" spans="1:2" x14ac:dyDescent="0.2">
      <c r="A693">
        <v>4</v>
      </c>
      <c r="B693">
        <v>13.416700000000001</v>
      </c>
    </row>
    <row r="694" spans="1:2" x14ac:dyDescent="0.2">
      <c r="B694">
        <v>56.495800000000003</v>
      </c>
    </row>
    <row r="695" spans="1:2" x14ac:dyDescent="0.2">
      <c r="A695">
        <v>25</v>
      </c>
      <c r="B695">
        <v>7.2249999999999996</v>
      </c>
    </row>
    <row r="696" spans="1:2" x14ac:dyDescent="0.2">
      <c r="A696">
        <v>60</v>
      </c>
      <c r="B696">
        <v>26.55</v>
      </c>
    </row>
    <row r="697" spans="1:2" x14ac:dyDescent="0.2">
      <c r="A697">
        <v>52</v>
      </c>
      <c r="B697">
        <v>13.5</v>
      </c>
    </row>
    <row r="698" spans="1:2" x14ac:dyDescent="0.2">
      <c r="A698">
        <v>44</v>
      </c>
      <c r="B698">
        <v>8.0500000000000007</v>
      </c>
    </row>
    <row r="699" spans="1:2" x14ac:dyDescent="0.2">
      <c r="B699">
        <v>7.7332999999999998</v>
      </c>
    </row>
    <row r="700" spans="1:2" x14ac:dyDescent="0.2">
      <c r="A700">
        <v>49</v>
      </c>
      <c r="B700">
        <v>110.88330000000001</v>
      </c>
    </row>
    <row r="701" spans="1:2" x14ac:dyDescent="0.2">
      <c r="A701">
        <v>42</v>
      </c>
      <c r="B701">
        <v>7.65</v>
      </c>
    </row>
    <row r="702" spans="1:2" x14ac:dyDescent="0.2">
      <c r="A702">
        <v>18</v>
      </c>
      <c r="B702">
        <v>227.52500000000001</v>
      </c>
    </row>
    <row r="703" spans="1:2" x14ac:dyDescent="0.2">
      <c r="A703">
        <v>35</v>
      </c>
      <c r="B703">
        <v>26.287500000000001</v>
      </c>
    </row>
    <row r="704" spans="1:2" x14ac:dyDescent="0.2">
      <c r="A704">
        <v>18</v>
      </c>
      <c r="B704">
        <v>14.4542</v>
      </c>
    </row>
    <row r="705" spans="1:2" x14ac:dyDescent="0.2">
      <c r="A705">
        <v>25</v>
      </c>
      <c r="B705">
        <v>7.7416999999999998</v>
      </c>
    </row>
    <row r="706" spans="1:2" x14ac:dyDescent="0.2">
      <c r="A706">
        <v>26</v>
      </c>
      <c r="B706">
        <v>7.8541999999999996</v>
      </c>
    </row>
    <row r="707" spans="1:2" x14ac:dyDescent="0.2">
      <c r="A707">
        <v>39</v>
      </c>
      <c r="B707">
        <v>26</v>
      </c>
    </row>
    <row r="708" spans="1:2" x14ac:dyDescent="0.2">
      <c r="A708">
        <v>45</v>
      </c>
      <c r="B708">
        <v>13.5</v>
      </c>
    </row>
    <row r="709" spans="1:2" x14ac:dyDescent="0.2">
      <c r="A709">
        <v>42</v>
      </c>
      <c r="B709">
        <v>26.287500000000001</v>
      </c>
    </row>
    <row r="710" spans="1:2" x14ac:dyDescent="0.2">
      <c r="A710">
        <v>22</v>
      </c>
      <c r="B710">
        <v>151.55000000000001</v>
      </c>
    </row>
    <row r="711" spans="1:2" x14ac:dyDescent="0.2">
      <c r="B711">
        <v>15.245799999999999</v>
      </c>
    </row>
    <row r="712" spans="1:2" x14ac:dyDescent="0.2">
      <c r="A712">
        <v>24</v>
      </c>
      <c r="B712">
        <v>49.504199999999997</v>
      </c>
    </row>
    <row r="713" spans="1:2" x14ac:dyDescent="0.2">
      <c r="B713">
        <v>26.55</v>
      </c>
    </row>
    <row r="714" spans="1:2" x14ac:dyDescent="0.2">
      <c r="A714">
        <v>48</v>
      </c>
      <c r="B714">
        <v>52</v>
      </c>
    </row>
    <row r="715" spans="1:2" x14ac:dyDescent="0.2">
      <c r="A715">
        <v>29</v>
      </c>
      <c r="B715">
        <v>9.4832999999999998</v>
      </c>
    </row>
    <row r="716" spans="1:2" x14ac:dyDescent="0.2">
      <c r="A716">
        <v>52</v>
      </c>
      <c r="B716">
        <v>13</v>
      </c>
    </row>
    <row r="717" spans="1:2" x14ac:dyDescent="0.2">
      <c r="A717">
        <v>19</v>
      </c>
      <c r="B717">
        <v>7.65</v>
      </c>
    </row>
    <row r="718" spans="1:2" x14ac:dyDescent="0.2">
      <c r="A718">
        <v>38</v>
      </c>
      <c r="B718">
        <v>227.52500000000001</v>
      </c>
    </row>
    <row r="719" spans="1:2" x14ac:dyDescent="0.2">
      <c r="A719">
        <v>27</v>
      </c>
      <c r="B719">
        <v>10.5</v>
      </c>
    </row>
    <row r="720" spans="1:2" x14ac:dyDescent="0.2">
      <c r="B720">
        <v>15.5</v>
      </c>
    </row>
    <row r="721" spans="1:2" x14ac:dyDescent="0.2">
      <c r="A721">
        <v>33</v>
      </c>
      <c r="B721">
        <v>7.7750000000000004</v>
      </c>
    </row>
    <row r="722" spans="1:2" x14ac:dyDescent="0.2">
      <c r="A722">
        <v>6</v>
      </c>
      <c r="B722">
        <v>33</v>
      </c>
    </row>
    <row r="723" spans="1:2" x14ac:dyDescent="0.2">
      <c r="A723">
        <v>17</v>
      </c>
      <c r="B723">
        <v>7.0541999999999998</v>
      </c>
    </row>
    <row r="724" spans="1:2" x14ac:dyDescent="0.2">
      <c r="A724">
        <v>34</v>
      </c>
      <c r="B724">
        <v>13</v>
      </c>
    </row>
    <row r="725" spans="1:2" x14ac:dyDescent="0.2">
      <c r="A725">
        <v>50</v>
      </c>
      <c r="B725">
        <v>13</v>
      </c>
    </row>
    <row r="726" spans="1:2" x14ac:dyDescent="0.2">
      <c r="A726">
        <v>27</v>
      </c>
      <c r="B726">
        <v>53.1</v>
      </c>
    </row>
    <row r="727" spans="1:2" x14ac:dyDescent="0.2">
      <c r="A727">
        <v>20</v>
      </c>
      <c r="B727">
        <v>8.6624999999999996</v>
      </c>
    </row>
    <row r="728" spans="1:2" x14ac:dyDescent="0.2">
      <c r="A728">
        <v>30</v>
      </c>
      <c r="B728">
        <v>21</v>
      </c>
    </row>
    <row r="729" spans="1:2" x14ac:dyDescent="0.2">
      <c r="B729">
        <v>7.7374999999999998</v>
      </c>
    </row>
    <row r="730" spans="1:2" x14ac:dyDescent="0.2">
      <c r="A730">
        <v>25</v>
      </c>
      <c r="B730">
        <v>26</v>
      </c>
    </row>
    <row r="731" spans="1:2" x14ac:dyDescent="0.2">
      <c r="A731">
        <v>25</v>
      </c>
      <c r="B731">
        <v>7.9249999999999998</v>
      </c>
    </row>
    <row r="732" spans="1:2" x14ac:dyDescent="0.2">
      <c r="A732">
        <v>29</v>
      </c>
      <c r="B732">
        <v>211.33750000000001</v>
      </c>
    </row>
    <row r="733" spans="1:2" x14ac:dyDescent="0.2">
      <c r="A733">
        <v>11</v>
      </c>
      <c r="B733">
        <v>18.787500000000001</v>
      </c>
    </row>
    <row r="734" spans="1:2" x14ac:dyDescent="0.2">
      <c r="B734">
        <v>0</v>
      </c>
    </row>
    <row r="735" spans="1:2" x14ac:dyDescent="0.2">
      <c r="A735">
        <v>23</v>
      </c>
      <c r="B735">
        <v>13</v>
      </c>
    </row>
    <row r="736" spans="1:2" x14ac:dyDescent="0.2">
      <c r="A736">
        <v>23</v>
      </c>
      <c r="B736">
        <v>13</v>
      </c>
    </row>
    <row r="737" spans="1:2" x14ac:dyDescent="0.2">
      <c r="A737">
        <v>28.5</v>
      </c>
      <c r="B737">
        <v>16.100000000000001</v>
      </c>
    </row>
    <row r="738" spans="1:2" x14ac:dyDescent="0.2">
      <c r="A738">
        <v>48</v>
      </c>
      <c r="B738">
        <v>34.375</v>
      </c>
    </row>
    <row r="739" spans="1:2" x14ac:dyDescent="0.2">
      <c r="A739">
        <v>35</v>
      </c>
      <c r="B739">
        <v>512.32920000000001</v>
      </c>
    </row>
    <row r="740" spans="1:2" x14ac:dyDescent="0.2">
      <c r="B740">
        <v>7.8958000000000004</v>
      </c>
    </row>
    <row r="741" spans="1:2" x14ac:dyDescent="0.2">
      <c r="B741">
        <v>7.8958000000000004</v>
      </c>
    </row>
    <row r="742" spans="1:2" x14ac:dyDescent="0.2">
      <c r="B742">
        <v>30</v>
      </c>
    </row>
    <row r="743" spans="1:2" x14ac:dyDescent="0.2">
      <c r="A743">
        <v>36</v>
      </c>
      <c r="B743">
        <v>78.849999999999994</v>
      </c>
    </row>
    <row r="744" spans="1:2" x14ac:dyDescent="0.2">
      <c r="A744">
        <v>21</v>
      </c>
      <c r="B744">
        <v>262.375</v>
      </c>
    </row>
    <row r="745" spans="1:2" x14ac:dyDescent="0.2">
      <c r="A745">
        <v>24</v>
      </c>
      <c r="B745">
        <v>16.100000000000001</v>
      </c>
    </row>
    <row r="746" spans="1:2" x14ac:dyDescent="0.2">
      <c r="A746">
        <v>31</v>
      </c>
      <c r="B746">
        <v>7.9249999999999998</v>
      </c>
    </row>
    <row r="747" spans="1:2" x14ac:dyDescent="0.2">
      <c r="A747">
        <v>70</v>
      </c>
      <c r="B747">
        <v>71</v>
      </c>
    </row>
    <row r="748" spans="1:2" x14ac:dyDescent="0.2">
      <c r="A748">
        <v>16</v>
      </c>
      <c r="B748">
        <v>20.25</v>
      </c>
    </row>
    <row r="749" spans="1:2" x14ac:dyDescent="0.2">
      <c r="A749">
        <v>30</v>
      </c>
      <c r="B749">
        <v>13</v>
      </c>
    </row>
    <row r="750" spans="1:2" x14ac:dyDescent="0.2">
      <c r="A750">
        <v>19</v>
      </c>
      <c r="B750">
        <v>53.1</v>
      </c>
    </row>
    <row r="751" spans="1:2" x14ac:dyDescent="0.2">
      <c r="A751">
        <v>31</v>
      </c>
      <c r="B751">
        <v>7.75</v>
      </c>
    </row>
    <row r="752" spans="1:2" x14ac:dyDescent="0.2">
      <c r="A752">
        <v>4</v>
      </c>
      <c r="B752">
        <v>23</v>
      </c>
    </row>
    <row r="753" spans="1:2" x14ac:dyDescent="0.2">
      <c r="A753">
        <v>6</v>
      </c>
      <c r="B753">
        <v>12.475</v>
      </c>
    </row>
    <row r="754" spans="1:2" x14ac:dyDescent="0.2">
      <c r="A754">
        <v>33</v>
      </c>
      <c r="B754">
        <v>9.5</v>
      </c>
    </row>
    <row r="755" spans="1:2" x14ac:dyDescent="0.2">
      <c r="A755">
        <v>23</v>
      </c>
      <c r="B755">
        <v>7.8958000000000004</v>
      </c>
    </row>
    <row r="756" spans="1:2" x14ac:dyDescent="0.2">
      <c r="A756">
        <v>48</v>
      </c>
      <c r="B756">
        <v>65</v>
      </c>
    </row>
    <row r="757" spans="1:2" x14ac:dyDescent="0.2">
      <c r="A757">
        <v>0.67</v>
      </c>
      <c r="B757">
        <v>14.5</v>
      </c>
    </row>
    <row r="758" spans="1:2" x14ac:dyDescent="0.2">
      <c r="A758">
        <v>28</v>
      </c>
      <c r="B758">
        <v>7.7957999999999998</v>
      </c>
    </row>
    <row r="759" spans="1:2" x14ac:dyDescent="0.2">
      <c r="A759">
        <v>18</v>
      </c>
      <c r="B759">
        <v>11.5</v>
      </c>
    </row>
    <row r="760" spans="1:2" x14ac:dyDescent="0.2">
      <c r="A760">
        <v>34</v>
      </c>
      <c r="B760">
        <v>8.0500000000000007</v>
      </c>
    </row>
    <row r="761" spans="1:2" x14ac:dyDescent="0.2">
      <c r="A761">
        <v>33</v>
      </c>
      <c r="B761">
        <v>86.5</v>
      </c>
    </row>
    <row r="762" spans="1:2" x14ac:dyDescent="0.2">
      <c r="B762">
        <v>14.5</v>
      </c>
    </row>
    <row r="763" spans="1:2" x14ac:dyDescent="0.2">
      <c r="A763">
        <v>41</v>
      </c>
      <c r="B763">
        <v>7.125</v>
      </c>
    </row>
    <row r="764" spans="1:2" x14ac:dyDescent="0.2">
      <c r="A764">
        <v>20</v>
      </c>
      <c r="B764">
        <v>7.2291999999999996</v>
      </c>
    </row>
    <row r="765" spans="1:2" x14ac:dyDescent="0.2">
      <c r="A765">
        <v>36</v>
      </c>
      <c r="B765">
        <v>120</v>
      </c>
    </row>
    <row r="766" spans="1:2" x14ac:dyDescent="0.2">
      <c r="A766">
        <v>16</v>
      </c>
      <c r="B766">
        <v>7.7750000000000004</v>
      </c>
    </row>
    <row r="767" spans="1:2" x14ac:dyDescent="0.2">
      <c r="A767">
        <v>51</v>
      </c>
      <c r="B767">
        <v>77.958299999999994</v>
      </c>
    </row>
    <row r="768" spans="1:2" x14ac:dyDescent="0.2">
      <c r="B768">
        <v>39.6</v>
      </c>
    </row>
    <row r="769" spans="1:2" x14ac:dyDescent="0.2">
      <c r="A769">
        <v>30.5</v>
      </c>
      <c r="B769">
        <v>7.75</v>
      </c>
    </row>
    <row r="770" spans="1:2" x14ac:dyDescent="0.2">
      <c r="B770">
        <v>24.15</v>
      </c>
    </row>
    <row r="771" spans="1:2" x14ac:dyDescent="0.2">
      <c r="A771">
        <v>32</v>
      </c>
      <c r="B771">
        <v>8.3625000000000007</v>
      </c>
    </row>
    <row r="772" spans="1:2" x14ac:dyDescent="0.2">
      <c r="A772">
        <v>24</v>
      </c>
      <c r="B772">
        <v>9.5</v>
      </c>
    </row>
    <row r="773" spans="1:2" x14ac:dyDescent="0.2">
      <c r="A773">
        <v>48</v>
      </c>
      <c r="B773">
        <v>7.8541999999999996</v>
      </c>
    </row>
    <row r="774" spans="1:2" x14ac:dyDescent="0.2">
      <c r="A774">
        <v>57</v>
      </c>
      <c r="B774">
        <v>10.5</v>
      </c>
    </row>
    <row r="775" spans="1:2" x14ac:dyDescent="0.2">
      <c r="B775">
        <v>7.2249999999999996</v>
      </c>
    </row>
    <row r="776" spans="1:2" x14ac:dyDescent="0.2">
      <c r="A776">
        <v>54</v>
      </c>
      <c r="B776">
        <v>23</v>
      </c>
    </row>
    <row r="777" spans="1:2" x14ac:dyDescent="0.2">
      <c r="A777">
        <v>18</v>
      </c>
      <c r="B777">
        <v>7.75</v>
      </c>
    </row>
    <row r="778" spans="1:2" x14ac:dyDescent="0.2">
      <c r="B778">
        <v>7.75</v>
      </c>
    </row>
    <row r="779" spans="1:2" x14ac:dyDescent="0.2">
      <c r="A779">
        <v>5</v>
      </c>
      <c r="B779">
        <v>12.475</v>
      </c>
    </row>
    <row r="780" spans="1:2" x14ac:dyDescent="0.2">
      <c r="B780">
        <v>7.7374999999999998</v>
      </c>
    </row>
    <row r="781" spans="1:2" x14ac:dyDescent="0.2">
      <c r="A781">
        <v>43</v>
      </c>
      <c r="B781">
        <v>211.33750000000001</v>
      </c>
    </row>
    <row r="782" spans="1:2" x14ac:dyDescent="0.2">
      <c r="A782">
        <v>13</v>
      </c>
      <c r="B782">
        <v>7.2291999999999996</v>
      </c>
    </row>
    <row r="783" spans="1:2" x14ac:dyDescent="0.2">
      <c r="A783">
        <v>17</v>
      </c>
      <c r="B783">
        <v>57</v>
      </c>
    </row>
    <row r="784" spans="1:2" x14ac:dyDescent="0.2">
      <c r="A784">
        <v>29</v>
      </c>
      <c r="B784">
        <v>30</v>
      </c>
    </row>
    <row r="785" spans="1:2" x14ac:dyDescent="0.2">
      <c r="B785">
        <v>23.45</v>
      </c>
    </row>
    <row r="786" spans="1:2" x14ac:dyDescent="0.2">
      <c r="A786">
        <v>25</v>
      </c>
      <c r="B786">
        <v>7.05</v>
      </c>
    </row>
    <row r="787" spans="1:2" x14ac:dyDescent="0.2">
      <c r="A787">
        <v>25</v>
      </c>
      <c r="B787">
        <v>7.25</v>
      </c>
    </row>
    <row r="788" spans="1:2" x14ac:dyDescent="0.2">
      <c r="A788">
        <v>18</v>
      </c>
      <c r="B788">
        <v>7.4958</v>
      </c>
    </row>
    <row r="789" spans="1:2" x14ac:dyDescent="0.2">
      <c r="A789">
        <v>8</v>
      </c>
      <c r="B789">
        <v>29.125</v>
      </c>
    </row>
    <row r="790" spans="1:2" x14ac:dyDescent="0.2">
      <c r="A790">
        <v>1</v>
      </c>
      <c r="B790">
        <v>20.574999999999999</v>
      </c>
    </row>
    <row r="791" spans="1:2" x14ac:dyDescent="0.2">
      <c r="A791">
        <v>46</v>
      </c>
      <c r="B791">
        <v>79.2</v>
      </c>
    </row>
    <row r="792" spans="1:2" x14ac:dyDescent="0.2">
      <c r="B792">
        <v>7.75</v>
      </c>
    </row>
    <row r="793" spans="1:2" x14ac:dyDescent="0.2">
      <c r="A793">
        <v>16</v>
      </c>
      <c r="B793">
        <v>26</v>
      </c>
    </row>
    <row r="794" spans="1:2" x14ac:dyDescent="0.2">
      <c r="B794">
        <v>69.55</v>
      </c>
    </row>
    <row r="795" spans="1:2" x14ac:dyDescent="0.2">
      <c r="B795">
        <v>30.695799999999998</v>
      </c>
    </row>
    <row r="796" spans="1:2" x14ac:dyDescent="0.2">
      <c r="A796">
        <v>25</v>
      </c>
      <c r="B796">
        <v>7.8958000000000004</v>
      </c>
    </row>
    <row r="797" spans="1:2" x14ac:dyDescent="0.2">
      <c r="A797">
        <v>39</v>
      </c>
      <c r="B797">
        <v>13</v>
      </c>
    </row>
    <row r="798" spans="1:2" x14ac:dyDescent="0.2">
      <c r="A798">
        <v>49</v>
      </c>
      <c r="B798">
        <v>25.929200000000002</v>
      </c>
    </row>
    <row r="799" spans="1:2" x14ac:dyDescent="0.2">
      <c r="A799">
        <v>31</v>
      </c>
      <c r="B799">
        <v>8.6832999999999991</v>
      </c>
    </row>
    <row r="800" spans="1:2" x14ac:dyDescent="0.2">
      <c r="A800">
        <v>30</v>
      </c>
      <c r="B800">
        <v>7.2291999999999996</v>
      </c>
    </row>
    <row r="801" spans="1:2" x14ac:dyDescent="0.2">
      <c r="A801">
        <v>30</v>
      </c>
      <c r="B801">
        <v>24.15</v>
      </c>
    </row>
    <row r="802" spans="1:2" x14ac:dyDescent="0.2">
      <c r="A802">
        <v>34</v>
      </c>
      <c r="B802">
        <v>13</v>
      </c>
    </row>
    <row r="803" spans="1:2" x14ac:dyDescent="0.2">
      <c r="A803">
        <v>31</v>
      </c>
      <c r="B803">
        <v>26.25</v>
      </c>
    </row>
    <row r="804" spans="1:2" x14ac:dyDescent="0.2">
      <c r="A804">
        <v>11</v>
      </c>
      <c r="B804">
        <v>120</v>
      </c>
    </row>
    <row r="805" spans="1:2" x14ac:dyDescent="0.2">
      <c r="A805">
        <v>0.42</v>
      </c>
      <c r="B805">
        <v>8.5167000000000002</v>
      </c>
    </row>
    <row r="806" spans="1:2" x14ac:dyDescent="0.2">
      <c r="A806">
        <v>27</v>
      </c>
      <c r="B806">
        <v>6.9749999999999996</v>
      </c>
    </row>
    <row r="807" spans="1:2" x14ac:dyDescent="0.2">
      <c r="A807">
        <v>31</v>
      </c>
      <c r="B807">
        <v>7.7750000000000004</v>
      </c>
    </row>
    <row r="808" spans="1:2" x14ac:dyDescent="0.2">
      <c r="A808">
        <v>39</v>
      </c>
      <c r="B808">
        <v>0</v>
      </c>
    </row>
    <row r="809" spans="1:2" x14ac:dyDescent="0.2">
      <c r="A809">
        <v>18</v>
      </c>
      <c r="B809">
        <v>7.7750000000000004</v>
      </c>
    </row>
    <row r="810" spans="1:2" x14ac:dyDescent="0.2">
      <c r="A810">
        <v>39</v>
      </c>
      <c r="B810">
        <v>13</v>
      </c>
    </row>
    <row r="811" spans="1:2" x14ac:dyDescent="0.2">
      <c r="A811">
        <v>33</v>
      </c>
      <c r="B811">
        <v>53.1</v>
      </c>
    </row>
    <row r="812" spans="1:2" x14ac:dyDescent="0.2">
      <c r="A812">
        <v>26</v>
      </c>
      <c r="B812">
        <v>7.8875000000000002</v>
      </c>
    </row>
    <row r="813" spans="1:2" x14ac:dyDescent="0.2">
      <c r="A813">
        <v>39</v>
      </c>
      <c r="B813">
        <v>24.15</v>
      </c>
    </row>
    <row r="814" spans="1:2" x14ac:dyDescent="0.2">
      <c r="A814">
        <v>35</v>
      </c>
      <c r="B814">
        <v>10.5</v>
      </c>
    </row>
    <row r="815" spans="1:2" x14ac:dyDescent="0.2">
      <c r="A815">
        <v>6</v>
      </c>
      <c r="B815">
        <v>31.274999999999999</v>
      </c>
    </row>
    <row r="816" spans="1:2" x14ac:dyDescent="0.2">
      <c r="A816">
        <v>30.5</v>
      </c>
      <c r="B816">
        <v>8.0500000000000007</v>
      </c>
    </row>
    <row r="817" spans="1:2" x14ac:dyDescent="0.2">
      <c r="B817">
        <v>0</v>
      </c>
    </row>
    <row r="818" spans="1:2" x14ac:dyDescent="0.2">
      <c r="A818">
        <v>23</v>
      </c>
      <c r="B818">
        <v>7.9249999999999998</v>
      </c>
    </row>
    <row r="819" spans="1:2" x14ac:dyDescent="0.2">
      <c r="A819">
        <v>31</v>
      </c>
      <c r="B819">
        <v>37.004199999999997</v>
      </c>
    </row>
    <row r="820" spans="1:2" x14ac:dyDescent="0.2">
      <c r="A820">
        <v>43</v>
      </c>
      <c r="B820">
        <v>6.45</v>
      </c>
    </row>
    <row r="821" spans="1:2" x14ac:dyDescent="0.2">
      <c r="A821">
        <v>10</v>
      </c>
      <c r="B821">
        <v>27.9</v>
      </c>
    </row>
    <row r="822" spans="1:2" x14ac:dyDescent="0.2">
      <c r="A822">
        <v>52</v>
      </c>
      <c r="B822">
        <v>93.5</v>
      </c>
    </row>
    <row r="823" spans="1:2" x14ac:dyDescent="0.2">
      <c r="A823">
        <v>27</v>
      </c>
      <c r="B823">
        <v>8.6624999999999996</v>
      </c>
    </row>
    <row r="824" spans="1:2" x14ac:dyDescent="0.2">
      <c r="A824">
        <v>38</v>
      </c>
      <c r="B824">
        <v>0</v>
      </c>
    </row>
    <row r="825" spans="1:2" x14ac:dyDescent="0.2">
      <c r="A825">
        <v>27</v>
      </c>
      <c r="B825">
        <v>12.475</v>
      </c>
    </row>
    <row r="826" spans="1:2" x14ac:dyDescent="0.2">
      <c r="A826">
        <v>2</v>
      </c>
      <c r="B826">
        <v>39.6875</v>
      </c>
    </row>
    <row r="827" spans="1:2" x14ac:dyDescent="0.2">
      <c r="B827">
        <v>6.95</v>
      </c>
    </row>
    <row r="828" spans="1:2" x14ac:dyDescent="0.2">
      <c r="B828">
        <v>56.495800000000003</v>
      </c>
    </row>
    <row r="829" spans="1:2" x14ac:dyDescent="0.2">
      <c r="A829">
        <v>1</v>
      </c>
      <c r="B829">
        <v>37.004199999999997</v>
      </c>
    </row>
    <row r="830" spans="1:2" x14ac:dyDescent="0.2">
      <c r="B830">
        <v>7.75</v>
      </c>
    </row>
    <row r="831" spans="1:2" x14ac:dyDescent="0.2">
      <c r="A831">
        <v>62</v>
      </c>
      <c r="B831">
        <v>80</v>
      </c>
    </row>
    <row r="832" spans="1:2" x14ac:dyDescent="0.2">
      <c r="A832">
        <v>15</v>
      </c>
      <c r="B832">
        <v>14.4542</v>
      </c>
    </row>
    <row r="833" spans="1:2" x14ac:dyDescent="0.2">
      <c r="A833">
        <v>0.83</v>
      </c>
      <c r="B833">
        <v>18.75</v>
      </c>
    </row>
    <row r="834" spans="1:2" x14ac:dyDescent="0.2">
      <c r="B834">
        <v>7.2291999999999996</v>
      </c>
    </row>
    <row r="835" spans="1:2" x14ac:dyDescent="0.2">
      <c r="A835">
        <v>23</v>
      </c>
      <c r="B835">
        <v>7.8541999999999996</v>
      </c>
    </row>
    <row r="836" spans="1:2" x14ac:dyDescent="0.2">
      <c r="A836">
        <v>18</v>
      </c>
      <c r="B836">
        <v>8.3000000000000007</v>
      </c>
    </row>
    <row r="837" spans="1:2" x14ac:dyDescent="0.2">
      <c r="A837">
        <v>39</v>
      </c>
      <c r="B837">
        <v>83.158299999999997</v>
      </c>
    </row>
    <row r="838" spans="1:2" x14ac:dyDescent="0.2">
      <c r="A838">
        <v>21</v>
      </c>
      <c r="B838">
        <v>8.6624999999999996</v>
      </c>
    </row>
    <row r="839" spans="1:2" x14ac:dyDescent="0.2">
      <c r="B839">
        <v>8.0500000000000007</v>
      </c>
    </row>
    <row r="840" spans="1:2" x14ac:dyDescent="0.2">
      <c r="A840">
        <v>32</v>
      </c>
      <c r="B840">
        <v>56.495800000000003</v>
      </c>
    </row>
    <row r="841" spans="1:2" x14ac:dyDescent="0.2">
      <c r="B841">
        <v>29.7</v>
      </c>
    </row>
    <row r="842" spans="1:2" x14ac:dyDescent="0.2">
      <c r="A842">
        <v>20</v>
      </c>
      <c r="B842">
        <v>7.9249999999999998</v>
      </c>
    </row>
    <row r="843" spans="1:2" x14ac:dyDescent="0.2">
      <c r="A843">
        <v>16</v>
      </c>
      <c r="B843">
        <v>10.5</v>
      </c>
    </row>
    <row r="844" spans="1:2" x14ac:dyDescent="0.2">
      <c r="A844">
        <v>30</v>
      </c>
      <c r="B844">
        <v>31</v>
      </c>
    </row>
    <row r="845" spans="1:2" x14ac:dyDescent="0.2">
      <c r="A845">
        <v>34.5</v>
      </c>
      <c r="B845">
        <v>6.4375</v>
      </c>
    </row>
    <row r="846" spans="1:2" x14ac:dyDescent="0.2">
      <c r="A846">
        <v>17</v>
      </c>
      <c r="B846">
        <v>8.6624999999999996</v>
      </c>
    </row>
    <row r="847" spans="1:2" x14ac:dyDescent="0.2">
      <c r="A847">
        <v>42</v>
      </c>
      <c r="B847">
        <v>7.55</v>
      </c>
    </row>
    <row r="848" spans="1:2" x14ac:dyDescent="0.2">
      <c r="B848">
        <v>69.55</v>
      </c>
    </row>
    <row r="849" spans="1:2" x14ac:dyDescent="0.2">
      <c r="A849">
        <v>35</v>
      </c>
      <c r="B849">
        <v>7.8958000000000004</v>
      </c>
    </row>
    <row r="850" spans="1:2" x14ac:dyDescent="0.2">
      <c r="A850">
        <v>28</v>
      </c>
      <c r="B850">
        <v>33</v>
      </c>
    </row>
    <row r="851" spans="1:2" x14ac:dyDescent="0.2">
      <c r="B851">
        <v>89.104200000000006</v>
      </c>
    </row>
    <row r="852" spans="1:2" x14ac:dyDescent="0.2">
      <c r="A852">
        <v>4</v>
      </c>
      <c r="B852">
        <v>31.274999999999999</v>
      </c>
    </row>
    <row r="853" spans="1:2" x14ac:dyDescent="0.2">
      <c r="A853">
        <v>74</v>
      </c>
      <c r="B853">
        <v>7.7750000000000004</v>
      </c>
    </row>
    <row r="854" spans="1:2" x14ac:dyDescent="0.2">
      <c r="A854">
        <v>9</v>
      </c>
      <c r="B854">
        <v>15.245799999999999</v>
      </c>
    </row>
    <row r="855" spans="1:2" x14ac:dyDescent="0.2">
      <c r="A855">
        <v>16</v>
      </c>
      <c r="B855">
        <v>39.4</v>
      </c>
    </row>
    <row r="856" spans="1:2" x14ac:dyDescent="0.2">
      <c r="A856">
        <v>44</v>
      </c>
      <c r="B856">
        <v>26</v>
      </c>
    </row>
    <row r="857" spans="1:2" x14ac:dyDescent="0.2">
      <c r="A857">
        <v>18</v>
      </c>
      <c r="B857">
        <v>9.35</v>
      </c>
    </row>
    <row r="858" spans="1:2" x14ac:dyDescent="0.2">
      <c r="A858">
        <v>45</v>
      </c>
      <c r="B858">
        <v>164.86670000000001</v>
      </c>
    </row>
    <row r="859" spans="1:2" x14ac:dyDescent="0.2">
      <c r="A859">
        <v>51</v>
      </c>
      <c r="B859">
        <v>26.55</v>
      </c>
    </row>
    <row r="860" spans="1:2" x14ac:dyDescent="0.2">
      <c r="A860">
        <v>24</v>
      </c>
      <c r="B860">
        <v>19.258299999999998</v>
      </c>
    </row>
    <row r="861" spans="1:2" x14ac:dyDescent="0.2">
      <c r="B861">
        <v>7.2291999999999996</v>
      </c>
    </row>
    <row r="862" spans="1:2" x14ac:dyDescent="0.2">
      <c r="A862">
        <v>41</v>
      </c>
      <c r="B862">
        <v>14.1083</v>
      </c>
    </row>
    <row r="863" spans="1:2" x14ac:dyDescent="0.2">
      <c r="A863">
        <v>21</v>
      </c>
      <c r="B863">
        <v>11.5</v>
      </c>
    </row>
    <row r="864" spans="1:2" x14ac:dyDescent="0.2">
      <c r="A864">
        <v>48</v>
      </c>
      <c r="B864">
        <v>25.929200000000002</v>
      </c>
    </row>
    <row r="865" spans="1:2" x14ac:dyDescent="0.2">
      <c r="B865">
        <v>69.55</v>
      </c>
    </row>
    <row r="866" spans="1:2" x14ac:dyDescent="0.2">
      <c r="A866">
        <v>24</v>
      </c>
      <c r="B866">
        <v>13</v>
      </c>
    </row>
    <row r="867" spans="1:2" x14ac:dyDescent="0.2">
      <c r="A867">
        <v>42</v>
      </c>
      <c r="B867">
        <v>13</v>
      </c>
    </row>
    <row r="868" spans="1:2" x14ac:dyDescent="0.2">
      <c r="A868">
        <v>27</v>
      </c>
      <c r="B868">
        <v>13.8583</v>
      </c>
    </row>
    <row r="869" spans="1:2" x14ac:dyDescent="0.2">
      <c r="A869">
        <v>31</v>
      </c>
      <c r="B869">
        <v>50.495800000000003</v>
      </c>
    </row>
    <row r="870" spans="1:2" x14ac:dyDescent="0.2">
      <c r="B870">
        <v>9.5</v>
      </c>
    </row>
    <row r="871" spans="1:2" x14ac:dyDescent="0.2">
      <c r="A871">
        <v>4</v>
      </c>
      <c r="B871">
        <v>11.1333</v>
      </c>
    </row>
    <row r="872" spans="1:2" x14ac:dyDescent="0.2">
      <c r="A872">
        <v>26</v>
      </c>
      <c r="B872">
        <v>7.8958000000000004</v>
      </c>
    </row>
    <row r="873" spans="1:2" x14ac:dyDescent="0.2">
      <c r="A873">
        <v>47</v>
      </c>
      <c r="B873">
        <v>52.554200000000002</v>
      </c>
    </row>
    <row r="874" spans="1:2" x14ac:dyDescent="0.2">
      <c r="A874">
        <v>33</v>
      </c>
      <c r="B874">
        <v>5</v>
      </c>
    </row>
    <row r="875" spans="1:2" x14ac:dyDescent="0.2">
      <c r="A875">
        <v>47</v>
      </c>
      <c r="B875">
        <v>9</v>
      </c>
    </row>
    <row r="876" spans="1:2" x14ac:dyDescent="0.2">
      <c r="A876">
        <v>28</v>
      </c>
      <c r="B876">
        <v>24</v>
      </c>
    </row>
    <row r="877" spans="1:2" x14ac:dyDescent="0.2">
      <c r="A877">
        <v>15</v>
      </c>
      <c r="B877">
        <v>7.2249999999999996</v>
      </c>
    </row>
    <row r="878" spans="1:2" x14ac:dyDescent="0.2">
      <c r="A878">
        <v>20</v>
      </c>
      <c r="B878">
        <v>9.8458000000000006</v>
      </c>
    </row>
    <row r="879" spans="1:2" x14ac:dyDescent="0.2">
      <c r="A879">
        <v>19</v>
      </c>
      <c r="B879">
        <v>7.8958000000000004</v>
      </c>
    </row>
    <row r="880" spans="1:2" x14ac:dyDescent="0.2">
      <c r="B880">
        <v>7.8958000000000004</v>
      </c>
    </row>
    <row r="881" spans="1:2" x14ac:dyDescent="0.2">
      <c r="A881">
        <v>56</v>
      </c>
      <c r="B881">
        <v>83.158299999999997</v>
      </c>
    </row>
    <row r="882" spans="1:2" x14ac:dyDescent="0.2">
      <c r="A882">
        <v>25</v>
      </c>
      <c r="B882">
        <v>26</v>
      </c>
    </row>
    <row r="883" spans="1:2" x14ac:dyDescent="0.2">
      <c r="A883">
        <v>33</v>
      </c>
      <c r="B883">
        <v>7.8958000000000004</v>
      </c>
    </row>
    <row r="884" spans="1:2" x14ac:dyDescent="0.2">
      <c r="A884">
        <v>22</v>
      </c>
      <c r="B884">
        <v>10.5167</v>
      </c>
    </row>
    <row r="885" spans="1:2" x14ac:dyDescent="0.2">
      <c r="A885">
        <v>28</v>
      </c>
      <c r="B885">
        <v>10.5</v>
      </c>
    </row>
    <row r="886" spans="1:2" x14ac:dyDescent="0.2">
      <c r="A886">
        <v>25</v>
      </c>
      <c r="B886">
        <v>7.05</v>
      </c>
    </row>
    <row r="887" spans="1:2" x14ac:dyDescent="0.2">
      <c r="A887">
        <v>39</v>
      </c>
      <c r="B887">
        <v>29.125</v>
      </c>
    </row>
    <row r="888" spans="1:2" x14ac:dyDescent="0.2">
      <c r="A888">
        <v>27</v>
      </c>
      <c r="B888">
        <v>13</v>
      </c>
    </row>
    <row r="889" spans="1:2" x14ac:dyDescent="0.2">
      <c r="A889">
        <v>19</v>
      </c>
      <c r="B889">
        <v>30</v>
      </c>
    </row>
    <row r="890" spans="1:2" x14ac:dyDescent="0.2">
      <c r="B890">
        <v>23.45</v>
      </c>
    </row>
    <row r="891" spans="1:2" x14ac:dyDescent="0.2">
      <c r="A891">
        <v>26</v>
      </c>
      <c r="B891">
        <v>30</v>
      </c>
    </row>
    <row r="892" spans="1:2" x14ac:dyDescent="0.2">
      <c r="A892">
        <v>32</v>
      </c>
      <c r="B892">
        <v>7.75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0967B-8673-994C-AD36-05AF888B1B69}">
  <dimension ref="A1:D28"/>
  <sheetViews>
    <sheetView workbookViewId="0">
      <selection sqref="A1:D28"/>
    </sheetView>
  </sheetViews>
  <sheetFormatPr baseColWidth="10" defaultRowHeight="16" x14ac:dyDescent="0.2"/>
  <sheetData>
    <row r="1" spans="1:4" x14ac:dyDescent="0.2">
      <c r="A1" s="2" t="s">
        <v>1273</v>
      </c>
      <c r="B1" s="2" t="s">
        <v>1274</v>
      </c>
      <c r="C1" s="2" t="s">
        <v>1275</v>
      </c>
      <c r="D1" s="2" t="s">
        <v>1276</v>
      </c>
    </row>
    <row r="2" spans="1:4" x14ac:dyDescent="0.2">
      <c r="A2">
        <v>2</v>
      </c>
      <c r="B2" s="3">
        <v>71.283299999999997</v>
      </c>
      <c r="C2">
        <v>1</v>
      </c>
      <c r="D2" s="7">
        <v>1</v>
      </c>
    </row>
    <row r="3" spans="1:4" x14ac:dyDescent="0.2">
      <c r="A3">
        <v>4</v>
      </c>
      <c r="B3" s="3">
        <v>53.1</v>
      </c>
      <c r="C3">
        <v>2</v>
      </c>
      <c r="D3" s="7">
        <v>0.96099999999999997</v>
      </c>
    </row>
    <row r="4" spans="1:4" x14ac:dyDescent="0.2">
      <c r="A4">
        <v>7</v>
      </c>
      <c r="B4" s="3">
        <v>51.862499999999997</v>
      </c>
      <c r="C4">
        <v>3</v>
      </c>
      <c r="D4" s="7">
        <v>0.92300000000000004</v>
      </c>
    </row>
    <row r="5" spans="1:4" x14ac:dyDescent="0.2">
      <c r="A5">
        <v>24</v>
      </c>
      <c r="B5" s="3">
        <v>35.5</v>
      </c>
      <c r="C5">
        <v>4</v>
      </c>
      <c r="D5" s="7">
        <v>0.88400000000000001</v>
      </c>
    </row>
    <row r="6" spans="1:4" x14ac:dyDescent="0.2">
      <c r="A6">
        <v>26</v>
      </c>
      <c r="B6" s="3">
        <v>31.387499999999999</v>
      </c>
      <c r="C6">
        <v>5</v>
      </c>
      <c r="D6" s="7">
        <v>0.84599999999999997</v>
      </c>
    </row>
    <row r="7" spans="1:4" x14ac:dyDescent="0.2">
      <c r="A7">
        <v>14</v>
      </c>
      <c r="B7" s="3">
        <v>31.274999999999999</v>
      </c>
      <c r="C7">
        <v>6</v>
      </c>
      <c r="D7" s="7">
        <v>0.80700000000000005</v>
      </c>
    </row>
    <row r="8" spans="1:4" x14ac:dyDescent="0.2">
      <c r="A8">
        <v>10</v>
      </c>
      <c r="B8" s="3">
        <v>30.070799999999998</v>
      </c>
      <c r="C8">
        <v>7</v>
      </c>
      <c r="D8" s="7">
        <v>0.76900000000000002</v>
      </c>
    </row>
    <row r="9" spans="1:4" x14ac:dyDescent="0.2">
      <c r="A9">
        <v>17</v>
      </c>
      <c r="B9" s="3">
        <v>29.125</v>
      </c>
      <c r="C9">
        <v>8</v>
      </c>
      <c r="D9" s="7">
        <v>0.73</v>
      </c>
    </row>
    <row r="10" spans="1:4" x14ac:dyDescent="0.2">
      <c r="A10">
        <v>12</v>
      </c>
      <c r="B10" s="3">
        <v>26.55</v>
      </c>
      <c r="C10">
        <v>9</v>
      </c>
      <c r="D10" s="7">
        <v>0.69199999999999995</v>
      </c>
    </row>
    <row r="11" spans="1:4" x14ac:dyDescent="0.2">
      <c r="A11">
        <v>21</v>
      </c>
      <c r="B11" s="3">
        <v>26</v>
      </c>
      <c r="C11">
        <v>10</v>
      </c>
      <c r="D11" s="7">
        <v>0.65300000000000002</v>
      </c>
    </row>
    <row r="12" spans="1:4" x14ac:dyDescent="0.2">
      <c r="A12">
        <v>8</v>
      </c>
      <c r="B12" s="3">
        <v>21.074999999999999</v>
      </c>
      <c r="C12">
        <v>11</v>
      </c>
      <c r="D12" s="7">
        <v>0.57599999999999996</v>
      </c>
    </row>
    <row r="13" spans="1:4" x14ac:dyDescent="0.2">
      <c r="A13">
        <v>25</v>
      </c>
      <c r="B13" s="3">
        <v>21.074999999999999</v>
      </c>
      <c r="C13">
        <v>11</v>
      </c>
      <c r="D13" s="7">
        <v>0.57599999999999996</v>
      </c>
    </row>
    <row r="14" spans="1:4" x14ac:dyDescent="0.2">
      <c r="A14">
        <v>19</v>
      </c>
      <c r="B14" s="3">
        <v>18</v>
      </c>
      <c r="C14">
        <v>13</v>
      </c>
      <c r="D14" s="7">
        <v>0.53800000000000003</v>
      </c>
    </row>
    <row r="15" spans="1:4" x14ac:dyDescent="0.2">
      <c r="A15">
        <v>11</v>
      </c>
      <c r="B15" s="3">
        <v>16.7</v>
      </c>
      <c r="C15">
        <v>14</v>
      </c>
      <c r="D15" s="7">
        <v>0.5</v>
      </c>
    </row>
    <row r="16" spans="1:4" x14ac:dyDescent="0.2">
      <c r="A16">
        <v>16</v>
      </c>
      <c r="B16" s="3">
        <v>16</v>
      </c>
      <c r="C16">
        <v>15</v>
      </c>
      <c r="D16" s="7">
        <v>0.46100000000000002</v>
      </c>
    </row>
    <row r="17" spans="1:4" x14ac:dyDescent="0.2">
      <c r="A17">
        <v>18</v>
      </c>
      <c r="B17" s="3">
        <v>13</v>
      </c>
      <c r="C17">
        <v>16</v>
      </c>
      <c r="D17" s="7">
        <v>0.38400000000000001</v>
      </c>
    </row>
    <row r="18" spans="1:4" x14ac:dyDescent="0.2">
      <c r="A18">
        <v>22</v>
      </c>
      <c r="B18" s="3">
        <v>13</v>
      </c>
      <c r="C18">
        <v>16</v>
      </c>
      <c r="D18" s="7">
        <v>0.38400000000000001</v>
      </c>
    </row>
    <row r="19" spans="1:4" x14ac:dyDescent="0.2">
      <c r="A19">
        <v>9</v>
      </c>
      <c r="B19" s="3">
        <v>11.1333</v>
      </c>
      <c r="C19">
        <v>18</v>
      </c>
      <c r="D19" s="7">
        <v>0.34599999999999997</v>
      </c>
    </row>
    <row r="20" spans="1:4" x14ac:dyDescent="0.2">
      <c r="A20">
        <v>6</v>
      </c>
      <c r="B20" s="3">
        <v>8.4582999999999995</v>
      </c>
      <c r="C20">
        <v>19</v>
      </c>
      <c r="D20" s="7">
        <v>0.307</v>
      </c>
    </row>
    <row r="21" spans="1:4" x14ac:dyDescent="0.2">
      <c r="A21">
        <v>5</v>
      </c>
      <c r="B21" s="3">
        <v>8.0500000000000007</v>
      </c>
      <c r="C21">
        <v>20</v>
      </c>
      <c r="D21" s="7">
        <v>0.23</v>
      </c>
    </row>
    <row r="22" spans="1:4" x14ac:dyDescent="0.2">
      <c r="A22">
        <v>13</v>
      </c>
      <c r="B22" s="3">
        <v>8.0500000000000007</v>
      </c>
      <c r="C22">
        <v>20</v>
      </c>
      <c r="D22" s="7">
        <v>0.23</v>
      </c>
    </row>
    <row r="23" spans="1:4" x14ac:dyDescent="0.2">
      <c r="A23">
        <v>23</v>
      </c>
      <c r="B23" s="3">
        <v>8.0291999999999994</v>
      </c>
      <c r="C23">
        <v>22</v>
      </c>
      <c r="D23" s="7">
        <v>0.192</v>
      </c>
    </row>
    <row r="24" spans="1:4" x14ac:dyDescent="0.2">
      <c r="A24">
        <v>3</v>
      </c>
      <c r="B24" s="3">
        <v>7.9249999999999998</v>
      </c>
      <c r="C24">
        <v>23</v>
      </c>
      <c r="D24" s="7">
        <v>0.153</v>
      </c>
    </row>
    <row r="25" spans="1:4" x14ac:dyDescent="0.2">
      <c r="A25">
        <v>15</v>
      </c>
      <c r="B25" s="3">
        <v>7.8541999999999996</v>
      </c>
      <c r="C25">
        <v>24</v>
      </c>
      <c r="D25" s="7">
        <v>0.115</v>
      </c>
    </row>
    <row r="26" spans="1:4" x14ac:dyDescent="0.2">
      <c r="A26">
        <v>1</v>
      </c>
      <c r="B26" s="3">
        <v>7.25</v>
      </c>
      <c r="C26">
        <v>25</v>
      </c>
      <c r="D26" s="7">
        <v>7.5999999999999998E-2</v>
      </c>
    </row>
    <row r="27" spans="1:4" x14ac:dyDescent="0.2">
      <c r="A27">
        <v>20</v>
      </c>
      <c r="B27" s="3">
        <v>7.2249999999999996</v>
      </c>
      <c r="C27">
        <v>26</v>
      </c>
      <c r="D27" s="7">
        <v>0</v>
      </c>
    </row>
    <row r="28" spans="1:4" ht="17" thickBot="1" x14ac:dyDescent="0.25">
      <c r="A28" s="1">
        <v>27</v>
      </c>
      <c r="B28" s="8">
        <v>7.2249999999999996</v>
      </c>
      <c r="C28" s="1">
        <v>26</v>
      </c>
      <c r="D28" s="9">
        <v>0</v>
      </c>
    </row>
  </sheetData>
  <sortState xmlns:xlrd2="http://schemas.microsoft.com/office/spreadsheetml/2017/richdata2" ref="A2:D28">
    <sortCondition ref="C3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892"/>
  <sheetViews>
    <sheetView zoomScale="131" workbookViewId="0">
      <selection activeCell="F263" sqref="F263"/>
    </sheetView>
  </sheetViews>
  <sheetFormatPr baseColWidth="10" defaultRowHeight="16" x14ac:dyDescent="0.2"/>
  <sheetData>
    <row r="1" spans="1:2" x14ac:dyDescent="0.2">
      <c r="A1" t="s">
        <v>4</v>
      </c>
      <c r="B1" t="s">
        <v>9</v>
      </c>
    </row>
    <row r="2" spans="1:2" x14ac:dyDescent="0.2">
      <c r="A2" t="s">
        <v>13</v>
      </c>
      <c r="B2">
        <v>7.25</v>
      </c>
    </row>
    <row r="3" spans="1:2" x14ac:dyDescent="0.2">
      <c r="A3" t="s">
        <v>17</v>
      </c>
      <c r="B3">
        <v>71.283299999999997</v>
      </c>
    </row>
    <row r="4" spans="1:2" x14ac:dyDescent="0.2">
      <c r="A4" t="s">
        <v>17</v>
      </c>
      <c r="B4">
        <v>7.9249999999999998</v>
      </c>
    </row>
    <row r="5" spans="1:2" x14ac:dyDescent="0.2">
      <c r="A5" t="s">
        <v>17</v>
      </c>
      <c r="B5">
        <v>53.1</v>
      </c>
    </row>
    <row r="6" spans="1:2" x14ac:dyDescent="0.2">
      <c r="A6" t="s">
        <v>13</v>
      </c>
      <c r="B6">
        <v>8.0500000000000007</v>
      </c>
    </row>
    <row r="7" spans="1:2" x14ac:dyDescent="0.2">
      <c r="A7" t="s">
        <v>13</v>
      </c>
      <c r="B7">
        <v>8.4582999999999995</v>
      </c>
    </row>
    <row r="8" spans="1:2" x14ac:dyDescent="0.2">
      <c r="A8" t="s">
        <v>13</v>
      </c>
      <c r="B8">
        <v>51.862499999999997</v>
      </c>
    </row>
    <row r="9" spans="1:2" x14ac:dyDescent="0.2">
      <c r="A9" t="s">
        <v>13</v>
      </c>
      <c r="B9">
        <v>21.074999999999999</v>
      </c>
    </row>
    <row r="10" spans="1:2" x14ac:dyDescent="0.2">
      <c r="A10" t="s">
        <v>17</v>
      </c>
      <c r="B10">
        <v>11.1333</v>
      </c>
    </row>
    <row r="11" spans="1:2" x14ac:dyDescent="0.2">
      <c r="A11" t="s">
        <v>17</v>
      </c>
      <c r="B11">
        <v>30.070799999999998</v>
      </c>
    </row>
    <row r="12" spans="1:2" x14ac:dyDescent="0.2">
      <c r="A12" t="s">
        <v>17</v>
      </c>
      <c r="B12">
        <v>16.7</v>
      </c>
    </row>
    <row r="13" spans="1:2" x14ac:dyDescent="0.2">
      <c r="A13" t="s">
        <v>17</v>
      </c>
      <c r="B13">
        <v>26.55</v>
      </c>
    </row>
    <row r="14" spans="1:2" x14ac:dyDescent="0.2">
      <c r="A14" t="s">
        <v>13</v>
      </c>
      <c r="B14">
        <v>8.0500000000000007</v>
      </c>
    </row>
    <row r="15" spans="1:2" x14ac:dyDescent="0.2">
      <c r="A15" t="s">
        <v>13</v>
      </c>
      <c r="B15">
        <v>31.274999999999999</v>
      </c>
    </row>
    <row r="16" spans="1:2" x14ac:dyDescent="0.2">
      <c r="A16" t="s">
        <v>17</v>
      </c>
      <c r="B16">
        <v>7.8541999999999996</v>
      </c>
    </row>
    <row r="17" spans="1:2" x14ac:dyDescent="0.2">
      <c r="A17" t="s">
        <v>17</v>
      </c>
      <c r="B17">
        <v>16</v>
      </c>
    </row>
    <row r="18" spans="1:2" x14ac:dyDescent="0.2">
      <c r="A18" t="s">
        <v>13</v>
      </c>
      <c r="B18">
        <v>29.125</v>
      </c>
    </row>
    <row r="19" spans="1:2" x14ac:dyDescent="0.2">
      <c r="A19" t="s">
        <v>13</v>
      </c>
      <c r="B19">
        <v>13</v>
      </c>
    </row>
    <row r="20" spans="1:2" x14ac:dyDescent="0.2">
      <c r="A20" t="s">
        <v>17</v>
      </c>
      <c r="B20">
        <v>18</v>
      </c>
    </row>
    <row r="21" spans="1:2" x14ac:dyDescent="0.2">
      <c r="A21" t="s">
        <v>17</v>
      </c>
      <c r="B21">
        <v>7.2249999999999996</v>
      </c>
    </row>
    <row r="22" spans="1:2" x14ac:dyDescent="0.2">
      <c r="A22" t="s">
        <v>13</v>
      </c>
      <c r="B22">
        <v>26</v>
      </c>
    </row>
    <row r="23" spans="1:2" x14ac:dyDescent="0.2">
      <c r="A23" t="s">
        <v>13</v>
      </c>
      <c r="B23">
        <v>13</v>
      </c>
    </row>
    <row r="24" spans="1:2" x14ac:dyDescent="0.2">
      <c r="A24" t="s">
        <v>17</v>
      </c>
      <c r="B24">
        <v>8.0291999999999994</v>
      </c>
    </row>
    <row r="25" spans="1:2" x14ac:dyDescent="0.2">
      <c r="A25" t="s">
        <v>13</v>
      </c>
      <c r="B25">
        <v>35.5</v>
      </c>
    </row>
    <row r="26" spans="1:2" x14ac:dyDescent="0.2">
      <c r="A26" t="s">
        <v>17</v>
      </c>
      <c r="B26">
        <v>21.074999999999999</v>
      </c>
    </row>
    <row r="27" spans="1:2" x14ac:dyDescent="0.2">
      <c r="A27" t="s">
        <v>17</v>
      </c>
      <c r="B27">
        <v>31.387499999999999</v>
      </c>
    </row>
    <row r="28" spans="1:2" x14ac:dyDescent="0.2">
      <c r="A28" t="s">
        <v>13</v>
      </c>
      <c r="B28">
        <v>7.2249999999999996</v>
      </c>
    </row>
    <row r="29" spans="1:2" x14ac:dyDescent="0.2">
      <c r="A29" t="s">
        <v>13</v>
      </c>
      <c r="B29">
        <v>263</v>
      </c>
    </row>
    <row r="30" spans="1:2" x14ac:dyDescent="0.2">
      <c r="A30" t="s">
        <v>17</v>
      </c>
      <c r="B30">
        <v>7.8792</v>
      </c>
    </row>
    <row r="31" spans="1:2" x14ac:dyDescent="0.2">
      <c r="A31" t="s">
        <v>13</v>
      </c>
      <c r="B31">
        <v>7.8958000000000004</v>
      </c>
    </row>
    <row r="32" spans="1:2" x14ac:dyDescent="0.2">
      <c r="A32" t="s">
        <v>13</v>
      </c>
      <c r="B32">
        <v>27.720800000000001</v>
      </c>
    </row>
    <row r="33" spans="1:2" x14ac:dyDescent="0.2">
      <c r="A33" t="s">
        <v>17</v>
      </c>
      <c r="B33">
        <v>146.52080000000001</v>
      </c>
    </row>
    <row r="34" spans="1:2" x14ac:dyDescent="0.2">
      <c r="A34" t="s">
        <v>17</v>
      </c>
      <c r="B34">
        <v>7.75</v>
      </c>
    </row>
    <row r="35" spans="1:2" x14ac:dyDescent="0.2">
      <c r="A35" t="s">
        <v>13</v>
      </c>
      <c r="B35">
        <v>10.5</v>
      </c>
    </row>
    <row r="36" spans="1:2" x14ac:dyDescent="0.2">
      <c r="A36" t="s">
        <v>13</v>
      </c>
      <c r="B36">
        <v>82.1708</v>
      </c>
    </row>
    <row r="37" spans="1:2" x14ac:dyDescent="0.2">
      <c r="A37" t="s">
        <v>13</v>
      </c>
      <c r="B37">
        <v>52</v>
      </c>
    </row>
    <row r="38" spans="1:2" x14ac:dyDescent="0.2">
      <c r="A38" t="s">
        <v>13</v>
      </c>
      <c r="B38">
        <v>7.2291999999999996</v>
      </c>
    </row>
    <row r="39" spans="1:2" x14ac:dyDescent="0.2">
      <c r="A39" t="s">
        <v>13</v>
      </c>
      <c r="B39">
        <v>8.0500000000000007</v>
      </c>
    </row>
    <row r="40" spans="1:2" x14ac:dyDescent="0.2">
      <c r="A40" t="s">
        <v>17</v>
      </c>
      <c r="B40">
        <v>18</v>
      </c>
    </row>
    <row r="41" spans="1:2" x14ac:dyDescent="0.2">
      <c r="A41" t="s">
        <v>17</v>
      </c>
      <c r="B41">
        <v>11.2417</v>
      </c>
    </row>
    <row r="42" spans="1:2" x14ac:dyDescent="0.2">
      <c r="A42" t="s">
        <v>17</v>
      </c>
      <c r="B42">
        <v>9.4749999999999996</v>
      </c>
    </row>
    <row r="43" spans="1:2" x14ac:dyDescent="0.2">
      <c r="A43" t="s">
        <v>17</v>
      </c>
      <c r="B43">
        <v>21</v>
      </c>
    </row>
    <row r="44" spans="1:2" x14ac:dyDescent="0.2">
      <c r="A44" t="s">
        <v>13</v>
      </c>
      <c r="B44">
        <v>7.8958000000000004</v>
      </c>
    </row>
    <row r="45" spans="1:2" x14ac:dyDescent="0.2">
      <c r="A45" t="s">
        <v>17</v>
      </c>
      <c r="B45">
        <v>41.5792</v>
      </c>
    </row>
    <row r="46" spans="1:2" x14ac:dyDescent="0.2">
      <c r="A46" t="s">
        <v>17</v>
      </c>
      <c r="B46">
        <v>7.8792</v>
      </c>
    </row>
    <row r="47" spans="1:2" x14ac:dyDescent="0.2">
      <c r="A47" t="s">
        <v>13</v>
      </c>
      <c r="B47">
        <v>8.0500000000000007</v>
      </c>
    </row>
    <row r="48" spans="1:2" x14ac:dyDescent="0.2">
      <c r="A48" t="s">
        <v>13</v>
      </c>
      <c r="B48">
        <v>15.5</v>
      </c>
    </row>
    <row r="49" spans="1:2" x14ac:dyDescent="0.2">
      <c r="A49" t="s">
        <v>17</v>
      </c>
      <c r="B49">
        <v>7.75</v>
      </c>
    </row>
    <row r="50" spans="1:2" x14ac:dyDescent="0.2">
      <c r="A50" t="s">
        <v>13</v>
      </c>
      <c r="B50">
        <v>21.679200000000002</v>
      </c>
    </row>
    <row r="51" spans="1:2" x14ac:dyDescent="0.2">
      <c r="A51" t="s">
        <v>17</v>
      </c>
      <c r="B51">
        <v>17.8</v>
      </c>
    </row>
    <row r="52" spans="1:2" x14ac:dyDescent="0.2">
      <c r="A52" t="s">
        <v>13</v>
      </c>
      <c r="B52">
        <v>39.6875</v>
      </c>
    </row>
    <row r="53" spans="1:2" x14ac:dyDescent="0.2">
      <c r="A53" t="s">
        <v>13</v>
      </c>
      <c r="B53">
        <v>7.8</v>
      </c>
    </row>
    <row r="54" spans="1:2" x14ac:dyDescent="0.2">
      <c r="A54" t="s">
        <v>17</v>
      </c>
      <c r="B54">
        <v>76.729200000000006</v>
      </c>
    </row>
    <row r="55" spans="1:2" x14ac:dyDescent="0.2">
      <c r="A55" t="s">
        <v>17</v>
      </c>
      <c r="B55">
        <v>26</v>
      </c>
    </row>
    <row r="56" spans="1:2" x14ac:dyDescent="0.2">
      <c r="A56" t="s">
        <v>13</v>
      </c>
      <c r="B56">
        <v>61.979199999999999</v>
      </c>
    </row>
    <row r="57" spans="1:2" x14ac:dyDescent="0.2">
      <c r="A57" t="s">
        <v>13</v>
      </c>
      <c r="B57">
        <v>35.5</v>
      </c>
    </row>
    <row r="58" spans="1:2" x14ac:dyDescent="0.2">
      <c r="A58" t="s">
        <v>17</v>
      </c>
      <c r="B58">
        <v>10.5</v>
      </c>
    </row>
    <row r="59" spans="1:2" x14ac:dyDescent="0.2">
      <c r="A59" t="s">
        <v>13</v>
      </c>
      <c r="B59">
        <v>7.2291999999999996</v>
      </c>
    </row>
    <row r="60" spans="1:2" x14ac:dyDescent="0.2">
      <c r="A60" t="s">
        <v>17</v>
      </c>
      <c r="B60">
        <v>27.75</v>
      </c>
    </row>
    <row r="61" spans="1:2" x14ac:dyDescent="0.2">
      <c r="A61" t="s">
        <v>13</v>
      </c>
      <c r="B61">
        <v>46.9</v>
      </c>
    </row>
    <row r="62" spans="1:2" x14ac:dyDescent="0.2">
      <c r="A62" t="s">
        <v>13</v>
      </c>
      <c r="B62">
        <v>7.2291999999999996</v>
      </c>
    </row>
    <row r="63" spans="1:2" x14ac:dyDescent="0.2">
      <c r="A63" t="s">
        <v>17</v>
      </c>
      <c r="B63">
        <v>80</v>
      </c>
    </row>
    <row r="64" spans="1:2" x14ac:dyDescent="0.2">
      <c r="A64" t="s">
        <v>13</v>
      </c>
      <c r="B64">
        <v>83.474999999999994</v>
      </c>
    </row>
    <row r="65" spans="1:2" x14ac:dyDescent="0.2">
      <c r="A65" t="s">
        <v>13</v>
      </c>
      <c r="B65">
        <v>27.9</v>
      </c>
    </row>
    <row r="66" spans="1:2" x14ac:dyDescent="0.2">
      <c r="A66" t="s">
        <v>13</v>
      </c>
      <c r="B66">
        <v>27.720800000000001</v>
      </c>
    </row>
    <row r="67" spans="1:2" x14ac:dyDescent="0.2">
      <c r="A67" t="s">
        <v>13</v>
      </c>
      <c r="B67">
        <v>15.245799999999999</v>
      </c>
    </row>
    <row r="68" spans="1:2" x14ac:dyDescent="0.2">
      <c r="A68" t="s">
        <v>17</v>
      </c>
      <c r="B68">
        <v>10.5</v>
      </c>
    </row>
    <row r="69" spans="1:2" x14ac:dyDescent="0.2">
      <c r="A69" t="s">
        <v>13</v>
      </c>
      <c r="B69">
        <v>8.1583000000000006</v>
      </c>
    </row>
    <row r="70" spans="1:2" x14ac:dyDescent="0.2">
      <c r="A70" t="s">
        <v>17</v>
      </c>
      <c r="B70">
        <v>7.9249999999999998</v>
      </c>
    </row>
    <row r="71" spans="1:2" x14ac:dyDescent="0.2">
      <c r="A71" t="s">
        <v>13</v>
      </c>
      <c r="B71">
        <v>8.6624999999999996</v>
      </c>
    </row>
    <row r="72" spans="1:2" x14ac:dyDescent="0.2">
      <c r="A72" t="s">
        <v>13</v>
      </c>
      <c r="B72">
        <v>10.5</v>
      </c>
    </row>
    <row r="73" spans="1:2" x14ac:dyDescent="0.2">
      <c r="A73" t="s">
        <v>17</v>
      </c>
      <c r="B73">
        <v>46.9</v>
      </c>
    </row>
    <row r="74" spans="1:2" x14ac:dyDescent="0.2">
      <c r="A74" t="s">
        <v>13</v>
      </c>
      <c r="B74">
        <v>73.5</v>
      </c>
    </row>
    <row r="75" spans="1:2" x14ac:dyDescent="0.2">
      <c r="A75" t="s">
        <v>13</v>
      </c>
      <c r="B75">
        <v>14.4542</v>
      </c>
    </row>
    <row r="76" spans="1:2" x14ac:dyDescent="0.2">
      <c r="A76" t="s">
        <v>13</v>
      </c>
      <c r="B76">
        <v>56.495800000000003</v>
      </c>
    </row>
    <row r="77" spans="1:2" x14ac:dyDescent="0.2">
      <c r="A77" t="s">
        <v>13</v>
      </c>
      <c r="B77">
        <v>7.65</v>
      </c>
    </row>
    <row r="78" spans="1:2" x14ac:dyDescent="0.2">
      <c r="A78" t="s">
        <v>13</v>
      </c>
      <c r="B78">
        <v>7.8958000000000004</v>
      </c>
    </row>
    <row r="79" spans="1:2" x14ac:dyDescent="0.2">
      <c r="A79" t="s">
        <v>13</v>
      </c>
      <c r="B79">
        <v>8.0500000000000007</v>
      </c>
    </row>
    <row r="80" spans="1:2" x14ac:dyDescent="0.2">
      <c r="A80" t="s">
        <v>13</v>
      </c>
      <c r="B80">
        <v>29</v>
      </c>
    </row>
    <row r="81" spans="1:2" x14ac:dyDescent="0.2">
      <c r="A81" t="s">
        <v>17</v>
      </c>
      <c r="B81">
        <v>12.475</v>
      </c>
    </row>
    <row r="82" spans="1:2" x14ac:dyDescent="0.2">
      <c r="A82" t="s">
        <v>13</v>
      </c>
      <c r="B82">
        <v>9</v>
      </c>
    </row>
    <row r="83" spans="1:2" x14ac:dyDescent="0.2">
      <c r="A83" t="s">
        <v>13</v>
      </c>
      <c r="B83">
        <v>9.5</v>
      </c>
    </row>
    <row r="84" spans="1:2" x14ac:dyDescent="0.2">
      <c r="A84" t="s">
        <v>17</v>
      </c>
      <c r="B84">
        <v>7.7874999999999996</v>
      </c>
    </row>
    <row r="85" spans="1:2" x14ac:dyDescent="0.2">
      <c r="A85" t="s">
        <v>13</v>
      </c>
      <c r="B85">
        <v>47.1</v>
      </c>
    </row>
    <row r="86" spans="1:2" x14ac:dyDescent="0.2">
      <c r="A86" t="s">
        <v>17</v>
      </c>
      <c r="B86">
        <v>10.5</v>
      </c>
    </row>
    <row r="87" spans="1:2" x14ac:dyDescent="0.2">
      <c r="A87" t="s">
        <v>17</v>
      </c>
      <c r="B87">
        <v>15.85</v>
      </c>
    </row>
    <row r="88" spans="1:2" x14ac:dyDescent="0.2">
      <c r="A88" t="s">
        <v>13</v>
      </c>
      <c r="B88">
        <v>34.375</v>
      </c>
    </row>
    <row r="89" spans="1:2" x14ac:dyDescent="0.2">
      <c r="A89" t="s">
        <v>13</v>
      </c>
      <c r="B89">
        <v>8.0500000000000007</v>
      </c>
    </row>
    <row r="90" spans="1:2" x14ac:dyDescent="0.2">
      <c r="A90" t="s">
        <v>17</v>
      </c>
      <c r="B90">
        <v>263</v>
      </c>
    </row>
    <row r="91" spans="1:2" x14ac:dyDescent="0.2">
      <c r="A91" t="s">
        <v>13</v>
      </c>
      <c r="B91">
        <v>8.0500000000000007</v>
      </c>
    </row>
    <row r="92" spans="1:2" x14ac:dyDescent="0.2">
      <c r="A92" t="s">
        <v>13</v>
      </c>
      <c r="B92">
        <v>8.0500000000000007</v>
      </c>
    </row>
    <row r="93" spans="1:2" x14ac:dyDescent="0.2">
      <c r="A93" t="s">
        <v>13</v>
      </c>
      <c r="B93">
        <v>7.8541999999999996</v>
      </c>
    </row>
    <row r="94" spans="1:2" x14ac:dyDescent="0.2">
      <c r="A94" t="s">
        <v>13</v>
      </c>
      <c r="B94">
        <v>61.174999999999997</v>
      </c>
    </row>
    <row r="95" spans="1:2" x14ac:dyDescent="0.2">
      <c r="A95" t="s">
        <v>13</v>
      </c>
      <c r="B95">
        <v>20.574999999999999</v>
      </c>
    </row>
    <row r="96" spans="1:2" x14ac:dyDescent="0.2">
      <c r="A96" t="s">
        <v>13</v>
      </c>
      <c r="B96">
        <v>7.25</v>
      </c>
    </row>
    <row r="97" spans="1:2" x14ac:dyDescent="0.2">
      <c r="A97" t="s">
        <v>13</v>
      </c>
      <c r="B97">
        <v>8.0500000000000007</v>
      </c>
    </row>
    <row r="98" spans="1:2" x14ac:dyDescent="0.2">
      <c r="A98" t="s">
        <v>13</v>
      </c>
      <c r="B98">
        <v>34.654200000000003</v>
      </c>
    </row>
    <row r="99" spans="1:2" x14ac:dyDescent="0.2">
      <c r="A99" t="s">
        <v>13</v>
      </c>
      <c r="B99">
        <v>63.3583</v>
      </c>
    </row>
    <row r="100" spans="1:2" x14ac:dyDescent="0.2">
      <c r="A100" t="s">
        <v>17</v>
      </c>
      <c r="B100">
        <v>23</v>
      </c>
    </row>
    <row r="101" spans="1:2" x14ac:dyDescent="0.2">
      <c r="A101" t="s">
        <v>13</v>
      </c>
      <c r="B101">
        <v>26</v>
      </c>
    </row>
    <row r="102" spans="1:2" x14ac:dyDescent="0.2">
      <c r="A102" t="s">
        <v>17</v>
      </c>
      <c r="B102">
        <v>7.8958000000000004</v>
      </c>
    </row>
    <row r="103" spans="1:2" x14ac:dyDescent="0.2">
      <c r="A103" t="s">
        <v>13</v>
      </c>
      <c r="B103">
        <v>7.8958000000000004</v>
      </c>
    </row>
    <row r="104" spans="1:2" x14ac:dyDescent="0.2">
      <c r="A104" t="s">
        <v>13</v>
      </c>
      <c r="B104">
        <v>77.287499999999994</v>
      </c>
    </row>
    <row r="105" spans="1:2" x14ac:dyDescent="0.2">
      <c r="A105" t="s">
        <v>13</v>
      </c>
      <c r="B105">
        <v>8.6541999999999994</v>
      </c>
    </row>
    <row r="106" spans="1:2" x14ac:dyDescent="0.2">
      <c r="A106" t="s">
        <v>13</v>
      </c>
      <c r="B106">
        <v>7.9249999999999998</v>
      </c>
    </row>
    <row r="107" spans="1:2" x14ac:dyDescent="0.2">
      <c r="A107" t="s">
        <v>13</v>
      </c>
      <c r="B107">
        <v>7.8958000000000004</v>
      </c>
    </row>
    <row r="108" spans="1:2" x14ac:dyDescent="0.2">
      <c r="A108" t="s">
        <v>17</v>
      </c>
      <c r="B108">
        <v>7.65</v>
      </c>
    </row>
    <row r="109" spans="1:2" x14ac:dyDescent="0.2">
      <c r="A109" t="s">
        <v>13</v>
      </c>
      <c r="B109">
        <v>7.7750000000000004</v>
      </c>
    </row>
    <row r="110" spans="1:2" x14ac:dyDescent="0.2">
      <c r="A110" t="s">
        <v>13</v>
      </c>
      <c r="B110">
        <v>7.8958000000000004</v>
      </c>
    </row>
    <row r="111" spans="1:2" x14ac:dyDescent="0.2">
      <c r="A111" t="s">
        <v>17</v>
      </c>
      <c r="B111">
        <v>24.15</v>
      </c>
    </row>
    <row r="112" spans="1:2" x14ac:dyDescent="0.2">
      <c r="A112" t="s">
        <v>13</v>
      </c>
      <c r="B112">
        <v>52</v>
      </c>
    </row>
    <row r="113" spans="1:2" x14ac:dyDescent="0.2">
      <c r="A113" t="s">
        <v>17</v>
      </c>
      <c r="B113">
        <v>14.4542</v>
      </c>
    </row>
    <row r="114" spans="1:2" x14ac:dyDescent="0.2">
      <c r="A114" t="s">
        <v>13</v>
      </c>
      <c r="B114">
        <v>8.0500000000000007</v>
      </c>
    </row>
    <row r="115" spans="1:2" x14ac:dyDescent="0.2">
      <c r="A115" t="s">
        <v>17</v>
      </c>
      <c r="B115">
        <v>9.8249999999999993</v>
      </c>
    </row>
    <row r="116" spans="1:2" x14ac:dyDescent="0.2">
      <c r="A116" t="s">
        <v>17</v>
      </c>
      <c r="B116">
        <v>14.458299999999999</v>
      </c>
    </row>
    <row r="117" spans="1:2" x14ac:dyDescent="0.2">
      <c r="A117" t="s">
        <v>13</v>
      </c>
      <c r="B117">
        <v>7.9249999999999998</v>
      </c>
    </row>
    <row r="118" spans="1:2" x14ac:dyDescent="0.2">
      <c r="A118" t="s">
        <v>13</v>
      </c>
      <c r="B118">
        <v>7.75</v>
      </c>
    </row>
    <row r="119" spans="1:2" x14ac:dyDescent="0.2">
      <c r="A119" t="s">
        <v>13</v>
      </c>
      <c r="B119">
        <v>21</v>
      </c>
    </row>
    <row r="120" spans="1:2" x14ac:dyDescent="0.2">
      <c r="A120" t="s">
        <v>13</v>
      </c>
      <c r="B120">
        <v>247.52080000000001</v>
      </c>
    </row>
    <row r="121" spans="1:2" x14ac:dyDescent="0.2">
      <c r="A121" t="s">
        <v>17</v>
      </c>
      <c r="B121">
        <v>31.274999999999999</v>
      </c>
    </row>
    <row r="122" spans="1:2" x14ac:dyDescent="0.2">
      <c r="A122" t="s">
        <v>13</v>
      </c>
      <c r="B122">
        <v>73.5</v>
      </c>
    </row>
    <row r="123" spans="1:2" x14ac:dyDescent="0.2">
      <c r="A123" t="s">
        <v>13</v>
      </c>
      <c r="B123">
        <v>8.0500000000000007</v>
      </c>
    </row>
    <row r="124" spans="1:2" x14ac:dyDescent="0.2">
      <c r="A124" t="s">
        <v>13</v>
      </c>
      <c r="B124">
        <v>30.070799999999998</v>
      </c>
    </row>
    <row r="125" spans="1:2" x14ac:dyDescent="0.2">
      <c r="A125" t="s">
        <v>17</v>
      </c>
      <c r="B125">
        <v>13</v>
      </c>
    </row>
    <row r="126" spans="1:2" x14ac:dyDescent="0.2">
      <c r="A126" t="s">
        <v>13</v>
      </c>
      <c r="B126">
        <v>77.287499999999994</v>
      </c>
    </row>
    <row r="127" spans="1:2" x14ac:dyDescent="0.2">
      <c r="A127" t="s">
        <v>13</v>
      </c>
      <c r="B127">
        <v>11.2417</v>
      </c>
    </row>
    <row r="128" spans="1:2" x14ac:dyDescent="0.2">
      <c r="A128" t="s">
        <v>13</v>
      </c>
      <c r="B128">
        <v>7.75</v>
      </c>
    </row>
    <row r="129" spans="1:2" x14ac:dyDescent="0.2">
      <c r="A129" t="s">
        <v>13</v>
      </c>
      <c r="B129">
        <v>7.1417000000000002</v>
      </c>
    </row>
    <row r="130" spans="1:2" x14ac:dyDescent="0.2">
      <c r="A130" t="s">
        <v>17</v>
      </c>
      <c r="B130">
        <v>22.3583</v>
      </c>
    </row>
    <row r="131" spans="1:2" x14ac:dyDescent="0.2">
      <c r="A131" t="s">
        <v>13</v>
      </c>
      <c r="B131">
        <v>6.9749999999999996</v>
      </c>
    </row>
    <row r="132" spans="1:2" x14ac:dyDescent="0.2">
      <c r="A132" t="s">
        <v>13</v>
      </c>
      <c r="B132">
        <v>7.8958000000000004</v>
      </c>
    </row>
    <row r="133" spans="1:2" x14ac:dyDescent="0.2">
      <c r="A133" t="s">
        <v>13</v>
      </c>
      <c r="B133">
        <v>7.05</v>
      </c>
    </row>
    <row r="134" spans="1:2" x14ac:dyDescent="0.2">
      <c r="A134" t="s">
        <v>17</v>
      </c>
      <c r="B134">
        <v>14.5</v>
      </c>
    </row>
    <row r="135" spans="1:2" x14ac:dyDescent="0.2">
      <c r="A135" t="s">
        <v>17</v>
      </c>
      <c r="B135">
        <v>26</v>
      </c>
    </row>
    <row r="136" spans="1:2" x14ac:dyDescent="0.2">
      <c r="A136" t="s">
        <v>13</v>
      </c>
      <c r="B136">
        <v>13</v>
      </c>
    </row>
    <row r="137" spans="1:2" x14ac:dyDescent="0.2">
      <c r="A137" t="s">
        <v>13</v>
      </c>
      <c r="B137">
        <v>15.0458</v>
      </c>
    </row>
    <row r="138" spans="1:2" x14ac:dyDescent="0.2">
      <c r="A138" t="s">
        <v>17</v>
      </c>
      <c r="B138">
        <v>26.283300000000001</v>
      </c>
    </row>
    <row r="139" spans="1:2" x14ac:dyDescent="0.2">
      <c r="A139" t="s">
        <v>13</v>
      </c>
      <c r="B139">
        <v>53.1</v>
      </c>
    </row>
    <row r="140" spans="1:2" x14ac:dyDescent="0.2">
      <c r="A140" t="s">
        <v>13</v>
      </c>
      <c r="B140">
        <v>9.2166999999999994</v>
      </c>
    </row>
    <row r="141" spans="1:2" x14ac:dyDescent="0.2">
      <c r="A141" t="s">
        <v>13</v>
      </c>
      <c r="B141">
        <v>79.2</v>
      </c>
    </row>
    <row r="142" spans="1:2" x14ac:dyDescent="0.2">
      <c r="A142" t="s">
        <v>17</v>
      </c>
      <c r="B142">
        <v>15.245799999999999</v>
      </c>
    </row>
    <row r="143" spans="1:2" x14ac:dyDescent="0.2">
      <c r="A143" t="s">
        <v>17</v>
      </c>
      <c r="B143">
        <v>7.75</v>
      </c>
    </row>
    <row r="144" spans="1:2" x14ac:dyDescent="0.2">
      <c r="A144" t="s">
        <v>17</v>
      </c>
      <c r="B144">
        <v>15.85</v>
      </c>
    </row>
    <row r="145" spans="1:2" x14ac:dyDescent="0.2">
      <c r="A145" t="s">
        <v>13</v>
      </c>
      <c r="B145">
        <v>6.75</v>
      </c>
    </row>
    <row r="146" spans="1:2" x14ac:dyDescent="0.2">
      <c r="A146" t="s">
        <v>13</v>
      </c>
      <c r="B146">
        <v>11.5</v>
      </c>
    </row>
    <row r="147" spans="1:2" x14ac:dyDescent="0.2">
      <c r="A147" t="s">
        <v>13</v>
      </c>
      <c r="B147">
        <v>36.75</v>
      </c>
    </row>
    <row r="148" spans="1:2" x14ac:dyDescent="0.2">
      <c r="A148" t="s">
        <v>13</v>
      </c>
      <c r="B148">
        <v>7.7957999999999998</v>
      </c>
    </row>
    <row r="149" spans="1:2" x14ac:dyDescent="0.2">
      <c r="A149" t="s">
        <v>17</v>
      </c>
      <c r="B149">
        <v>34.375</v>
      </c>
    </row>
    <row r="150" spans="1:2" x14ac:dyDescent="0.2">
      <c r="A150" t="s">
        <v>13</v>
      </c>
      <c r="B150">
        <v>26</v>
      </c>
    </row>
    <row r="151" spans="1:2" x14ac:dyDescent="0.2">
      <c r="A151" t="s">
        <v>13</v>
      </c>
      <c r="B151">
        <v>13</v>
      </c>
    </row>
    <row r="152" spans="1:2" x14ac:dyDescent="0.2">
      <c r="A152" t="s">
        <v>13</v>
      </c>
      <c r="B152">
        <v>12.525</v>
      </c>
    </row>
    <row r="153" spans="1:2" x14ac:dyDescent="0.2">
      <c r="A153" t="s">
        <v>17</v>
      </c>
      <c r="B153">
        <v>66.599999999999994</v>
      </c>
    </row>
    <row r="154" spans="1:2" x14ac:dyDescent="0.2">
      <c r="A154" t="s">
        <v>13</v>
      </c>
      <c r="B154">
        <v>8.0500000000000007</v>
      </c>
    </row>
    <row r="155" spans="1:2" x14ac:dyDescent="0.2">
      <c r="A155" t="s">
        <v>13</v>
      </c>
      <c r="B155">
        <v>14.5</v>
      </c>
    </row>
    <row r="156" spans="1:2" x14ac:dyDescent="0.2">
      <c r="A156" t="s">
        <v>13</v>
      </c>
      <c r="B156">
        <v>7.3125</v>
      </c>
    </row>
    <row r="157" spans="1:2" x14ac:dyDescent="0.2">
      <c r="A157" t="s">
        <v>13</v>
      </c>
      <c r="B157">
        <v>61.379199999999997</v>
      </c>
    </row>
    <row r="158" spans="1:2" x14ac:dyDescent="0.2">
      <c r="A158" t="s">
        <v>17</v>
      </c>
      <c r="B158">
        <v>7.7332999999999998</v>
      </c>
    </row>
    <row r="159" spans="1:2" x14ac:dyDescent="0.2">
      <c r="A159" t="s">
        <v>13</v>
      </c>
      <c r="B159">
        <v>8.0500000000000007</v>
      </c>
    </row>
    <row r="160" spans="1:2" x14ac:dyDescent="0.2">
      <c r="A160" t="s">
        <v>13</v>
      </c>
      <c r="B160">
        <v>8.6624999999999996</v>
      </c>
    </row>
    <row r="161" spans="1:2" x14ac:dyDescent="0.2">
      <c r="A161" t="s">
        <v>13</v>
      </c>
      <c r="B161">
        <v>69.55</v>
      </c>
    </row>
    <row r="162" spans="1:2" x14ac:dyDescent="0.2">
      <c r="A162" t="s">
        <v>13</v>
      </c>
      <c r="B162">
        <v>16.100000000000001</v>
      </c>
    </row>
    <row r="163" spans="1:2" x14ac:dyDescent="0.2">
      <c r="A163" t="s">
        <v>17</v>
      </c>
      <c r="B163">
        <v>15.75</v>
      </c>
    </row>
    <row r="164" spans="1:2" x14ac:dyDescent="0.2">
      <c r="A164" t="s">
        <v>13</v>
      </c>
      <c r="B164">
        <v>7.7750000000000004</v>
      </c>
    </row>
    <row r="165" spans="1:2" x14ac:dyDescent="0.2">
      <c r="A165" t="s">
        <v>13</v>
      </c>
      <c r="B165">
        <v>8.6624999999999996</v>
      </c>
    </row>
    <row r="166" spans="1:2" x14ac:dyDescent="0.2">
      <c r="A166" t="s">
        <v>13</v>
      </c>
      <c r="B166">
        <v>39.6875</v>
      </c>
    </row>
    <row r="167" spans="1:2" x14ac:dyDescent="0.2">
      <c r="A167" t="s">
        <v>13</v>
      </c>
      <c r="B167">
        <v>20.524999999999999</v>
      </c>
    </row>
    <row r="168" spans="1:2" x14ac:dyDescent="0.2">
      <c r="A168" t="s">
        <v>17</v>
      </c>
      <c r="B168">
        <v>55</v>
      </c>
    </row>
    <row r="169" spans="1:2" x14ac:dyDescent="0.2">
      <c r="A169" t="s">
        <v>17</v>
      </c>
      <c r="B169">
        <v>27.9</v>
      </c>
    </row>
    <row r="170" spans="1:2" x14ac:dyDescent="0.2">
      <c r="A170" t="s">
        <v>13</v>
      </c>
      <c r="B170">
        <v>25.925000000000001</v>
      </c>
    </row>
    <row r="171" spans="1:2" x14ac:dyDescent="0.2">
      <c r="A171" t="s">
        <v>13</v>
      </c>
      <c r="B171">
        <v>56.495800000000003</v>
      </c>
    </row>
    <row r="172" spans="1:2" x14ac:dyDescent="0.2">
      <c r="A172" t="s">
        <v>13</v>
      </c>
      <c r="B172">
        <v>33.5</v>
      </c>
    </row>
    <row r="173" spans="1:2" x14ac:dyDescent="0.2">
      <c r="A173" t="s">
        <v>13</v>
      </c>
      <c r="B173">
        <v>29.125</v>
      </c>
    </row>
    <row r="174" spans="1:2" x14ac:dyDescent="0.2">
      <c r="A174" t="s">
        <v>17</v>
      </c>
      <c r="B174">
        <v>11.1333</v>
      </c>
    </row>
    <row r="175" spans="1:2" x14ac:dyDescent="0.2">
      <c r="A175" t="s">
        <v>13</v>
      </c>
      <c r="B175">
        <v>7.9249999999999998</v>
      </c>
    </row>
    <row r="176" spans="1:2" x14ac:dyDescent="0.2">
      <c r="A176" t="s">
        <v>13</v>
      </c>
      <c r="B176">
        <v>30.695799999999998</v>
      </c>
    </row>
    <row r="177" spans="1:2" x14ac:dyDescent="0.2">
      <c r="A177" t="s">
        <v>13</v>
      </c>
      <c r="B177">
        <v>7.8541999999999996</v>
      </c>
    </row>
    <row r="178" spans="1:2" x14ac:dyDescent="0.2">
      <c r="A178" t="s">
        <v>13</v>
      </c>
      <c r="B178">
        <v>25.466699999999999</v>
      </c>
    </row>
    <row r="179" spans="1:2" x14ac:dyDescent="0.2">
      <c r="A179" t="s">
        <v>17</v>
      </c>
      <c r="B179">
        <v>28.712499999999999</v>
      </c>
    </row>
    <row r="180" spans="1:2" x14ac:dyDescent="0.2">
      <c r="A180" t="s">
        <v>13</v>
      </c>
      <c r="B180">
        <v>13</v>
      </c>
    </row>
    <row r="181" spans="1:2" x14ac:dyDescent="0.2">
      <c r="A181" t="s">
        <v>13</v>
      </c>
      <c r="B181">
        <v>0</v>
      </c>
    </row>
    <row r="182" spans="1:2" x14ac:dyDescent="0.2">
      <c r="A182" t="s">
        <v>17</v>
      </c>
      <c r="B182">
        <v>69.55</v>
      </c>
    </row>
    <row r="183" spans="1:2" x14ac:dyDescent="0.2">
      <c r="A183" t="s">
        <v>13</v>
      </c>
      <c r="B183">
        <v>15.05</v>
      </c>
    </row>
    <row r="184" spans="1:2" x14ac:dyDescent="0.2">
      <c r="A184" t="s">
        <v>13</v>
      </c>
      <c r="B184">
        <v>31.387499999999999</v>
      </c>
    </row>
    <row r="185" spans="1:2" x14ac:dyDescent="0.2">
      <c r="A185" t="s">
        <v>13</v>
      </c>
      <c r="B185">
        <v>39</v>
      </c>
    </row>
    <row r="186" spans="1:2" x14ac:dyDescent="0.2">
      <c r="A186" t="s">
        <v>17</v>
      </c>
      <c r="B186">
        <v>22.024999999999999</v>
      </c>
    </row>
    <row r="187" spans="1:2" x14ac:dyDescent="0.2">
      <c r="A187" t="s">
        <v>13</v>
      </c>
      <c r="B187">
        <v>50</v>
      </c>
    </row>
    <row r="188" spans="1:2" x14ac:dyDescent="0.2">
      <c r="A188" t="s">
        <v>17</v>
      </c>
      <c r="B188">
        <v>15.5</v>
      </c>
    </row>
    <row r="189" spans="1:2" x14ac:dyDescent="0.2">
      <c r="A189" t="s">
        <v>13</v>
      </c>
      <c r="B189">
        <v>26.55</v>
      </c>
    </row>
    <row r="190" spans="1:2" x14ac:dyDescent="0.2">
      <c r="A190" t="s">
        <v>13</v>
      </c>
      <c r="B190">
        <v>15.5</v>
      </c>
    </row>
    <row r="191" spans="1:2" x14ac:dyDescent="0.2">
      <c r="A191" t="s">
        <v>13</v>
      </c>
      <c r="B191">
        <v>7.8958000000000004</v>
      </c>
    </row>
    <row r="192" spans="1:2" x14ac:dyDescent="0.2">
      <c r="A192" t="s">
        <v>17</v>
      </c>
      <c r="B192">
        <v>13</v>
      </c>
    </row>
    <row r="193" spans="1:2" x14ac:dyDescent="0.2">
      <c r="A193" t="s">
        <v>13</v>
      </c>
      <c r="B193">
        <v>13</v>
      </c>
    </row>
    <row r="194" spans="1:2" x14ac:dyDescent="0.2">
      <c r="A194" t="s">
        <v>17</v>
      </c>
      <c r="B194">
        <v>7.8541999999999996</v>
      </c>
    </row>
    <row r="195" spans="1:2" x14ac:dyDescent="0.2">
      <c r="A195" t="s">
        <v>13</v>
      </c>
      <c r="B195">
        <v>26</v>
      </c>
    </row>
    <row r="196" spans="1:2" x14ac:dyDescent="0.2">
      <c r="A196" t="s">
        <v>17</v>
      </c>
      <c r="B196">
        <v>27.720800000000001</v>
      </c>
    </row>
    <row r="197" spans="1:2" x14ac:dyDescent="0.2">
      <c r="A197" t="s">
        <v>17</v>
      </c>
      <c r="B197">
        <v>146.52080000000001</v>
      </c>
    </row>
    <row r="198" spans="1:2" x14ac:dyDescent="0.2">
      <c r="A198" t="s">
        <v>13</v>
      </c>
      <c r="B198">
        <v>7.75</v>
      </c>
    </row>
    <row r="199" spans="1:2" x14ac:dyDescent="0.2">
      <c r="A199" t="s">
        <v>13</v>
      </c>
      <c r="B199">
        <v>8.4041999999999994</v>
      </c>
    </row>
    <row r="200" spans="1:2" x14ac:dyDescent="0.2">
      <c r="A200" t="s">
        <v>17</v>
      </c>
      <c r="B200">
        <v>7.75</v>
      </c>
    </row>
    <row r="201" spans="1:2" x14ac:dyDescent="0.2">
      <c r="A201" t="s">
        <v>17</v>
      </c>
      <c r="B201">
        <v>13</v>
      </c>
    </row>
    <row r="202" spans="1:2" x14ac:dyDescent="0.2">
      <c r="A202" t="s">
        <v>13</v>
      </c>
      <c r="B202">
        <v>9.5</v>
      </c>
    </row>
    <row r="203" spans="1:2" x14ac:dyDescent="0.2">
      <c r="A203" t="s">
        <v>13</v>
      </c>
      <c r="B203">
        <v>69.55</v>
      </c>
    </row>
    <row r="204" spans="1:2" x14ac:dyDescent="0.2">
      <c r="A204" t="s">
        <v>13</v>
      </c>
      <c r="B204">
        <v>6.4958</v>
      </c>
    </row>
    <row r="205" spans="1:2" x14ac:dyDescent="0.2">
      <c r="A205" t="s">
        <v>13</v>
      </c>
      <c r="B205">
        <v>7.2249999999999996</v>
      </c>
    </row>
    <row r="206" spans="1:2" x14ac:dyDescent="0.2">
      <c r="A206" t="s">
        <v>13</v>
      </c>
      <c r="B206">
        <v>8.0500000000000007</v>
      </c>
    </row>
    <row r="207" spans="1:2" x14ac:dyDescent="0.2">
      <c r="A207" t="s">
        <v>17</v>
      </c>
      <c r="B207">
        <v>10.4625</v>
      </c>
    </row>
    <row r="208" spans="1:2" x14ac:dyDescent="0.2">
      <c r="A208" t="s">
        <v>13</v>
      </c>
      <c r="B208">
        <v>15.85</v>
      </c>
    </row>
    <row r="209" spans="1:2" x14ac:dyDescent="0.2">
      <c r="A209" t="s">
        <v>13</v>
      </c>
      <c r="B209">
        <v>18.787500000000001</v>
      </c>
    </row>
    <row r="210" spans="1:2" x14ac:dyDescent="0.2">
      <c r="A210" t="s">
        <v>17</v>
      </c>
      <c r="B210">
        <v>7.75</v>
      </c>
    </row>
    <row r="211" spans="1:2" x14ac:dyDescent="0.2">
      <c r="A211" t="s">
        <v>13</v>
      </c>
      <c r="B211">
        <v>31</v>
      </c>
    </row>
    <row r="212" spans="1:2" x14ac:dyDescent="0.2">
      <c r="A212" t="s">
        <v>13</v>
      </c>
      <c r="B212">
        <v>7.05</v>
      </c>
    </row>
    <row r="213" spans="1:2" x14ac:dyDescent="0.2">
      <c r="A213" t="s">
        <v>17</v>
      </c>
      <c r="B213">
        <v>21</v>
      </c>
    </row>
    <row r="214" spans="1:2" x14ac:dyDescent="0.2">
      <c r="A214" t="s">
        <v>13</v>
      </c>
      <c r="B214">
        <v>7.25</v>
      </c>
    </row>
    <row r="215" spans="1:2" x14ac:dyDescent="0.2">
      <c r="A215" t="s">
        <v>13</v>
      </c>
      <c r="B215">
        <v>13</v>
      </c>
    </row>
    <row r="216" spans="1:2" x14ac:dyDescent="0.2">
      <c r="A216" t="s">
        <v>13</v>
      </c>
      <c r="B216">
        <v>7.75</v>
      </c>
    </row>
    <row r="217" spans="1:2" x14ac:dyDescent="0.2">
      <c r="A217" t="s">
        <v>17</v>
      </c>
      <c r="B217">
        <v>113.27500000000001</v>
      </c>
    </row>
    <row r="218" spans="1:2" x14ac:dyDescent="0.2">
      <c r="A218" t="s">
        <v>17</v>
      </c>
      <c r="B218">
        <v>7.9249999999999998</v>
      </c>
    </row>
    <row r="219" spans="1:2" x14ac:dyDescent="0.2">
      <c r="A219" t="s">
        <v>13</v>
      </c>
      <c r="B219">
        <v>27</v>
      </c>
    </row>
    <row r="220" spans="1:2" x14ac:dyDescent="0.2">
      <c r="A220" t="s">
        <v>17</v>
      </c>
      <c r="B220">
        <v>76.291700000000006</v>
      </c>
    </row>
    <row r="221" spans="1:2" x14ac:dyDescent="0.2">
      <c r="A221" t="s">
        <v>13</v>
      </c>
      <c r="B221">
        <v>10.5</v>
      </c>
    </row>
    <row r="222" spans="1:2" x14ac:dyDescent="0.2">
      <c r="A222" t="s">
        <v>13</v>
      </c>
      <c r="B222">
        <v>8.0500000000000007</v>
      </c>
    </row>
    <row r="223" spans="1:2" x14ac:dyDescent="0.2">
      <c r="A223" t="s">
        <v>13</v>
      </c>
      <c r="B223">
        <v>13</v>
      </c>
    </row>
    <row r="224" spans="1:2" x14ac:dyDescent="0.2">
      <c r="A224" t="s">
        <v>13</v>
      </c>
      <c r="B224">
        <v>8.0500000000000007</v>
      </c>
    </row>
    <row r="225" spans="1:2" x14ac:dyDescent="0.2">
      <c r="A225" t="s">
        <v>13</v>
      </c>
      <c r="B225">
        <v>7.8958000000000004</v>
      </c>
    </row>
    <row r="226" spans="1:2" x14ac:dyDescent="0.2">
      <c r="A226" t="s">
        <v>13</v>
      </c>
      <c r="B226">
        <v>90</v>
      </c>
    </row>
    <row r="227" spans="1:2" x14ac:dyDescent="0.2">
      <c r="A227" t="s">
        <v>13</v>
      </c>
      <c r="B227">
        <v>9.35</v>
      </c>
    </row>
    <row r="228" spans="1:2" x14ac:dyDescent="0.2">
      <c r="A228" t="s">
        <v>13</v>
      </c>
      <c r="B228">
        <v>10.5</v>
      </c>
    </row>
    <row r="229" spans="1:2" x14ac:dyDescent="0.2">
      <c r="A229" t="s">
        <v>13</v>
      </c>
      <c r="B229">
        <v>7.25</v>
      </c>
    </row>
    <row r="230" spans="1:2" x14ac:dyDescent="0.2">
      <c r="A230" t="s">
        <v>13</v>
      </c>
      <c r="B230">
        <v>13</v>
      </c>
    </row>
    <row r="231" spans="1:2" x14ac:dyDescent="0.2">
      <c r="A231" t="s">
        <v>17</v>
      </c>
      <c r="B231">
        <v>25.466699999999999</v>
      </c>
    </row>
    <row r="232" spans="1:2" x14ac:dyDescent="0.2">
      <c r="A232" t="s">
        <v>17</v>
      </c>
      <c r="B232">
        <v>83.474999999999994</v>
      </c>
    </row>
    <row r="233" spans="1:2" x14ac:dyDescent="0.2">
      <c r="A233" t="s">
        <v>13</v>
      </c>
      <c r="B233">
        <v>7.7750000000000004</v>
      </c>
    </row>
    <row r="234" spans="1:2" x14ac:dyDescent="0.2">
      <c r="A234" t="s">
        <v>13</v>
      </c>
      <c r="B234">
        <v>13.5</v>
      </c>
    </row>
    <row r="235" spans="1:2" x14ac:dyDescent="0.2">
      <c r="A235" t="s">
        <v>17</v>
      </c>
      <c r="B235">
        <v>31.387499999999999</v>
      </c>
    </row>
    <row r="236" spans="1:2" x14ac:dyDescent="0.2">
      <c r="A236" t="s">
        <v>13</v>
      </c>
      <c r="B236">
        <v>10.5</v>
      </c>
    </row>
    <row r="237" spans="1:2" x14ac:dyDescent="0.2">
      <c r="A237" t="s">
        <v>17</v>
      </c>
      <c r="B237">
        <v>7.55</v>
      </c>
    </row>
    <row r="238" spans="1:2" x14ac:dyDescent="0.2">
      <c r="A238" t="s">
        <v>13</v>
      </c>
      <c r="B238">
        <v>26</v>
      </c>
    </row>
    <row r="239" spans="1:2" x14ac:dyDescent="0.2">
      <c r="A239" t="s">
        <v>17</v>
      </c>
      <c r="B239">
        <v>26.25</v>
      </c>
    </row>
    <row r="240" spans="1:2" x14ac:dyDescent="0.2">
      <c r="A240" t="s">
        <v>13</v>
      </c>
      <c r="B240">
        <v>10.5</v>
      </c>
    </row>
    <row r="241" spans="1:2" x14ac:dyDescent="0.2">
      <c r="A241" t="s">
        <v>13</v>
      </c>
      <c r="B241">
        <v>12.275</v>
      </c>
    </row>
    <row r="242" spans="1:2" x14ac:dyDescent="0.2">
      <c r="A242" t="s">
        <v>17</v>
      </c>
      <c r="B242">
        <v>14.4542</v>
      </c>
    </row>
    <row r="243" spans="1:2" x14ac:dyDescent="0.2">
      <c r="A243" t="s">
        <v>17</v>
      </c>
      <c r="B243">
        <v>15.5</v>
      </c>
    </row>
    <row r="244" spans="1:2" x14ac:dyDescent="0.2">
      <c r="A244" t="s">
        <v>13</v>
      </c>
      <c r="B244">
        <v>10.5</v>
      </c>
    </row>
    <row r="245" spans="1:2" x14ac:dyDescent="0.2">
      <c r="A245" t="s">
        <v>13</v>
      </c>
      <c r="B245">
        <v>7.125</v>
      </c>
    </row>
    <row r="246" spans="1:2" x14ac:dyDescent="0.2">
      <c r="A246" t="s">
        <v>13</v>
      </c>
      <c r="B246">
        <v>7.2249999999999996</v>
      </c>
    </row>
    <row r="247" spans="1:2" x14ac:dyDescent="0.2">
      <c r="A247" t="s">
        <v>13</v>
      </c>
      <c r="B247">
        <v>90</v>
      </c>
    </row>
    <row r="248" spans="1:2" x14ac:dyDescent="0.2">
      <c r="A248" t="s">
        <v>17</v>
      </c>
      <c r="B248">
        <v>7.7750000000000004</v>
      </c>
    </row>
    <row r="249" spans="1:2" x14ac:dyDescent="0.2">
      <c r="A249" t="s">
        <v>17</v>
      </c>
      <c r="B249">
        <v>14.5</v>
      </c>
    </row>
    <row r="250" spans="1:2" x14ac:dyDescent="0.2">
      <c r="A250" t="s">
        <v>13</v>
      </c>
      <c r="B250">
        <v>52.554200000000002</v>
      </c>
    </row>
    <row r="251" spans="1:2" x14ac:dyDescent="0.2">
      <c r="A251" t="s">
        <v>13</v>
      </c>
      <c r="B251">
        <v>26</v>
      </c>
    </row>
    <row r="252" spans="1:2" x14ac:dyDescent="0.2">
      <c r="A252" t="s">
        <v>13</v>
      </c>
      <c r="B252">
        <v>7.25</v>
      </c>
    </row>
    <row r="253" spans="1:2" x14ac:dyDescent="0.2">
      <c r="A253" t="s">
        <v>17</v>
      </c>
      <c r="B253">
        <v>10.4625</v>
      </c>
    </row>
    <row r="254" spans="1:2" x14ac:dyDescent="0.2">
      <c r="A254" t="s">
        <v>13</v>
      </c>
      <c r="B254">
        <v>26.55</v>
      </c>
    </row>
    <row r="255" spans="1:2" x14ac:dyDescent="0.2">
      <c r="A255" t="s">
        <v>13</v>
      </c>
      <c r="B255">
        <v>16.100000000000001</v>
      </c>
    </row>
    <row r="256" spans="1:2" x14ac:dyDescent="0.2">
      <c r="A256" t="s">
        <v>17</v>
      </c>
      <c r="B256">
        <v>20.212499999999999</v>
      </c>
    </row>
    <row r="257" spans="1:2" x14ac:dyDescent="0.2">
      <c r="A257" t="s">
        <v>17</v>
      </c>
      <c r="B257">
        <v>15.245799999999999</v>
      </c>
    </row>
    <row r="258" spans="1:2" x14ac:dyDescent="0.2">
      <c r="A258" t="s">
        <v>17</v>
      </c>
      <c r="B258">
        <v>79.2</v>
      </c>
    </row>
    <row r="259" spans="1:2" x14ac:dyDescent="0.2">
      <c r="A259" t="s">
        <v>17</v>
      </c>
      <c r="B259">
        <v>86.5</v>
      </c>
    </row>
    <row r="260" spans="1:2" x14ac:dyDescent="0.2">
      <c r="A260" t="s">
        <v>17</v>
      </c>
    </row>
    <row r="261" spans="1:2" x14ac:dyDescent="0.2">
      <c r="A261" t="s">
        <v>17</v>
      </c>
      <c r="B261">
        <v>26</v>
      </c>
    </row>
    <row r="262" spans="1:2" x14ac:dyDescent="0.2">
      <c r="A262" t="s">
        <v>13</v>
      </c>
      <c r="B262">
        <v>7.75</v>
      </c>
    </row>
    <row r="263" spans="1:2" x14ac:dyDescent="0.2">
      <c r="A263" t="s">
        <v>13</v>
      </c>
      <c r="B263">
        <v>31.387499999999999</v>
      </c>
    </row>
    <row r="264" spans="1:2" x14ac:dyDescent="0.2">
      <c r="A264" t="s">
        <v>13</v>
      </c>
      <c r="B264">
        <v>79.650000000000006</v>
      </c>
    </row>
    <row r="265" spans="1:2" x14ac:dyDescent="0.2">
      <c r="A265" t="s">
        <v>13</v>
      </c>
      <c r="B265">
        <v>0</v>
      </c>
    </row>
    <row r="266" spans="1:2" x14ac:dyDescent="0.2">
      <c r="A266" t="s">
        <v>17</v>
      </c>
      <c r="B266">
        <v>7.75</v>
      </c>
    </row>
    <row r="267" spans="1:2" x14ac:dyDescent="0.2">
      <c r="A267" t="s">
        <v>13</v>
      </c>
      <c r="B267">
        <v>10.5</v>
      </c>
    </row>
    <row r="268" spans="1:2" x14ac:dyDescent="0.2">
      <c r="A268" t="s">
        <v>13</v>
      </c>
      <c r="B268">
        <v>39.6875</v>
      </c>
    </row>
    <row r="269" spans="1:2" x14ac:dyDescent="0.2">
      <c r="A269" t="s">
        <v>13</v>
      </c>
      <c r="B269">
        <v>7.7750000000000004</v>
      </c>
    </row>
    <row r="270" spans="1:2" x14ac:dyDescent="0.2">
      <c r="A270" t="s">
        <v>17</v>
      </c>
      <c r="B270">
        <v>153.46250000000001</v>
      </c>
    </row>
    <row r="271" spans="1:2" x14ac:dyDescent="0.2">
      <c r="A271" t="s">
        <v>17</v>
      </c>
      <c r="B271">
        <v>135.63329999999999</v>
      </c>
    </row>
    <row r="272" spans="1:2" x14ac:dyDescent="0.2">
      <c r="A272" t="s">
        <v>13</v>
      </c>
      <c r="B272">
        <v>31</v>
      </c>
    </row>
    <row r="273" spans="1:2" x14ac:dyDescent="0.2">
      <c r="A273" t="s">
        <v>13</v>
      </c>
      <c r="B273">
        <v>0</v>
      </c>
    </row>
    <row r="274" spans="1:2" x14ac:dyDescent="0.2">
      <c r="A274" t="s">
        <v>17</v>
      </c>
      <c r="B274">
        <v>19.5</v>
      </c>
    </row>
    <row r="275" spans="1:2" x14ac:dyDescent="0.2">
      <c r="A275" t="s">
        <v>13</v>
      </c>
      <c r="B275">
        <v>29.7</v>
      </c>
    </row>
    <row r="276" spans="1:2" x14ac:dyDescent="0.2">
      <c r="A276" t="s">
        <v>17</v>
      </c>
      <c r="B276">
        <v>7.75</v>
      </c>
    </row>
    <row r="277" spans="1:2" x14ac:dyDescent="0.2">
      <c r="A277" t="s">
        <v>17</v>
      </c>
      <c r="B277">
        <v>77.958299999999994</v>
      </c>
    </row>
    <row r="278" spans="1:2" x14ac:dyDescent="0.2">
      <c r="A278" t="s">
        <v>17</v>
      </c>
      <c r="B278">
        <v>7.75</v>
      </c>
    </row>
    <row r="279" spans="1:2" x14ac:dyDescent="0.2">
      <c r="A279" t="s">
        <v>13</v>
      </c>
      <c r="B279">
        <v>0</v>
      </c>
    </row>
    <row r="280" spans="1:2" x14ac:dyDescent="0.2">
      <c r="A280" t="s">
        <v>13</v>
      </c>
      <c r="B280">
        <v>29.125</v>
      </c>
    </row>
    <row r="281" spans="1:2" x14ac:dyDescent="0.2">
      <c r="A281" t="s">
        <v>17</v>
      </c>
      <c r="B281">
        <v>20.25</v>
      </c>
    </row>
    <row r="282" spans="1:2" x14ac:dyDescent="0.2">
      <c r="A282" t="s">
        <v>13</v>
      </c>
      <c r="B282">
        <v>7.75</v>
      </c>
    </row>
    <row r="283" spans="1:2" x14ac:dyDescent="0.2">
      <c r="A283" t="s">
        <v>13</v>
      </c>
      <c r="B283">
        <v>7.8541999999999996</v>
      </c>
    </row>
    <row r="284" spans="1:2" x14ac:dyDescent="0.2">
      <c r="A284" t="s">
        <v>13</v>
      </c>
      <c r="B284">
        <v>9.5</v>
      </c>
    </row>
    <row r="285" spans="1:2" x14ac:dyDescent="0.2">
      <c r="A285" t="s">
        <v>13</v>
      </c>
      <c r="B285">
        <v>8.0500000000000007</v>
      </c>
    </row>
    <row r="286" spans="1:2" x14ac:dyDescent="0.2">
      <c r="A286" t="s">
        <v>13</v>
      </c>
      <c r="B286">
        <v>26</v>
      </c>
    </row>
    <row r="287" spans="1:2" x14ac:dyDescent="0.2">
      <c r="A287" t="s">
        <v>13</v>
      </c>
      <c r="B287">
        <v>8.6624999999999996</v>
      </c>
    </row>
    <row r="288" spans="1:2" x14ac:dyDescent="0.2">
      <c r="A288" t="s">
        <v>13</v>
      </c>
      <c r="B288">
        <v>9.5</v>
      </c>
    </row>
    <row r="289" spans="1:2" x14ac:dyDescent="0.2">
      <c r="A289" t="s">
        <v>13</v>
      </c>
      <c r="B289">
        <v>7.8958000000000004</v>
      </c>
    </row>
    <row r="290" spans="1:2" x14ac:dyDescent="0.2">
      <c r="A290" t="s">
        <v>13</v>
      </c>
      <c r="B290">
        <v>13</v>
      </c>
    </row>
    <row r="291" spans="1:2" x14ac:dyDescent="0.2">
      <c r="A291" t="s">
        <v>17</v>
      </c>
      <c r="B291">
        <v>7.75</v>
      </c>
    </row>
    <row r="292" spans="1:2" x14ac:dyDescent="0.2">
      <c r="A292" t="s">
        <v>17</v>
      </c>
      <c r="B292">
        <v>78.849999999999994</v>
      </c>
    </row>
    <row r="293" spans="1:2" x14ac:dyDescent="0.2">
      <c r="A293" t="s">
        <v>17</v>
      </c>
      <c r="B293">
        <v>91.0792</v>
      </c>
    </row>
    <row r="294" spans="1:2" x14ac:dyDescent="0.2">
      <c r="A294" t="s">
        <v>13</v>
      </c>
      <c r="B294">
        <v>12.875</v>
      </c>
    </row>
    <row r="295" spans="1:2" x14ac:dyDescent="0.2">
      <c r="A295" t="s">
        <v>17</v>
      </c>
      <c r="B295">
        <v>8.85</v>
      </c>
    </row>
    <row r="296" spans="1:2" x14ac:dyDescent="0.2">
      <c r="A296" t="s">
        <v>13</v>
      </c>
      <c r="B296">
        <v>7.8958000000000004</v>
      </c>
    </row>
    <row r="297" spans="1:2" x14ac:dyDescent="0.2">
      <c r="A297" t="s">
        <v>13</v>
      </c>
      <c r="B297">
        <v>27.720800000000001</v>
      </c>
    </row>
    <row r="298" spans="1:2" x14ac:dyDescent="0.2">
      <c r="A298" t="s">
        <v>13</v>
      </c>
      <c r="B298">
        <v>7.2291999999999996</v>
      </c>
    </row>
    <row r="299" spans="1:2" x14ac:dyDescent="0.2">
      <c r="A299" t="s">
        <v>17</v>
      </c>
      <c r="B299">
        <v>151.55000000000001</v>
      </c>
    </row>
    <row r="300" spans="1:2" x14ac:dyDescent="0.2">
      <c r="A300" t="s">
        <v>13</v>
      </c>
      <c r="B300">
        <v>30.5</v>
      </c>
    </row>
    <row r="301" spans="1:2" x14ac:dyDescent="0.2">
      <c r="A301" t="s">
        <v>17</v>
      </c>
      <c r="B301">
        <v>247.52080000000001</v>
      </c>
    </row>
    <row r="302" spans="1:2" x14ac:dyDescent="0.2">
      <c r="A302" t="s">
        <v>17</v>
      </c>
      <c r="B302">
        <v>7.75</v>
      </c>
    </row>
    <row r="303" spans="1:2" x14ac:dyDescent="0.2">
      <c r="A303" t="s">
        <v>13</v>
      </c>
      <c r="B303">
        <v>23.25</v>
      </c>
    </row>
    <row r="304" spans="1:2" x14ac:dyDescent="0.2">
      <c r="A304" t="s">
        <v>13</v>
      </c>
      <c r="B304">
        <v>0</v>
      </c>
    </row>
    <row r="305" spans="1:2" x14ac:dyDescent="0.2">
      <c r="A305" t="s">
        <v>17</v>
      </c>
      <c r="B305">
        <v>12.35</v>
      </c>
    </row>
    <row r="306" spans="1:2" x14ac:dyDescent="0.2">
      <c r="A306" t="s">
        <v>13</v>
      </c>
      <c r="B306">
        <v>8.0500000000000007</v>
      </c>
    </row>
    <row r="307" spans="1:2" x14ac:dyDescent="0.2">
      <c r="A307" t="s">
        <v>13</v>
      </c>
      <c r="B307">
        <v>151.55000000000001</v>
      </c>
    </row>
    <row r="308" spans="1:2" x14ac:dyDescent="0.2">
      <c r="A308" t="s">
        <v>17</v>
      </c>
      <c r="B308">
        <v>110.88330000000001</v>
      </c>
    </row>
    <row r="309" spans="1:2" x14ac:dyDescent="0.2">
      <c r="A309" t="s">
        <v>17</v>
      </c>
      <c r="B309">
        <v>108.9</v>
      </c>
    </row>
    <row r="310" spans="1:2" x14ac:dyDescent="0.2">
      <c r="A310" t="s">
        <v>13</v>
      </c>
      <c r="B310">
        <v>24</v>
      </c>
    </row>
    <row r="311" spans="1:2" x14ac:dyDescent="0.2">
      <c r="A311" t="s">
        <v>17</v>
      </c>
      <c r="B311">
        <v>56.929200000000002</v>
      </c>
    </row>
    <row r="312" spans="1:2" x14ac:dyDescent="0.2">
      <c r="A312" t="s">
        <v>17</v>
      </c>
      <c r="B312">
        <v>83.158299999999997</v>
      </c>
    </row>
    <row r="313" spans="1:2" x14ac:dyDescent="0.2">
      <c r="A313" t="s">
        <v>17</v>
      </c>
      <c r="B313">
        <v>262.375</v>
      </c>
    </row>
    <row r="314" spans="1:2" x14ac:dyDescent="0.2">
      <c r="A314" t="s">
        <v>17</v>
      </c>
      <c r="B314">
        <v>26</v>
      </c>
    </row>
    <row r="315" spans="1:2" x14ac:dyDescent="0.2">
      <c r="A315" t="s">
        <v>13</v>
      </c>
      <c r="B315">
        <v>7.8958000000000004</v>
      </c>
    </row>
    <row r="316" spans="1:2" x14ac:dyDescent="0.2">
      <c r="A316" t="s">
        <v>13</v>
      </c>
      <c r="B316">
        <v>26.25</v>
      </c>
    </row>
    <row r="317" spans="1:2" x14ac:dyDescent="0.2">
      <c r="A317" t="s">
        <v>17</v>
      </c>
      <c r="B317">
        <v>7.8541999999999996</v>
      </c>
    </row>
    <row r="318" spans="1:2" x14ac:dyDescent="0.2">
      <c r="A318" t="s">
        <v>17</v>
      </c>
      <c r="B318">
        <v>26</v>
      </c>
    </row>
    <row r="319" spans="1:2" x14ac:dyDescent="0.2">
      <c r="A319" t="s">
        <v>13</v>
      </c>
      <c r="B319">
        <v>14</v>
      </c>
    </row>
    <row r="320" spans="1:2" x14ac:dyDescent="0.2">
      <c r="A320" t="s">
        <v>17</v>
      </c>
      <c r="B320">
        <v>164.86670000000001</v>
      </c>
    </row>
    <row r="321" spans="1:2" x14ac:dyDescent="0.2">
      <c r="A321" t="s">
        <v>17</v>
      </c>
      <c r="B321">
        <v>134.5</v>
      </c>
    </row>
    <row r="322" spans="1:2" x14ac:dyDescent="0.2">
      <c r="A322" t="s">
        <v>13</v>
      </c>
      <c r="B322">
        <v>7.25</v>
      </c>
    </row>
    <row r="323" spans="1:2" x14ac:dyDescent="0.2">
      <c r="A323" t="s">
        <v>13</v>
      </c>
      <c r="B323">
        <v>7.8958000000000004</v>
      </c>
    </row>
    <row r="324" spans="1:2" x14ac:dyDescent="0.2">
      <c r="A324" t="s">
        <v>17</v>
      </c>
      <c r="B324">
        <v>12.35</v>
      </c>
    </row>
    <row r="325" spans="1:2" x14ac:dyDescent="0.2">
      <c r="A325" t="s">
        <v>17</v>
      </c>
      <c r="B325">
        <v>29</v>
      </c>
    </row>
    <row r="326" spans="1:2" x14ac:dyDescent="0.2">
      <c r="A326" t="s">
        <v>13</v>
      </c>
      <c r="B326">
        <v>69.55</v>
      </c>
    </row>
    <row r="327" spans="1:2" x14ac:dyDescent="0.2">
      <c r="A327" t="s">
        <v>17</v>
      </c>
      <c r="B327">
        <v>135.63329999999999</v>
      </c>
    </row>
    <row r="328" spans="1:2" x14ac:dyDescent="0.2">
      <c r="A328" t="s">
        <v>13</v>
      </c>
      <c r="B328">
        <v>6.2374999999999998</v>
      </c>
    </row>
    <row r="329" spans="1:2" x14ac:dyDescent="0.2">
      <c r="A329" t="s">
        <v>17</v>
      </c>
      <c r="B329">
        <v>13</v>
      </c>
    </row>
    <row r="330" spans="1:2" x14ac:dyDescent="0.2">
      <c r="A330" t="s">
        <v>17</v>
      </c>
      <c r="B330">
        <v>20.524999999999999</v>
      </c>
    </row>
    <row r="331" spans="1:2" x14ac:dyDescent="0.2">
      <c r="A331" t="s">
        <v>17</v>
      </c>
      <c r="B331">
        <v>57.979199999999999</v>
      </c>
    </row>
    <row r="332" spans="1:2" x14ac:dyDescent="0.2">
      <c r="A332" t="s">
        <v>17</v>
      </c>
      <c r="B332">
        <v>23.25</v>
      </c>
    </row>
    <row r="333" spans="1:2" x14ac:dyDescent="0.2">
      <c r="A333" t="s">
        <v>13</v>
      </c>
      <c r="B333">
        <v>28.5</v>
      </c>
    </row>
    <row r="334" spans="1:2" x14ac:dyDescent="0.2">
      <c r="A334" t="s">
        <v>13</v>
      </c>
      <c r="B334">
        <v>153.46250000000001</v>
      </c>
    </row>
    <row r="335" spans="1:2" x14ac:dyDescent="0.2">
      <c r="A335" t="s">
        <v>13</v>
      </c>
      <c r="B335">
        <v>18</v>
      </c>
    </row>
    <row r="336" spans="1:2" x14ac:dyDescent="0.2">
      <c r="A336" t="s">
        <v>17</v>
      </c>
      <c r="B336">
        <v>133.65</v>
      </c>
    </row>
    <row r="337" spans="1:2" x14ac:dyDescent="0.2">
      <c r="A337" t="s">
        <v>13</v>
      </c>
      <c r="B337">
        <v>7.8958000000000004</v>
      </c>
    </row>
    <row r="338" spans="1:2" x14ac:dyDescent="0.2">
      <c r="A338" t="s">
        <v>13</v>
      </c>
      <c r="B338">
        <v>66.599999999999994</v>
      </c>
    </row>
    <row r="339" spans="1:2" x14ac:dyDescent="0.2">
      <c r="A339" t="s">
        <v>17</v>
      </c>
      <c r="B339">
        <v>134.5</v>
      </c>
    </row>
    <row r="340" spans="1:2" x14ac:dyDescent="0.2">
      <c r="A340" t="s">
        <v>13</v>
      </c>
      <c r="B340">
        <v>8.0500000000000007</v>
      </c>
    </row>
    <row r="341" spans="1:2" x14ac:dyDescent="0.2">
      <c r="A341" t="s">
        <v>13</v>
      </c>
      <c r="B341">
        <v>35.5</v>
      </c>
    </row>
    <row r="342" spans="1:2" x14ac:dyDescent="0.2">
      <c r="A342" t="s">
        <v>13</v>
      </c>
      <c r="B342">
        <v>26</v>
      </c>
    </row>
    <row r="343" spans="1:2" x14ac:dyDescent="0.2">
      <c r="A343" t="s">
        <v>17</v>
      </c>
      <c r="B343">
        <v>263</v>
      </c>
    </row>
    <row r="344" spans="1:2" x14ac:dyDescent="0.2">
      <c r="A344" t="s">
        <v>13</v>
      </c>
      <c r="B344">
        <v>13</v>
      </c>
    </row>
    <row r="345" spans="1:2" x14ac:dyDescent="0.2">
      <c r="A345" t="s">
        <v>13</v>
      </c>
      <c r="B345">
        <v>13</v>
      </c>
    </row>
    <row r="346" spans="1:2" x14ac:dyDescent="0.2">
      <c r="A346" t="s">
        <v>13</v>
      </c>
      <c r="B346">
        <v>13</v>
      </c>
    </row>
    <row r="347" spans="1:2" x14ac:dyDescent="0.2">
      <c r="A347" t="s">
        <v>17</v>
      </c>
      <c r="B347">
        <v>13</v>
      </c>
    </row>
    <row r="348" spans="1:2" x14ac:dyDescent="0.2">
      <c r="A348" t="s">
        <v>17</v>
      </c>
      <c r="B348">
        <v>13</v>
      </c>
    </row>
    <row r="349" spans="1:2" x14ac:dyDescent="0.2">
      <c r="A349" t="s">
        <v>17</v>
      </c>
      <c r="B349">
        <v>16.100000000000001</v>
      </c>
    </row>
    <row r="350" spans="1:2" x14ac:dyDescent="0.2">
      <c r="A350" t="s">
        <v>13</v>
      </c>
      <c r="B350">
        <v>15.9</v>
      </c>
    </row>
    <row r="351" spans="1:2" x14ac:dyDescent="0.2">
      <c r="A351" t="s">
        <v>13</v>
      </c>
      <c r="B351">
        <v>8.6624999999999996</v>
      </c>
    </row>
    <row r="352" spans="1:2" x14ac:dyDescent="0.2">
      <c r="A352" t="s">
        <v>13</v>
      </c>
      <c r="B352">
        <v>9.2249999999999996</v>
      </c>
    </row>
    <row r="353" spans="1:2" x14ac:dyDescent="0.2">
      <c r="A353" t="s">
        <v>13</v>
      </c>
      <c r="B353">
        <v>35</v>
      </c>
    </row>
    <row r="354" spans="1:2" x14ac:dyDescent="0.2">
      <c r="A354" t="s">
        <v>13</v>
      </c>
      <c r="B354">
        <v>7.2291999999999996</v>
      </c>
    </row>
    <row r="355" spans="1:2" x14ac:dyDescent="0.2">
      <c r="A355" t="s">
        <v>13</v>
      </c>
      <c r="B355">
        <v>17.8</v>
      </c>
    </row>
    <row r="356" spans="1:2" x14ac:dyDescent="0.2">
      <c r="A356" t="s">
        <v>13</v>
      </c>
      <c r="B356">
        <v>7.2249999999999996</v>
      </c>
    </row>
    <row r="357" spans="1:2" x14ac:dyDescent="0.2">
      <c r="A357" t="s">
        <v>13</v>
      </c>
      <c r="B357">
        <v>9.5</v>
      </c>
    </row>
    <row r="358" spans="1:2" x14ac:dyDescent="0.2">
      <c r="A358" t="s">
        <v>17</v>
      </c>
      <c r="B358">
        <v>55</v>
      </c>
    </row>
    <row r="359" spans="1:2" x14ac:dyDescent="0.2">
      <c r="A359" t="s">
        <v>17</v>
      </c>
      <c r="B359">
        <v>13</v>
      </c>
    </row>
    <row r="360" spans="1:2" x14ac:dyDescent="0.2">
      <c r="A360" t="s">
        <v>17</v>
      </c>
      <c r="B360">
        <v>7.8792</v>
      </c>
    </row>
    <row r="361" spans="1:2" x14ac:dyDescent="0.2">
      <c r="A361" t="s">
        <v>17</v>
      </c>
      <c r="B361">
        <v>7.8792</v>
      </c>
    </row>
    <row r="362" spans="1:2" x14ac:dyDescent="0.2">
      <c r="A362" t="s">
        <v>13</v>
      </c>
      <c r="B362">
        <v>27.9</v>
      </c>
    </row>
    <row r="363" spans="1:2" x14ac:dyDescent="0.2">
      <c r="A363" t="s">
        <v>13</v>
      </c>
      <c r="B363">
        <v>27.720800000000001</v>
      </c>
    </row>
    <row r="364" spans="1:2" x14ac:dyDescent="0.2">
      <c r="A364" t="s">
        <v>17</v>
      </c>
      <c r="B364">
        <v>14.4542</v>
      </c>
    </row>
    <row r="365" spans="1:2" x14ac:dyDescent="0.2">
      <c r="A365" t="s">
        <v>13</v>
      </c>
      <c r="B365">
        <v>7.05</v>
      </c>
    </row>
    <row r="366" spans="1:2" x14ac:dyDescent="0.2">
      <c r="A366" t="s">
        <v>13</v>
      </c>
      <c r="B366">
        <v>15.5</v>
      </c>
    </row>
    <row r="367" spans="1:2" x14ac:dyDescent="0.2">
      <c r="A367" t="s">
        <v>13</v>
      </c>
      <c r="B367">
        <v>7.25</v>
      </c>
    </row>
    <row r="368" spans="1:2" x14ac:dyDescent="0.2">
      <c r="A368" t="s">
        <v>17</v>
      </c>
      <c r="B368">
        <v>75.25</v>
      </c>
    </row>
    <row r="369" spans="1:2" x14ac:dyDescent="0.2">
      <c r="A369" t="s">
        <v>17</v>
      </c>
      <c r="B369">
        <v>7.2291999999999996</v>
      </c>
    </row>
    <row r="370" spans="1:2" x14ac:dyDescent="0.2">
      <c r="A370" t="s">
        <v>17</v>
      </c>
      <c r="B370">
        <v>7.75</v>
      </c>
    </row>
    <row r="371" spans="1:2" x14ac:dyDescent="0.2">
      <c r="A371" t="s">
        <v>17</v>
      </c>
      <c r="B371">
        <v>69.3</v>
      </c>
    </row>
    <row r="372" spans="1:2" x14ac:dyDescent="0.2">
      <c r="A372" t="s">
        <v>13</v>
      </c>
      <c r="B372">
        <v>55.441699999999997</v>
      </c>
    </row>
    <row r="373" spans="1:2" x14ac:dyDescent="0.2">
      <c r="A373" t="s">
        <v>13</v>
      </c>
      <c r="B373">
        <v>6.4958</v>
      </c>
    </row>
    <row r="374" spans="1:2" x14ac:dyDescent="0.2">
      <c r="A374" t="s">
        <v>13</v>
      </c>
      <c r="B374">
        <v>8.0500000000000007</v>
      </c>
    </row>
    <row r="375" spans="1:2" x14ac:dyDescent="0.2">
      <c r="A375" t="s">
        <v>13</v>
      </c>
      <c r="B375">
        <v>135.63329999999999</v>
      </c>
    </row>
    <row r="376" spans="1:2" x14ac:dyDescent="0.2">
      <c r="A376" t="s">
        <v>17</v>
      </c>
      <c r="B376">
        <v>21.074999999999999</v>
      </c>
    </row>
    <row r="377" spans="1:2" x14ac:dyDescent="0.2">
      <c r="A377" t="s">
        <v>17</v>
      </c>
      <c r="B377">
        <v>82.1708</v>
      </c>
    </row>
    <row r="378" spans="1:2" x14ac:dyDescent="0.2">
      <c r="A378" t="s">
        <v>17</v>
      </c>
      <c r="B378">
        <v>7.25</v>
      </c>
    </row>
    <row r="379" spans="1:2" x14ac:dyDescent="0.2">
      <c r="A379" t="s">
        <v>13</v>
      </c>
      <c r="B379">
        <v>211.5</v>
      </c>
    </row>
    <row r="380" spans="1:2" x14ac:dyDescent="0.2">
      <c r="A380" t="s">
        <v>13</v>
      </c>
      <c r="B380">
        <v>4.0125000000000002</v>
      </c>
    </row>
    <row r="381" spans="1:2" x14ac:dyDescent="0.2">
      <c r="A381" t="s">
        <v>13</v>
      </c>
      <c r="B381">
        <v>7.7750000000000004</v>
      </c>
    </row>
    <row r="382" spans="1:2" x14ac:dyDescent="0.2">
      <c r="A382" t="s">
        <v>17</v>
      </c>
      <c r="B382">
        <v>227.52500000000001</v>
      </c>
    </row>
    <row r="383" spans="1:2" x14ac:dyDescent="0.2">
      <c r="A383" t="s">
        <v>17</v>
      </c>
      <c r="B383">
        <v>15.7417</v>
      </c>
    </row>
    <row r="384" spans="1:2" x14ac:dyDescent="0.2">
      <c r="A384" t="s">
        <v>13</v>
      </c>
      <c r="B384">
        <v>7.9249999999999998</v>
      </c>
    </row>
    <row r="385" spans="1:2" x14ac:dyDescent="0.2">
      <c r="A385" t="s">
        <v>17</v>
      </c>
      <c r="B385">
        <v>52</v>
      </c>
    </row>
    <row r="386" spans="1:2" x14ac:dyDescent="0.2">
      <c r="A386" t="s">
        <v>13</v>
      </c>
      <c r="B386">
        <v>7.8958000000000004</v>
      </c>
    </row>
    <row r="387" spans="1:2" x14ac:dyDescent="0.2">
      <c r="A387" t="s">
        <v>13</v>
      </c>
      <c r="B387">
        <v>73.5</v>
      </c>
    </row>
    <row r="388" spans="1:2" x14ac:dyDescent="0.2">
      <c r="A388" t="s">
        <v>13</v>
      </c>
      <c r="B388">
        <v>46.9</v>
      </c>
    </row>
    <row r="389" spans="1:2" x14ac:dyDescent="0.2">
      <c r="A389" t="s">
        <v>17</v>
      </c>
      <c r="B389">
        <v>13</v>
      </c>
    </row>
    <row r="390" spans="1:2" x14ac:dyDescent="0.2">
      <c r="A390" t="s">
        <v>13</v>
      </c>
      <c r="B390">
        <v>7.7291999999999996</v>
      </c>
    </row>
    <row r="391" spans="1:2" x14ac:dyDescent="0.2">
      <c r="A391" t="s">
        <v>17</v>
      </c>
      <c r="B391">
        <v>12</v>
      </c>
    </row>
    <row r="392" spans="1:2" x14ac:dyDescent="0.2">
      <c r="A392" t="s">
        <v>13</v>
      </c>
      <c r="B392">
        <v>120</v>
      </c>
    </row>
    <row r="393" spans="1:2" x14ac:dyDescent="0.2">
      <c r="A393" t="s">
        <v>13</v>
      </c>
      <c r="B393">
        <v>7.7957999999999998</v>
      </c>
    </row>
    <row r="394" spans="1:2" x14ac:dyDescent="0.2">
      <c r="A394" t="s">
        <v>13</v>
      </c>
      <c r="B394">
        <v>7.9249999999999998</v>
      </c>
    </row>
    <row r="395" spans="1:2" x14ac:dyDescent="0.2">
      <c r="A395" t="s">
        <v>17</v>
      </c>
      <c r="B395">
        <v>113.27500000000001</v>
      </c>
    </row>
    <row r="396" spans="1:2" x14ac:dyDescent="0.2">
      <c r="A396" t="s">
        <v>17</v>
      </c>
      <c r="B396">
        <v>16.7</v>
      </c>
    </row>
    <row r="397" spans="1:2" x14ac:dyDescent="0.2">
      <c r="A397" t="s">
        <v>13</v>
      </c>
      <c r="B397">
        <v>7.7957999999999998</v>
      </c>
    </row>
    <row r="398" spans="1:2" x14ac:dyDescent="0.2">
      <c r="A398" t="s">
        <v>17</v>
      </c>
      <c r="B398">
        <v>7.8541999999999996</v>
      </c>
    </row>
    <row r="399" spans="1:2" x14ac:dyDescent="0.2">
      <c r="A399" t="s">
        <v>13</v>
      </c>
      <c r="B399">
        <v>26</v>
      </c>
    </row>
    <row r="400" spans="1:2" x14ac:dyDescent="0.2">
      <c r="A400" t="s">
        <v>13</v>
      </c>
      <c r="B400">
        <v>10.5</v>
      </c>
    </row>
    <row r="401" spans="1:2" x14ac:dyDescent="0.2">
      <c r="A401" t="s">
        <v>17</v>
      </c>
      <c r="B401">
        <v>12.65</v>
      </c>
    </row>
    <row r="402" spans="1:2" x14ac:dyDescent="0.2">
      <c r="A402" t="s">
        <v>13</v>
      </c>
      <c r="B402">
        <v>7.9249999999999998</v>
      </c>
    </row>
    <row r="403" spans="1:2" x14ac:dyDescent="0.2">
      <c r="A403" t="s">
        <v>13</v>
      </c>
      <c r="B403">
        <v>8.0500000000000007</v>
      </c>
    </row>
    <row r="404" spans="1:2" x14ac:dyDescent="0.2">
      <c r="A404" t="s">
        <v>17</v>
      </c>
      <c r="B404">
        <v>9.8249999999999993</v>
      </c>
    </row>
    <row r="405" spans="1:2" x14ac:dyDescent="0.2">
      <c r="A405" t="s">
        <v>13</v>
      </c>
      <c r="B405">
        <v>15.85</v>
      </c>
    </row>
    <row r="406" spans="1:2" x14ac:dyDescent="0.2">
      <c r="A406" t="s">
        <v>17</v>
      </c>
      <c r="B406">
        <v>8.6624999999999996</v>
      </c>
    </row>
    <row r="407" spans="1:2" x14ac:dyDescent="0.2">
      <c r="A407" t="s">
        <v>13</v>
      </c>
      <c r="B407">
        <v>21</v>
      </c>
    </row>
    <row r="408" spans="1:2" x14ac:dyDescent="0.2">
      <c r="A408" t="s">
        <v>13</v>
      </c>
      <c r="B408">
        <v>7.75</v>
      </c>
    </row>
    <row r="409" spans="1:2" x14ac:dyDescent="0.2">
      <c r="A409" t="s">
        <v>13</v>
      </c>
      <c r="B409">
        <v>18.75</v>
      </c>
    </row>
    <row r="410" spans="1:2" x14ac:dyDescent="0.2">
      <c r="A410" t="s">
        <v>13</v>
      </c>
      <c r="B410">
        <v>7.7750000000000004</v>
      </c>
    </row>
    <row r="411" spans="1:2" x14ac:dyDescent="0.2">
      <c r="A411" t="s">
        <v>17</v>
      </c>
      <c r="B411">
        <v>25.466699999999999</v>
      </c>
    </row>
    <row r="412" spans="1:2" x14ac:dyDescent="0.2">
      <c r="A412" t="s">
        <v>13</v>
      </c>
      <c r="B412">
        <v>7.8958000000000004</v>
      </c>
    </row>
    <row r="413" spans="1:2" x14ac:dyDescent="0.2">
      <c r="A413" t="s">
        <v>13</v>
      </c>
      <c r="B413">
        <v>6.8582999999999998</v>
      </c>
    </row>
    <row r="414" spans="1:2" x14ac:dyDescent="0.2">
      <c r="A414" t="s">
        <v>17</v>
      </c>
      <c r="B414">
        <v>90</v>
      </c>
    </row>
    <row r="415" spans="1:2" x14ac:dyDescent="0.2">
      <c r="A415" t="s">
        <v>13</v>
      </c>
      <c r="B415">
        <v>0</v>
      </c>
    </row>
    <row r="416" spans="1:2" x14ac:dyDescent="0.2">
      <c r="A416" t="s">
        <v>13</v>
      </c>
      <c r="B416">
        <v>7.9249999999999998</v>
      </c>
    </row>
    <row r="417" spans="1:2" x14ac:dyDescent="0.2">
      <c r="A417" t="s">
        <v>17</v>
      </c>
      <c r="B417">
        <v>8.0500000000000007</v>
      </c>
    </row>
    <row r="418" spans="1:2" x14ac:dyDescent="0.2">
      <c r="A418" t="s">
        <v>17</v>
      </c>
      <c r="B418">
        <v>32.5</v>
      </c>
    </row>
    <row r="419" spans="1:2" x14ac:dyDescent="0.2">
      <c r="A419" t="s">
        <v>17</v>
      </c>
      <c r="B419">
        <v>13</v>
      </c>
    </row>
    <row r="420" spans="1:2" x14ac:dyDescent="0.2">
      <c r="A420" t="s">
        <v>13</v>
      </c>
      <c r="B420">
        <v>13</v>
      </c>
    </row>
    <row r="421" spans="1:2" x14ac:dyDescent="0.2">
      <c r="A421" t="s">
        <v>17</v>
      </c>
      <c r="B421">
        <v>24.15</v>
      </c>
    </row>
    <row r="422" spans="1:2" x14ac:dyDescent="0.2">
      <c r="A422" t="s">
        <v>13</v>
      </c>
      <c r="B422">
        <v>7.8958000000000004</v>
      </c>
    </row>
    <row r="423" spans="1:2" x14ac:dyDescent="0.2">
      <c r="A423" t="s">
        <v>13</v>
      </c>
      <c r="B423">
        <v>7.7332999999999998</v>
      </c>
    </row>
    <row r="424" spans="1:2" x14ac:dyDescent="0.2">
      <c r="A424" t="s">
        <v>13</v>
      </c>
      <c r="B424">
        <v>7.875</v>
      </c>
    </row>
    <row r="425" spans="1:2" x14ac:dyDescent="0.2">
      <c r="A425" t="s">
        <v>17</v>
      </c>
      <c r="B425">
        <v>14.4</v>
      </c>
    </row>
    <row r="426" spans="1:2" x14ac:dyDescent="0.2">
      <c r="A426" t="s">
        <v>13</v>
      </c>
      <c r="B426">
        <v>20.212499999999999</v>
      </c>
    </row>
    <row r="427" spans="1:2" x14ac:dyDescent="0.2">
      <c r="A427" t="s">
        <v>13</v>
      </c>
      <c r="B427">
        <v>7.25</v>
      </c>
    </row>
    <row r="428" spans="1:2" x14ac:dyDescent="0.2">
      <c r="A428" t="s">
        <v>17</v>
      </c>
      <c r="B428">
        <v>26</v>
      </c>
    </row>
    <row r="429" spans="1:2" x14ac:dyDescent="0.2">
      <c r="A429" t="s">
        <v>17</v>
      </c>
      <c r="B429">
        <v>26</v>
      </c>
    </row>
    <row r="430" spans="1:2" x14ac:dyDescent="0.2">
      <c r="A430" t="s">
        <v>13</v>
      </c>
      <c r="B430">
        <v>7.75</v>
      </c>
    </row>
    <row r="431" spans="1:2" x14ac:dyDescent="0.2">
      <c r="A431" t="s">
        <v>13</v>
      </c>
      <c r="B431">
        <v>8.0500000000000007</v>
      </c>
    </row>
    <row r="432" spans="1:2" x14ac:dyDescent="0.2">
      <c r="A432" t="s">
        <v>13</v>
      </c>
      <c r="B432">
        <v>26.55</v>
      </c>
    </row>
    <row r="433" spans="1:2" x14ac:dyDescent="0.2">
      <c r="A433" t="s">
        <v>17</v>
      </c>
      <c r="B433">
        <v>16.100000000000001</v>
      </c>
    </row>
    <row r="434" spans="1:2" x14ac:dyDescent="0.2">
      <c r="A434" t="s">
        <v>17</v>
      </c>
      <c r="B434">
        <v>26</v>
      </c>
    </row>
    <row r="435" spans="1:2" x14ac:dyDescent="0.2">
      <c r="A435" t="s">
        <v>13</v>
      </c>
      <c r="B435">
        <v>7.125</v>
      </c>
    </row>
    <row r="436" spans="1:2" x14ac:dyDescent="0.2">
      <c r="A436" t="s">
        <v>13</v>
      </c>
      <c r="B436">
        <v>55.9</v>
      </c>
    </row>
    <row r="437" spans="1:2" x14ac:dyDescent="0.2">
      <c r="A437" t="s">
        <v>17</v>
      </c>
      <c r="B437">
        <v>120</v>
      </c>
    </row>
    <row r="438" spans="1:2" x14ac:dyDescent="0.2">
      <c r="A438" t="s">
        <v>17</v>
      </c>
      <c r="B438">
        <v>34.375</v>
      </c>
    </row>
    <row r="439" spans="1:2" x14ac:dyDescent="0.2">
      <c r="A439" t="s">
        <v>17</v>
      </c>
      <c r="B439">
        <v>18.75</v>
      </c>
    </row>
    <row r="440" spans="1:2" x14ac:dyDescent="0.2">
      <c r="A440" t="s">
        <v>13</v>
      </c>
      <c r="B440">
        <v>263</v>
      </c>
    </row>
    <row r="441" spans="1:2" x14ac:dyDescent="0.2">
      <c r="A441" t="s">
        <v>13</v>
      </c>
      <c r="B441">
        <v>10.5</v>
      </c>
    </row>
    <row r="442" spans="1:2" x14ac:dyDescent="0.2">
      <c r="A442" t="s">
        <v>17</v>
      </c>
      <c r="B442">
        <v>26.25</v>
      </c>
    </row>
    <row r="443" spans="1:2" x14ac:dyDescent="0.2">
      <c r="A443" t="s">
        <v>13</v>
      </c>
      <c r="B443">
        <v>9.5</v>
      </c>
    </row>
    <row r="444" spans="1:2" x14ac:dyDescent="0.2">
      <c r="A444" t="s">
        <v>13</v>
      </c>
      <c r="B444">
        <v>7.7750000000000004</v>
      </c>
    </row>
    <row r="445" spans="1:2" x14ac:dyDescent="0.2">
      <c r="A445" t="s">
        <v>17</v>
      </c>
      <c r="B445">
        <v>13</v>
      </c>
    </row>
    <row r="446" spans="1:2" x14ac:dyDescent="0.2">
      <c r="A446" t="s">
        <v>13</v>
      </c>
      <c r="B446">
        <v>8.1125000000000007</v>
      </c>
    </row>
    <row r="447" spans="1:2" x14ac:dyDescent="0.2">
      <c r="A447" t="s">
        <v>13</v>
      </c>
      <c r="B447">
        <v>81.8583</v>
      </c>
    </row>
    <row r="448" spans="1:2" x14ac:dyDescent="0.2">
      <c r="A448" t="s">
        <v>17</v>
      </c>
      <c r="B448">
        <v>19.5</v>
      </c>
    </row>
    <row r="449" spans="1:2" x14ac:dyDescent="0.2">
      <c r="A449" t="s">
        <v>13</v>
      </c>
      <c r="B449">
        <v>26.55</v>
      </c>
    </row>
    <row r="450" spans="1:2" x14ac:dyDescent="0.2">
      <c r="A450" t="s">
        <v>17</v>
      </c>
      <c r="B450">
        <v>19.258299999999998</v>
      </c>
    </row>
    <row r="451" spans="1:2" x14ac:dyDescent="0.2">
      <c r="A451" t="s">
        <v>13</v>
      </c>
      <c r="B451">
        <v>30.5</v>
      </c>
    </row>
    <row r="452" spans="1:2" x14ac:dyDescent="0.2">
      <c r="A452" t="s">
        <v>13</v>
      </c>
      <c r="B452">
        <v>27.75</v>
      </c>
    </row>
    <row r="453" spans="1:2" x14ac:dyDescent="0.2">
      <c r="A453" t="s">
        <v>13</v>
      </c>
      <c r="B453">
        <v>19.966699999999999</v>
      </c>
    </row>
    <row r="454" spans="1:2" x14ac:dyDescent="0.2">
      <c r="A454" t="s">
        <v>13</v>
      </c>
      <c r="B454">
        <v>27.75</v>
      </c>
    </row>
    <row r="455" spans="1:2" x14ac:dyDescent="0.2">
      <c r="A455" t="s">
        <v>13</v>
      </c>
      <c r="B455">
        <v>89.104200000000006</v>
      </c>
    </row>
    <row r="456" spans="1:2" x14ac:dyDescent="0.2">
      <c r="A456" t="s">
        <v>13</v>
      </c>
      <c r="B456">
        <v>8.0500000000000007</v>
      </c>
    </row>
    <row r="457" spans="1:2" x14ac:dyDescent="0.2">
      <c r="A457" t="s">
        <v>13</v>
      </c>
      <c r="B457">
        <v>7.8958000000000004</v>
      </c>
    </row>
    <row r="458" spans="1:2" x14ac:dyDescent="0.2">
      <c r="A458" t="s">
        <v>13</v>
      </c>
      <c r="B458">
        <v>26.55</v>
      </c>
    </row>
    <row r="459" spans="1:2" x14ac:dyDescent="0.2">
      <c r="A459" t="s">
        <v>17</v>
      </c>
      <c r="B459">
        <v>51.862499999999997</v>
      </c>
    </row>
    <row r="460" spans="1:2" x14ac:dyDescent="0.2">
      <c r="A460" t="s">
        <v>17</v>
      </c>
      <c r="B460">
        <v>10.5</v>
      </c>
    </row>
    <row r="461" spans="1:2" x14ac:dyDescent="0.2">
      <c r="A461" t="s">
        <v>13</v>
      </c>
      <c r="B461">
        <v>7.75</v>
      </c>
    </row>
    <row r="462" spans="1:2" x14ac:dyDescent="0.2">
      <c r="A462" t="s">
        <v>13</v>
      </c>
      <c r="B462">
        <v>26.55</v>
      </c>
    </row>
    <row r="463" spans="1:2" x14ac:dyDescent="0.2">
      <c r="A463" t="s">
        <v>13</v>
      </c>
      <c r="B463">
        <v>8.0500000000000007</v>
      </c>
    </row>
    <row r="464" spans="1:2" x14ac:dyDescent="0.2">
      <c r="A464" t="s">
        <v>13</v>
      </c>
      <c r="B464">
        <v>38.5</v>
      </c>
    </row>
    <row r="465" spans="1:2" x14ac:dyDescent="0.2">
      <c r="A465" t="s">
        <v>13</v>
      </c>
      <c r="B465">
        <v>13</v>
      </c>
    </row>
    <row r="466" spans="1:2" x14ac:dyDescent="0.2">
      <c r="A466" t="s">
        <v>13</v>
      </c>
      <c r="B466">
        <v>8.0500000000000007</v>
      </c>
    </row>
    <row r="467" spans="1:2" x14ac:dyDescent="0.2">
      <c r="A467" t="s">
        <v>13</v>
      </c>
      <c r="B467">
        <v>7.05</v>
      </c>
    </row>
    <row r="468" spans="1:2" x14ac:dyDescent="0.2">
      <c r="A468" t="s">
        <v>13</v>
      </c>
      <c r="B468">
        <v>0</v>
      </c>
    </row>
    <row r="469" spans="1:2" x14ac:dyDescent="0.2">
      <c r="A469" t="s">
        <v>13</v>
      </c>
      <c r="B469">
        <v>26.55</v>
      </c>
    </row>
    <row r="470" spans="1:2" x14ac:dyDescent="0.2">
      <c r="A470" t="s">
        <v>13</v>
      </c>
      <c r="B470">
        <v>7.7249999999999996</v>
      </c>
    </row>
    <row r="471" spans="1:2" x14ac:dyDescent="0.2">
      <c r="A471" t="s">
        <v>17</v>
      </c>
      <c r="B471">
        <v>19.258299999999998</v>
      </c>
    </row>
    <row r="472" spans="1:2" x14ac:dyDescent="0.2">
      <c r="A472" t="s">
        <v>13</v>
      </c>
      <c r="B472">
        <v>7.25</v>
      </c>
    </row>
    <row r="473" spans="1:2" x14ac:dyDescent="0.2">
      <c r="A473" t="s">
        <v>13</v>
      </c>
      <c r="B473">
        <v>8.6624999999999996</v>
      </c>
    </row>
    <row r="474" spans="1:2" x14ac:dyDescent="0.2">
      <c r="A474" t="s">
        <v>17</v>
      </c>
      <c r="B474">
        <v>27.75</v>
      </c>
    </row>
    <row r="475" spans="1:2" x14ac:dyDescent="0.2">
      <c r="A475" t="s">
        <v>17</v>
      </c>
      <c r="B475">
        <v>13.791700000000001</v>
      </c>
    </row>
    <row r="476" spans="1:2" x14ac:dyDescent="0.2">
      <c r="A476" t="s">
        <v>17</v>
      </c>
      <c r="B476">
        <v>9.8375000000000004</v>
      </c>
    </row>
    <row r="477" spans="1:2" x14ac:dyDescent="0.2">
      <c r="A477" t="s">
        <v>13</v>
      </c>
      <c r="B477">
        <v>52</v>
      </c>
    </row>
    <row r="478" spans="1:2" x14ac:dyDescent="0.2">
      <c r="A478" t="s">
        <v>13</v>
      </c>
      <c r="B478">
        <v>21</v>
      </c>
    </row>
    <row r="479" spans="1:2" x14ac:dyDescent="0.2">
      <c r="A479" t="s">
        <v>13</v>
      </c>
      <c r="B479">
        <v>7.0457999999999998</v>
      </c>
    </row>
    <row r="480" spans="1:2" x14ac:dyDescent="0.2">
      <c r="A480" t="s">
        <v>13</v>
      </c>
      <c r="B480">
        <v>7.5208000000000004</v>
      </c>
    </row>
    <row r="481" spans="1:2" x14ac:dyDescent="0.2">
      <c r="A481" t="s">
        <v>17</v>
      </c>
      <c r="B481">
        <v>12.2875</v>
      </c>
    </row>
    <row r="482" spans="1:2" x14ac:dyDescent="0.2">
      <c r="A482" t="s">
        <v>13</v>
      </c>
      <c r="B482">
        <v>46.9</v>
      </c>
    </row>
    <row r="483" spans="1:2" x14ac:dyDescent="0.2">
      <c r="A483" t="s">
        <v>13</v>
      </c>
      <c r="B483">
        <v>0</v>
      </c>
    </row>
    <row r="484" spans="1:2" x14ac:dyDescent="0.2">
      <c r="A484" t="s">
        <v>13</v>
      </c>
      <c r="B484">
        <v>8.0500000000000007</v>
      </c>
    </row>
    <row r="485" spans="1:2" x14ac:dyDescent="0.2">
      <c r="A485" t="s">
        <v>17</v>
      </c>
      <c r="B485">
        <v>9.5875000000000004</v>
      </c>
    </row>
    <row r="486" spans="1:2" x14ac:dyDescent="0.2">
      <c r="A486" t="s">
        <v>13</v>
      </c>
      <c r="B486">
        <v>91.0792</v>
      </c>
    </row>
    <row r="487" spans="1:2" x14ac:dyDescent="0.2">
      <c r="A487" t="s">
        <v>17</v>
      </c>
      <c r="B487">
        <v>25.466699999999999</v>
      </c>
    </row>
    <row r="488" spans="1:2" x14ac:dyDescent="0.2">
      <c r="A488" t="s">
        <v>17</v>
      </c>
      <c r="B488">
        <v>90</v>
      </c>
    </row>
    <row r="489" spans="1:2" x14ac:dyDescent="0.2">
      <c r="A489" t="s">
        <v>13</v>
      </c>
      <c r="B489">
        <v>29.7</v>
      </c>
    </row>
    <row r="490" spans="1:2" x14ac:dyDescent="0.2">
      <c r="A490" t="s">
        <v>13</v>
      </c>
      <c r="B490">
        <v>8.0500000000000007</v>
      </c>
    </row>
    <row r="491" spans="1:2" x14ac:dyDescent="0.2">
      <c r="A491" t="s">
        <v>13</v>
      </c>
      <c r="B491">
        <v>15.9</v>
      </c>
    </row>
    <row r="492" spans="1:2" x14ac:dyDescent="0.2">
      <c r="A492" t="s">
        <v>13</v>
      </c>
      <c r="B492">
        <v>19.966699999999999</v>
      </c>
    </row>
    <row r="493" spans="1:2" x14ac:dyDescent="0.2">
      <c r="A493" t="s">
        <v>13</v>
      </c>
      <c r="B493">
        <v>7.25</v>
      </c>
    </row>
    <row r="494" spans="1:2" x14ac:dyDescent="0.2">
      <c r="A494" t="s">
        <v>13</v>
      </c>
      <c r="B494">
        <v>30.5</v>
      </c>
    </row>
    <row r="495" spans="1:2" x14ac:dyDescent="0.2">
      <c r="A495" t="s">
        <v>13</v>
      </c>
      <c r="B495">
        <v>49.504199999999997</v>
      </c>
    </row>
    <row r="496" spans="1:2" x14ac:dyDescent="0.2">
      <c r="A496" t="s">
        <v>13</v>
      </c>
      <c r="B496">
        <v>8.0500000000000007</v>
      </c>
    </row>
    <row r="497" spans="1:2" x14ac:dyDescent="0.2">
      <c r="A497" t="s">
        <v>13</v>
      </c>
      <c r="B497">
        <v>14.458299999999999</v>
      </c>
    </row>
    <row r="498" spans="1:2" x14ac:dyDescent="0.2">
      <c r="A498" t="s">
        <v>17</v>
      </c>
      <c r="B498">
        <v>78.2667</v>
      </c>
    </row>
    <row r="499" spans="1:2" x14ac:dyDescent="0.2">
      <c r="A499" t="s">
        <v>13</v>
      </c>
      <c r="B499">
        <v>15.1</v>
      </c>
    </row>
    <row r="500" spans="1:2" x14ac:dyDescent="0.2">
      <c r="A500" t="s">
        <v>17</v>
      </c>
      <c r="B500">
        <v>151.55000000000001</v>
      </c>
    </row>
    <row r="501" spans="1:2" x14ac:dyDescent="0.2">
      <c r="A501" t="s">
        <v>13</v>
      </c>
      <c r="B501">
        <v>7.7957999999999998</v>
      </c>
    </row>
    <row r="502" spans="1:2" x14ac:dyDescent="0.2">
      <c r="A502" t="s">
        <v>13</v>
      </c>
      <c r="B502">
        <v>8.6624999999999996</v>
      </c>
    </row>
    <row r="503" spans="1:2" x14ac:dyDescent="0.2">
      <c r="A503" t="s">
        <v>17</v>
      </c>
      <c r="B503">
        <v>7.75</v>
      </c>
    </row>
    <row r="504" spans="1:2" x14ac:dyDescent="0.2">
      <c r="A504" t="s">
        <v>17</v>
      </c>
      <c r="B504">
        <v>7.6292</v>
      </c>
    </row>
    <row r="505" spans="1:2" x14ac:dyDescent="0.2">
      <c r="A505" t="s">
        <v>17</v>
      </c>
      <c r="B505">
        <v>9.5875000000000004</v>
      </c>
    </row>
    <row r="506" spans="1:2" x14ac:dyDescent="0.2">
      <c r="A506" t="s">
        <v>17</v>
      </c>
      <c r="B506">
        <v>86.5</v>
      </c>
    </row>
    <row r="507" spans="1:2" x14ac:dyDescent="0.2">
      <c r="A507" t="s">
        <v>13</v>
      </c>
      <c r="B507">
        <v>108.9</v>
      </c>
    </row>
    <row r="508" spans="1:2" x14ac:dyDescent="0.2">
      <c r="A508" t="s">
        <v>17</v>
      </c>
      <c r="B508">
        <v>26</v>
      </c>
    </row>
    <row r="509" spans="1:2" x14ac:dyDescent="0.2">
      <c r="A509" t="s">
        <v>13</v>
      </c>
      <c r="B509">
        <v>26.55</v>
      </c>
    </row>
    <row r="510" spans="1:2" x14ac:dyDescent="0.2">
      <c r="A510" t="s">
        <v>13</v>
      </c>
      <c r="B510">
        <v>22.524999999999999</v>
      </c>
    </row>
    <row r="511" spans="1:2" x14ac:dyDescent="0.2">
      <c r="A511" t="s">
        <v>13</v>
      </c>
      <c r="B511">
        <v>56.495800000000003</v>
      </c>
    </row>
    <row r="512" spans="1:2" x14ac:dyDescent="0.2">
      <c r="A512" t="s">
        <v>13</v>
      </c>
      <c r="B512">
        <v>7.75</v>
      </c>
    </row>
    <row r="513" spans="1:2" x14ac:dyDescent="0.2">
      <c r="A513" t="s">
        <v>13</v>
      </c>
      <c r="B513">
        <v>8.0500000000000007</v>
      </c>
    </row>
    <row r="514" spans="1:2" x14ac:dyDescent="0.2">
      <c r="A514" t="s">
        <v>13</v>
      </c>
      <c r="B514">
        <v>26.287500000000001</v>
      </c>
    </row>
    <row r="515" spans="1:2" x14ac:dyDescent="0.2">
      <c r="A515" t="s">
        <v>17</v>
      </c>
      <c r="B515">
        <v>59.4</v>
      </c>
    </row>
    <row r="516" spans="1:2" x14ac:dyDescent="0.2">
      <c r="A516" t="s">
        <v>13</v>
      </c>
      <c r="B516">
        <v>7.4958</v>
      </c>
    </row>
    <row r="517" spans="1:2" x14ac:dyDescent="0.2">
      <c r="A517" t="s">
        <v>13</v>
      </c>
      <c r="B517">
        <v>34.020800000000001</v>
      </c>
    </row>
    <row r="518" spans="1:2" x14ac:dyDescent="0.2">
      <c r="A518" t="s">
        <v>17</v>
      </c>
      <c r="B518">
        <v>10.5</v>
      </c>
    </row>
    <row r="519" spans="1:2" x14ac:dyDescent="0.2">
      <c r="A519" t="s">
        <v>13</v>
      </c>
      <c r="B519">
        <v>24.15</v>
      </c>
    </row>
    <row r="520" spans="1:2" x14ac:dyDescent="0.2">
      <c r="A520" t="s">
        <v>17</v>
      </c>
      <c r="B520">
        <v>26</v>
      </c>
    </row>
    <row r="521" spans="1:2" x14ac:dyDescent="0.2">
      <c r="A521" t="s">
        <v>13</v>
      </c>
      <c r="B521">
        <v>7.8958000000000004</v>
      </c>
    </row>
    <row r="522" spans="1:2" x14ac:dyDescent="0.2">
      <c r="A522" t="s">
        <v>17</v>
      </c>
      <c r="B522">
        <v>93.5</v>
      </c>
    </row>
    <row r="523" spans="1:2" x14ac:dyDescent="0.2">
      <c r="A523" t="s">
        <v>13</v>
      </c>
      <c r="B523">
        <v>7.8958000000000004</v>
      </c>
    </row>
    <row r="524" spans="1:2" x14ac:dyDescent="0.2">
      <c r="A524" t="s">
        <v>13</v>
      </c>
      <c r="B524">
        <v>7.2249999999999996</v>
      </c>
    </row>
    <row r="525" spans="1:2" x14ac:dyDescent="0.2">
      <c r="A525" t="s">
        <v>17</v>
      </c>
      <c r="B525">
        <v>57.979199999999999</v>
      </c>
    </row>
    <row r="526" spans="1:2" x14ac:dyDescent="0.2">
      <c r="A526" t="s">
        <v>13</v>
      </c>
      <c r="B526">
        <v>7.2291999999999996</v>
      </c>
    </row>
    <row r="527" spans="1:2" x14ac:dyDescent="0.2">
      <c r="A527" t="s">
        <v>13</v>
      </c>
      <c r="B527">
        <v>7.75</v>
      </c>
    </row>
    <row r="528" spans="1:2" x14ac:dyDescent="0.2">
      <c r="A528" t="s">
        <v>17</v>
      </c>
      <c r="B528">
        <v>10.5</v>
      </c>
    </row>
    <row r="529" spans="1:2" x14ac:dyDescent="0.2">
      <c r="A529" t="s">
        <v>13</v>
      </c>
      <c r="B529">
        <v>221.7792</v>
      </c>
    </row>
    <row r="530" spans="1:2" x14ac:dyDescent="0.2">
      <c r="A530" t="s">
        <v>13</v>
      </c>
      <c r="B530">
        <v>7.9249999999999998</v>
      </c>
    </row>
    <row r="531" spans="1:2" x14ac:dyDescent="0.2">
      <c r="A531" t="s">
        <v>13</v>
      </c>
      <c r="B531">
        <v>11.5</v>
      </c>
    </row>
    <row r="532" spans="1:2" x14ac:dyDescent="0.2">
      <c r="A532" t="s">
        <v>17</v>
      </c>
      <c r="B532">
        <v>26</v>
      </c>
    </row>
    <row r="533" spans="1:2" x14ac:dyDescent="0.2">
      <c r="A533" t="s">
        <v>13</v>
      </c>
      <c r="B533">
        <v>7.2291999999999996</v>
      </c>
    </row>
    <row r="534" spans="1:2" x14ac:dyDescent="0.2">
      <c r="A534" t="s">
        <v>13</v>
      </c>
      <c r="B534">
        <v>7.2291999999999996</v>
      </c>
    </row>
    <row r="535" spans="1:2" x14ac:dyDescent="0.2">
      <c r="A535" t="s">
        <v>17</v>
      </c>
      <c r="B535">
        <v>22.3583</v>
      </c>
    </row>
    <row r="536" spans="1:2" x14ac:dyDescent="0.2">
      <c r="A536" t="s">
        <v>17</v>
      </c>
      <c r="B536">
        <v>8.6624999999999996</v>
      </c>
    </row>
    <row r="537" spans="1:2" x14ac:dyDescent="0.2">
      <c r="A537" t="s">
        <v>17</v>
      </c>
      <c r="B537">
        <v>26.25</v>
      </c>
    </row>
    <row r="538" spans="1:2" x14ac:dyDescent="0.2">
      <c r="A538" t="s">
        <v>13</v>
      </c>
      <c r="B538">
        <v>26.55</v>
      </c>
    </row>
    <row r="539" spans="1:2" x14ac:dyDescent="0.2">
      <c r="A539" t="s">
        <v>17</v>
      </c>
      <c r="B539">
        <v>106.425</v>
      </c>
    </row>
    <row r="540" spans="1:2" x14ac:dyDescent="0.2">
      <c r="A540" t="s">
        <v>13</v>
      </c>
      <c r="B540">
        <v>14.5</v>
      </c>
    </row>
    <row r="541" spans="1:2" x14ac:dyDescent="0.2">
      <c r="A541" t="s">
        <v>17</v>
      </c>
      <c r="B541">
        <v>49.5</v>
      </c>
    </row>
    <row r="542" spans="1:2" x14ac:dyDescent="0.2">
      <c r="A542" t="s">
        <v>17</v>
      </c>
      <c r="B542">
        <v>71</v>
      </c>
    </row>
    <row r="543" spans="1:2" x14ac:dyDescent="0.2">
      <c r="A543" t="s">
        <v>17</v>
      </c>
      <c r="B543">
        <v>31.274999999999999</v>
      </c>
    </row>
    <row r="544" spans="1:2" x14ac:dyDescent="0.2">
      <c r="A544" t="s">
        <v>17</v>
      </c>
      <c r="B544">
        <v>31.274999999999999</v>
      </c>
    </row>
    <row r="545" spans="1:2" x14ac:dyDescent="0.2">
      <c r="A545" t="s">
        <v>13</v>
      </c>
      <c r="B545">
        <v>26</v>
      </c>
    </row>
    <row r="546" spans="1:2" x14ac:dyDescent="0.2">
      <c r="A546" t="s">
        <v>13</v>
      </c>
      <c r="B546">
        <v>106.425</v>
      </c>
    </row>
    <row r="547" spans="1:2" x14ac:dyDescent="0.2">
      <c r="A547" t="s">
        <v>13</v>
      </c>
      <c r="B547">
        <v>26</v>
      </c>
    </row>
    <row r="548" spans="1:2" x14ac:dyDescent="0.2">
      <c r="A548" t="s">
        <v>17</v>
      </c>
      <c r="B548">
        <v>26</v>
      </c>
    </row>
    <row r="549" spans="1:2" x14ac:dyDescent="0.2">
      <c r="A549" t="s">
        <v>13</v>
      </c>
      <c r="B549">
        <v>13.862500000000001</v>
      </c>
    </row>
    <row r="550" spans="1:2" x14ac:dyDescent="0.2">
      <c r="A550" t="s">
        <v>13</v>
      </c>
      <c r="B550">
        <v>20.524999999999999</v>
      </c>
    </row>
    <row r="551" spans="1:2" x14ac:dyDescent="0.2">
      <c r="A551" t="s">
        <v>13</v>
      </c>
      <c r="B551">
        <v>36.75</v>
      </c>
    </row>
    <row r="552" spans="1:2" x14ac:dyDescent="0.2">
      <c r="A552" t="s">
        <v>13</v>
      </c>
      <c r="B552">
        <v>110.88330000000001</v>
      </c>
    </row>
    <row r="553" spans="1:2" x14ac:dyDescent="0.2">
      <c r="A553" t="s">
        <v>13</v>
      </c>
      <c r="B553">
        <v>26</v>
      </c>
    </row>
    <row r="554" spans="1:2" x14ac:dyDescent="0.2">
      <c r="A554" t="s">
        <v>13</v>
      </c>
      <c r="B554">
        <v>7.8292000000000002</v>
      </c>
    </row>
    <row r="555" spans="1:2" x14ac:dyDescent="0.2">
      <c r="A555" t="s">
        <v>13</v>
      </c>
      <c r="B555">
        <v>7.2249999999999996</v>
      </c>
    </row>
    <row r="556" spans="1:2" x14ac:dyDescent="0.2">
      <c r="A556" t="s">
        <v>17</v>
      </c>
      <c r="B556">
        <v>7.7750000000000004</v>
      </c>
    </row>
    <row r="557" spans="1:2" x14ac:dyDescent="0.2">
      <c r="A557" t="s">
        <v>13</v>
      </c>
      <c r="B557">
        <v>26.55</v>
      </c>
    </row>
    <row r="558" spans="1:2" x14ac:dyDescent="0.2">
      <c r="A558" t="s">
        <v>17</v>
      </c>
      <c r="B558">
        <v>39.6</v>
      </c>
    </row>
    <row r="559" spans="1:2" x14ac:dyDescent="0.2">
      <c r="A559" t="s">
        <v>13</v>
      </c>
      <c r="B559">
        <v>227.52500000000001</v>
      </c>
    </row>
    <row r="560" spans="1:2" x14ac:dyDescent="0.2">
      <c r="A560" t="s">
        <v>17</v>
      </c>
      <c r="B560">
        <v>79.650000000000006</v>
      </c>
    </row>
    <row r="561" spans="1:2" x14ac:dyDescent="0.2">
      <c r="A561" t="s">
        <v>17</v>
      </c>
      <c r="B561">
        <v>17.399999999999999</v>
      </c>
    </row>
    <row r="562" spans="1:2" x14ac:dyDescent="0.2">
      <c r="A562" t="s">
        <v>13</v>
      </c>
      <c r="B562">
        <v>7.75</v>
      </c>
    </row>
    <row r="563" spans="1:2" x14ac:dyDescent="0.2">
      <c r="A563" t="s">
        <v>13</v>
      </c>
      <c r="B563">
        <v>7.8958000000000004</v>
      </c>
    </row>
    <row r="564" spans="1:2" x14ac:dyDescent="0.2">
      <c r="A564" t="s">
        <v>13</v>
      </c>
      <c r="B564">
        <v>13.5</v>
      </c>
    </row>
    <row r="565" spans="1:2" x14ac:dyDescent="0.2">
      <c r="A565" t="s">
        <v>13</v>
      </c>
      <c r="B565">
        <v>8.0500000000000007</v>
      </c>
    </row>
    <row r="566" spans="1:2" x14ac:dyDescent="0.2">
      <c r="A566" t="s">
        <v>17</v>
      </c>
      <c r="B566">
        <v>8.0500000000000007</v>
      </c>
    </row>
    <row r="567" spans="1:2" x14ac:dyDescent="0.2">
      <c r="A567" t="s">
        <v>13</v>
      </c>
      <c r="B567">
        <v>24.15</v>
      </c>
    </row>
    <row r="568" spans="1:2" x14ac:dyDescent="0.2">
      <c r="A568" t="s">
        <v>13</v>
      </c>
      <c r="B568">
        <v>7.8958000000000004</v>
      </c>
    </row>
    <row r="569" spans="1:2" x14ac:dyDescent="0.2">
      <c r="A569" t="s">
        <v>17</v>
      </c>
      <c r="B569">
        <v>21.074999999999999</v>
      </c>
    </row>
    <row r="570" spans="1:2" x14ac:dyDescent="0.2">
      <c r="A570" t="s">
        <v>13</v>
      </c>
      <c r="B570">
        <v>7.2291999999999996</v>
      </c>
    </row>
    <row r="571" spans="1:2" x14ac:dyDescent="0.2">
      <c r="A571" t="s">
        <v>13</v>
      </c>
      <c r="B571">
        <v>7.8541999999999996</v>
      </c>
    </row>
    <row r="572" spans="1:2" x14ac:dyDescent="0.2">
      <c r="A572" t="s">
        <v>13</v>
      </c>
      <c r="B572">
        <v>10.5</v>
      </c>
    </row>
    <row r="573" spans="1:2" x14ac:dyDescent="0.2">
      <c r="A573" t="s">
        <v>17</v>
      </c>
      <c r="B573">
        <v>51.479199999999999</v>
      </c>
    </row>
    <row r="574" spans="1:2" x14ac:dyDescent="0.2">
      <c r="A574" t="s">
        <v>13</v>
      </c>
      <c r="B574">
        <v>26.387499999999999</v>
      </c>
    </row>
    <row r="575" spans="1:2" x14ac:dyDescent="0.2">
      <c r="A575" t="s">
        <v>17</v>
      </c>
      <c r="B575">
        <v>7.75</v>
      </c>
    </row>
    <row r="576" spans="1:2" x14ac:dyDescent="0.2">
      <c r="A576" t="s">
        <v>13</v>
      </c>
      <c r="B576">
        <v>8.0500000000000007</v>
      </c>
    </row>
    <row r="577" spans="1:2" x14ac:dyDescent="0.2">
      <c r="A577" t="s">
        <v>13</v>
      </c>
      <c r="B577">
        <v>14.5</v>
      </c>
    </row>
    <row r="578" spans="1:2" x14ac:dyDescent="0.2">
      <c r="A578" t="s">
        <v>17</v>
      </c>
      <c r="B578">
        <v>13</v>
      </c>
    </row>
    <row r="579" spans="1:2" x14ac:dyDescent="0.2">
      <c r="A579" t="s">
        <v>17</v>
      </c>
      <c r="B579">
        <v>55.9</v>
      </c>
    </row>
    <row r="580" spans="1:2" x14ac:dyDescent="0.2">
      <c r="A580" t="s">
        <v>17</v>
      </c>
      <c r="B580">
        <v>14.458299999999999</v>
      </c>
    </row>
    <row r="581" spans="1:2" x14ac:dyDescent="0.2">
      <c r="A581" t="s">
        <v>13</v>
      </c>
      <c r="B581">
        <v>7.9249999999999998</v>
      </c>
    </row>
    <row r="582" spans="1:2" x14ac:dyDescent="0.2">
      <c r="A582" t="s">
        <v>17</v>
      </c>
      <c r="B582">
        <v>30</v>
      </c>
    </row>
    <row r="583" spans="1:2" x14ac:dyDescent="0.2">
      <c r="A583" t="s">
        <v>17</v>
      </c>
      <c r="B583">
        <v>110.88330000000001</v>
      </c>
    </row>
    <row r="584" spans="1:2" x14ac:dyDescent="0.2">
      <c r="A584" t="s">
        <v>13</v>
      </c>
      <c r="B584">
        <v>26</v>
      </c>
    </row>
    <row r="585" spans="1:2" x14ac:dyDescent="0.2">
      <c r="A585" t="s">
        <v>13</v>
      </c>
      <c r="B585">
        <v>40.125</v>
      </c>
    </row>
    <row r="586" spans="1:2" x14ac:dyDescent="0.2">
      <c r="A586" t="s">
        <v>13</v>
      </c>
      <c r="B586">
        <v>8.7125000000000004</v>
      </c>
    </row>
    <row r="587" spans="1:2" x14ac:dyDescent="0.2">
      <c r="A587" t="s">
        <v>17</v>
      </c>
      <c r="B587">
        <v>79.650000000000006</v>
      </c>
    </row>
    <row r="588" spans="1:2" x14ac:dyDescent="0.2">
      <c r="A588" t="s">
        <v>13</v>
      </c>
      <c r="B588">
        <v>15</v>
      </c>
    </row>
    <row r="589" spans="1:2" x14ac:dyDescent="0.2">
      <c r="A589" t="s">
        <v>13</v>
      </c>
      <c r="B589">
        <v>79.2</v>
      </c>
    </row>
    <row r="590" spans="1:2" x14ac:dyDescent="0.2">
      <c r="A590" t="s">
        <v>13</v>
      </c>
      <c r="B590">
        <v>8.0500000000000007</v>
      </c>
    </row>
    <row r="591" spans="1:2" x14ac:dyDescent="0.2">
      <c r="A591" t="s">
        <v>13</v>
      </c>
      <c r="B591">
        <v>8.0500000000000007</v>
      </c>
    </row>
    <row r="592" spans="1:2" x14ac:dyDescent="0.2">
      <c r="A592" t="s">
        <v>13</v>
      </c>
      <c r="B592">
        <v>7.125</v>
      </c>
    </row>
    <row r="593" spans="1:2" x14ac:dyDescent="0.2">
      <c r="A593" t="s">
        <v>17</v>
      </c>
      <c r="B593">
        <v>78.2667</v>
      </c>
    </row>
    <row r="594" spans="1:2" x14ac:dyDescent="0.2">
      <c r="A594" t="s">
        <v>13</v>
      </c>
      <c r="B594">
        <v>7.25</v>
      </c>
    </row>
    <row r="595" spans="1:2" x14ac:dyDescent="0.2">
      <c r="A595" t="s">
        <v>17</v>
      </c>
      <c r="B595">
        <v>7.75</v>
      </c>
    </row>
    <row r="596" spans="1:2" x14ac:dyDescent="0.2">
      <c r="A596" t="s">
        <v>13</v>
      </c>
      <c r="B596">
        <v>26</v>
      </c>
    </row>
    <row r="597" spans="1:2" x14ac:dyDescent="0.2">
      <c r="A597" t="s">
        <v>13</v>
      </c>
      <c r="B597">
        <v>24.15</v>
      </c>
    </row>
    <row r="598" spans="1:2" x14ac:dyDescent="0.2">
      <c r="A598" t="s">
        <v>17</v>
      </c>
      <c r="B598">
        <v>33</v>
      </c>
    </row>
    <row r="599" spans="1:2" x14ac:dyDescent="0.2">
      <c r="A599" t="s">
        <v>13</v>
      </c>
      <c r="B599">
        <v>0</v>
      </c>
    </row>
    <row r="600" spans="1:2" x14ac:dyDescent="0.2">
      <c r="A600" t="s">
        <v>13</v>
      </c>
      <c r="B600">
        <v>7.2249999999999996</v>
      </c>
    </row>
    <row r="601" spans="1:2" x14ac:dyDescent="0.2">
      <c r="A601" t="s">
        <v>13</v>
      </c>
      <c r="B601">
        <v>56.929200000000002</v>
      </c>
    </row>
    <row r="602" spans="1:2" x14ac:dyDescent="0.2">
      <c r="A602" t="s">
        <v>17</v>
      </c>
      <c r="B602">
        <v>27</v>
      </c>
    </row>
    <row r="603" spans="1:2" x14ac:dyDescent="0.2">
      <c r="A603" t="s">
        <v>13</v>
      </c>
      <c r="B603">
        <v>7.8958000000000004</v>
      </c>
    </row>
    <row r="604" spans="1:2" x14ac:dyDescent="0.2">
      <c r="A604" t="s">
        <v>13</v>
      </c>
      <c r="B604">
        <v>42.4</v>
      </c>
    </row>
    <row r="605" spans="1:2" x14ac:dyDescent="0.2">
      <c r="A605" t="s">
        <v>13</v>
      </c>
      <c r="B605">
        <v>8.0500000000000007</v>
      </c>
    </row>
    <row r="606" spans="1:2" x14ac:dyDescent="0.2">
      <c r="A606" t="s">
        <v>13</v>
      </c>
      <c r="B606">
        <v>26.55</v>
      </c>
    </row>
    <row r="607" spans="1:2" x14ac:dyDescent="0.2">
      <c r="A607" t="s">
        <v>13</v>
      </c>
      <c r="B607">
        <v>15.55</v>
      </c>
    </row>
    <row r="608" spans="1:2" x14ac:dyDescent="0.2">
      <c r="A608" t="s">
        <v>13</v>
      </c>
      <c r="B608">
        <v>7.8958000000000004</v>
      </c>
    </row>
    <row r="609" spans="1:2" x14ac:dyDescent="0.2">
      <c r="A609" t="s">
        <v>13</v>
      </c>
      <c r="B609">
        <v>30.5</v>
      </c>
    </row>
    <row r="610" spans="1:2" x14ac:dyDescent="0.2">
      <c r="A610" t="s">
        <v>17</v>
      </c>
      <c r="B610">
        <v>41.5792</v>
      </c>
    </row>
    <row r="611" spans="1:2" x14ac:dyDescent="0.2">
      <c r="A611" t="s">
        <v>17</v>
      </c>
      <c r="B611">
        <v>153.46250000000001</v>
      </c>
    </row>
    <row r="612" spans="1:2" x14ac:dyDescent="0.2">
      <c r="A612" t="s">
        <v>17</v>
      </c>
      <c r="B612">
        <v>31.274999999999999</v>
      </c>
    </row>
    <row r="613" spans="1:2" x14ac:dyDescent="0.2">
      <c r="A613" t="s">
        <v>13</v>
      </c>
      <c r="B613">
        <v>7.05</v>
      </c>
    </row>
    <row r="614" spans="1:2" x14ac:dyDescent="0.2">
      <c r="A614" t="s">
        <v>17</v>
      </c>
      <c r="B614">
        <v>15.5</v>
      </c>
    </row>
    <row r="615" spans="1:2" x14ac:dyDescent="0.2">
      <c r="A615" t="s">
        <v>13</v>
      </c>
      <c r="B615">
        <v>7.75</v>
      </c>
    </row>
    <row r="616" spans="1:2" x14ac:dyDescent="0.2">
      <c r="A616" t="s">
        <v>13</v>
      </c>
      <c r="B616">
        <v>8.0500000000000007</v>
      </c>
    </row>
    <row r="617" spans="1:2" x14ac:dyDescent="0.2">
      <c r="A617" t="s">
        <v>17</v>
      </c>
      <c r="B617">
        <v>65</v>
      </c>
    </row>
    <row r="618" spans="1:2" x14ac:dyDescent="0.2">
      <c r="A618" t="s">
        <v>13</v>
      </c>
      <c r="B618">
        <v>14.4</v>
      </c>
    </row>
    <row r="619" spans="1:2" x14ac:dyDescent="0.2">
      <c r="A619" t="s">
        <v>17</v>
      </c>
      <c r="B619">
        <v>16.100000000000001</v>
      </c>
    </row>
    <row r="620" spans="1:2" x14ac:dyDescent="0.2">
      <c r="A620" t="s">
        <v>17</v>
      </c>
      <c r="B620">
        <v>39</v>
      </c>
    </row>
    <row r="621" spans="1:2" x14ac:dyDescent="0.2">
      <c r="A621" t="s">
        <v>13</v>
      </c>
      <c r="B621">
        <v>10.5</v>
      </c>
    </row>
    <row r="622" spans="1:2" x14ac:dyDescent="0.2">
      <c r="A622" t="s">
        <v>13</v>
      </c>
      <c r="B622">
        <v>14.4542</v>
      </c>
    </row>
    <row r="623" spans="1:2" x14ac:dyDescent="0.2">
      <c r="A623" t="s">
        <v>13</v>
      </c>
      <c r="B623">
        <v>52.554200000000002</v>
      </c>
    </row>
    <row r="624" spans="1:2" x14ac:dyDescent="0.2">
      <c r="A624" t="s">
        <v>13</v>
      </c>
      <c r="B624">
        <v>15.7417</v>
      </c>
    </row>
    <row r="625" spans="1:2" x14ac:dyDescent="0.2">
      <c r="A625" t="s">
        <v>13</v>
      </c>
      <c r="B625">
        <v>7.8541999999999996</v>
      </c>
    </row>
    <row r="626" spans="1:2" x14ac:dyDescent="0.2">
      <c r="A626" t="s">
        <v>13</v>
      </c>
      <c r="B626">
        <v>16.100000000000001</v>
      </c>
    </row>
    <row r="627" spans="1:2" x14ac:dyDescent="0.2">
      <c r="A627" t="s">
        <v>13</v>
      </c>
      <c r="B627">
        <v>32.320799999999998</v>
      </c>
    </row>
    <row r="628" spans="1:2" x14ac:dyDescent="0.2">
      <c r="A628" t="s">
        <v>13</v>
      </c>
      <c r="B628">
        <v>12.35</v>
      </c>
    </row>
    <row r="629" spans="1:2" x14ac:dyDescent="0.2">
      <c r="A629" t="s">
        <v>17</v>
      </c>
      <c r="B629">
        <v>77.958299999999994</v>
      </c>
    </row>
    <row r="630" spans="1:2" x14ac:dyDescent="0.2">
      <c r="A630" t="s">
        <v>13</v>
      </c>
      <c r="B630">
        <v>7.8958000000000004</v>
      </c>
    </row>
    <row r="631" spans="1:2" x14ac:dyDescent="0.2">
      <c r="A631" t="s">
        <v>13</v>
      </c>
      <c r="B631">
        <v>7.7332999999999998</v>
      </c>
    </row>
    <row r="632" spans="1:2" x14ac:dyDescent="0.2">
      <c r="A632" t="s">
        <v>13</v>
      </c>
      <c r="B632">
        <v>30</v>
      </c>
    </row>
    <row r="633" spans="1:2" x14ac:dyDescent="0.2">
      <c r="A633" t="s">
        <v>13</v>
      </c>
      <c r="B633">
        <v>7.0541999999999998</v>
      </c>
    </row>
    <row r="634" spans="1:2" x14ac:dyDescent="0.2">
      <c r="A634" t="s">
        <v>13</v>
      </c>
      <c r="B634">
        <v>30.5</v>
      </c>
    </row>
    <row r="635" spans="1:2" x14ac:dyDescent="0.2">
      <c r="A635" t="s">
        <v>13</v>
      </c>
      <c r="B635">
        <v>0</v>
      </c>
    </row>
    <row r="636" spans="1:2" x14ac:dyDescent="0.2">
      <c r="A636" t="s">
        <v>17</v>
      </c>
      <c r="B636">
        <v>27.9</v>
      </c>
    </row>
    <row r="637" spans="1:2" x14ac:dyDescent="0.2">
      <c r="A637" t="s">
        <v>17</v>
      </c>
      <c r="B637">
        <v>13</v>
      </c>
    </row>
    <row r="638" spans="1:2" x14ac:dyDescent="0.2">
      <c r="A638" t="s">
        <v>13</v>
      </c>
      <c r="B638">
        <v>7.9249999999999998</v>
      </c>
    </row>
    <row r="639" spans="1:2" x14ac:dyDescent="0.2">
      <c r="A639" t="s">
        <v>13</v>
      </c>
      <c r="B639">
        <v>26.25</v>
      </c>
    </row>
    <row r="640" spans="1:2" x14ac:dyDescent="0.2">
      <c r="A640" t="s">
        <v>17</v>
      </c>
      <c r="B640">
        <v>39.6875</v>
      </c>
    </row>
    <row r="641" spans="1:2" x14ac:dyDescent="0.2">
      <c r="A641" t="s">
        <v>13</v>
      </c>
      <c r="B641">
        <v>16.100000000000001</v>
      </c>
    </row>
    <row r="642" spans="1:2" x14ac:dyDescent="0.2">
      <c r="A642" t="s">
        <v>13</v>
      </c>
      <c r="B642">
        <v>7.8541999999999996</v>
      </c>
    </row>
    <row r="643" spans="1:2" x14ac:dyDescent="0.2">
      <c r="A643" t="s">
        <v>17</v>
      </c>
      <c r="B643">
        <v>69.3</v>
      </c>
    </row>
    <row r="644" spans="1:2" x14ac:dyDescent="0.2">
      <c r="A644" t="s">
        <v>17</v>
      </c>
      <c r="B644">
        <v>27.9</v>
      </c>
    </row>
    <row r="645" spans="1:2" x14ac:dyDescent="0.2">
      <c r="A645" t="s">
        <v>13</v>
      </c>
      <c r="B645">
        <v>56.495800000000003</v>
      </c>
    </row>
    <row r="646" spans="1:2" x14ac:dyDescent="0.2">
      <c r="A646" t="s">
        <v>17</v>
      </c>
      <c r="B646">
        <v>19.258299999999998</v>
      </c>
    </row>
    <row r="647" spans="1:2" x14ac:dyDescent="0.2">
      <c r="A647" t="s">
        <v>13</v>
      </c>
      <c r="B647">
        <v>76.729200000000006</v>
      </c>
    </row>
    <row r="648" spans="1:2" x14ac:dyDescent="0.2">
      <c r="A648" t="s">
        <v>13</v>
      </c>
      <c r="B648">
        <v>7.8958000000000004</v>
      </c>
    </row>
    <row r="649" spans="1:2" x14ac:dyDescent="0.2">
      <c r="A649" t="s">
        <v>13</v>
      </c>
      <c r="B649">
        <v>35.5</v>
      </c>
    </row>
    <row r="650" spans="1:2" x14ac:dyDescent="0.2">
      <c r="A650" t="s">
        <v>13</v>
      </c>
      <c r="B650">
        <v>7.55</v>
      </c>
    </row>
    <row r="651" spans="1:2" x14ac:dyDescent="0.2">
      <c r="A651" t="s">
        <v>17</v>
      </c>
      <c r="B651">
        <v>7.55</v>
      </c>
    </row>
    <row r="652" spans="1:2" x14ac:dyDescent="0.2">
      <c r="A652" t="s">
        <v>13</v>
      </c>
      <c r="B652">
        <v>7.8958000000000004</v>
      </c>
    </row>
    <row r="653" spans="1:2" x14ac:dyDescent="0.2">
      <c r="A653" t="s">
        <v>17</v>
      </c>
      <c r="B653">
        <v>23</v>
      </c>
    </row>
    <row r="654" spans="1:2" x14ac:dyDescent="0.2">
      <c r="A654" t="s">
        <v>13</v>
      </c>
      <c r="B654">
        <v>8.4332999999999991</v>
      </c>
    </row>
    <row r="655" spans="1:2" x14ac:dyDescent="0.2">
      <c r="A655" t="s">
        <v>17</v>
      </c>
      <c r="B655">
        <v>7.8292000000000002</v>
      </c>
    </row>
    <row r="656" spans="1:2" x14ac:dyDescent="0.2">
      <c r="A656" t="s">
        <v>17</v>
      </c>
      <c r="B656">
        <v>6.75</v>
      </c>
    </row>
    <row r="657" spans="1:2" x14ac:dyDescent="0.2">
      <c r="A657" t="s">
        <v>13</v>
      </c>
      <c r="B657">
        <v>73.5</v>
      </c>
    </row>
    <row r="658" spans="1:2" x14ac:dyDescent="0.2">
      <c r="A658" t="s">
        <v>13</v>
      </c>
      <c r="B658">
        <v>7.8958000000000004</v>
      </c>
    </row>
    <row r="659" spans="1:2" x14ac:dyDescent="0.2">
      <c r="A659" t="s">
        <v>17</v>
      </c>
      <c r="B659">
        <v>15.5</v>
      </c>
    </row>
    <row r="660" spans="1:2" x14ac:dyDescent="0.2">
      <c r="A660" t="s">
        <v>13</v>
      </c>
      <c r="B660">
        <v>13</v>
      </c>
    </row>
    <row r="661" spans="1:2" x14ac:dyDescent="0.2">
      <c r="A661" t="s">
        <v>13</v>
      </c>
      <c r="B661">
        <v>113.27500000000001</v>
      </c>
    </row>
    <row r="662" spans="1:2" x14ac:dyDescent="0.2">
      <c r="A662" t="s">
        <v>13</v>
      </c>
      <c r="B662">
        <v>133.65</v>
      </c>
    </row>
    <row r="663" spans="1:2" x14ac:dyDescent="0.2">
      <c r="A663" t="s">
        <v>13</v>
      </c>
      <c r="B663">
        <v>7.2249999999999996</v>
      </c>
    </row>
    <row r="664" spans="1:2" x14ac:dyDescent="0.2">
      <c r="A664" t="s">
        <v>13</v>
      </c>
      <c r="B664">
        <v>25.587499999999999</v>
      </c>
    </row>
    <row r="665" spans="1:2" x14ac:dyDescent="0.2">
      <c r="A665" t="s">
        <v>13</v>
      </c>
      <c r="B665">
        <v>7.4958</v>
      </c>
    </row>
    <row r="666" spans="1:2" x14ac:dyDescent="0.2">
      <c r="A666" t="s">
        <v>13</v>
      </c>
      <c r="B666">
        <v>7.9249999999999998</v>
      </c>
    </row>
    <row r="667" spans="1:2" x14ac:dyDescent="0.2">
      <c r="A667" t="s">
        <v>13</v>
      </c>
      <c r="B667">
        <v>73.5</v>
      </c>
    </row>
    <row r="668" spans="1:2" x14ac:dyDescent="0.2">
      <c r="A668" t="s">
        <v>13</v>
      </c>
      <c r="B668">
        <v>13</v>
      </c>
    </row>
    <row r="669" spans="1:2" x14ac:dyDescent="0.2">
      <c r="A669" t="s">
        <v>13</v>
      </c>
      <c r="B669">
        <v>7.7750000000000004</v>
      </c>
    </row>
    <row r="670" spans="1:2" x14ac:dyDescent="0.2">
      <c r="A670" t="s">
        <v>13</v>
      </c>
      <c r="B670">
        <v>8.0500000000000007</v>
      </c>
    </row>
    <row r="671" spans="1:2" x14ac:dyDescent="0.2">
      <c r="A671" t="s">
        <v>17</v>
      </c>
      <c r="B671">
        <v>52</v>
      </c>
    </row>
    <row r="672" spans="1:2" x14ac:dyDescent="0.2">
      <c r="A672" t="s">
        <v>17</v>
      </c>
      <c r="B672">
        <v>39</v>
      </c>
    </row>
    <row r="673" spans="1:2" x14ac:dyDescent="0.2">
      <c r="A673" t="s">
        <v>13</v>
      </c>
      <c r="B673">
        <v>52</v>
      </c>
    </row>
    <row r="674" spans="1:2" x14ac:dyDescent="0.2">
      <c r="A674" t="s">
        <v>13</v>
      </c>
      <c r="B674">
        <v>10.5</v>
      </c>
    </row>
    <row r="675" spans="1:2" x14ac:dyDescent="0.2">
      <c r="A675" t="s">
        <v>13</v>
      </c>
      <c r="B675">
        <v>13</v>
      </c>
    </row>
    <row r="676" spans="1:2" x14ac:dyDescent="0.2">
      <c r="A676" t="s">
        <v>13</v>
      </c>
      <c r="B676">
        <v>0</v>
      </c>
    </row>
    <row r="677" spans="1:2" x14ac:dyDescent="0.2">
      <c r="A677" t="s">
        <v>13</v>
      </c>
      <c r="B677">
        <v>7.7750000000000004</v>
      </c>
    </row>
    <row r="678" spans="1:2" x14ac:dyDescent="0.2">
      <c r="A678" t="s">
        <v>13</v>
      </c>
      <c r="B678">
        <v>8.0500000000000007</v>
      </c>
    </row>
    <row r="679" spans="1:2" x14ac:dyDescent="0.2">
      <c r="A679" t="s">
        <v>17</v>
      </c>
      <c r="B679">
        <v>9.8416999999999994</v>
      </c>
    </row>
    <row r="680" spans="1:2" x14ac:dyDescent="0.2">
      <c r="A680" t="s">
        <v>17</v>
      </c>
      <c r="B680">
        <v>46.9</v>
      </c>
    </row>
    <row r="681" spans="1:2" x14ac:dyDescent="0.2">
      <c r="A681" t="s">
        <v>13</v>
      </c>
      <c r="B681">
        <v>512.32920000000001</v>
      </c>
    </row>
    <row r="682" spans="1:2" x14ac:dyDescent="0.2">
      <c r="A682" t="s">
        <v>17</v>
      </c>
      <c r="B682">
        <v>8.1374999999999993</v>
      </c>
    </row>
    <row r="683" spans="1:2" x14ac:dyDescent="0.2">
      <c r="A683" t="s">
        <v>13</v>
      </c>
      <c r="B683">
        <v>76.729200000000006</v>
      </c>
    </row>
    <row r="684" spans="1:2" x14ac:dyDescent="0.2">
      <c r="A684" t="s">
        <v>13</v>
      </c>
      <c r="B684">
        <v>9.2249999999999996</v>
      </c>
    </row>
    <row r="685" spans="1:2" x14ac:dyDescent="0.2">
      <c r="A685" t="s">
        <v>13</v>
      </c>
      <c r="B685">
        <v>46.9</v>
      </c>
    </row>
    <row r="686" spans="1:2" x14ac:dyDescent="0.2">
      <c r="A686" t="s">
        <v>13</v>
      </c>
      <c r="B686">
        <v>39</v>
      </c>
    </row>
    <row r="687" spans="1:2" x14ac:dyDescent="0.2">
      <c r="A687" t="s">
        <v>13</v>
      </c>
      <c r="B687">
        <v>41.5792</v>
      </c>
    </row>
    <row r="688" spans="1:2" x14ac:dyDescent="0.2">
      <c r="A688" t="s">
        <v>13</v>
      </c>
      <c r="B688">
        <v>39.6875</v>
      </c>
    </row>
    <row r="689" spans="1:2" x14ac:dyDescent="0.2">
      <c r="A689" t="s">
        <v>13</v>
      </c>
      <c r="B689">
        <v>10.1708</v>
      </c>
    </row>
    <row r="690" spans="1:2" x14ac:dyDescent="0.2">
      <c r="A690" t="s">
        <v>13</v>
      </c>
      <c r="B690">
        <v>7.7957999999999998</v>
      </c>
    </row>
    <row r="691" spans="1:2" x14ac:dyDescent="0.2">
      <c r="A691" t="s">
        <v>17</v>
      </c>
      <c r="B691">
        <v>211.33750000000001</v>
      </c>
    </row>
    <row r="692" spans="1:2" x14ac:dyDescent="0.2">
      <c r="A692" t="s">
        <v>13</v>
      </c>
      <c r="B692">
        <v>57</v>
      </c>
    </row>
    <row r="693" spans="1:2" x14ac:dyDescent="0.2">
      <c r="A693" t="s">
        <v>17</v>
      </c>
      <c r="B693">
        <v>13.416700000000001</v>
      </c>
    </row>
    <row r="694" spans="1:2" x14ac:dyDescent="0.2">
      <c r="A694" t="s">
        <v>13</v>
      </c>
      <c r="B694">
        <v>56.495800000000003</v>
      </c>
    </row>
    <row r="695" spans="1:2" x14ac:dyDescent="0.2">
      <c r="A695" t="s">
        <v>13</v>
      </c>
      <c r="B695">
        <v>7.2249999999999996</v>
      </c>
    </row>
    <row r="696" spans="1:2" x14ac:dyDescent="0.2">
      <c r="A696" t="s">
        <v>13</v>
      </c>
      <c r="B696">
        <v>26.55</v>
      </c>
    </row>
    <row r="697" spans="1:2" x14ac:dyDescent="0.2">
      <c r="A697" t="s">
        <v>13</v>
      </c>
      <c r="B697">
        <v>13.5</v>
      </c>
    </row>
    <row r="698" spans="1:2" x14ac:dyDescent="0.2">
      <c r="A698" t="s">
        <v>13</v>
      </c>
      <c r="B698">
        <v>8.0500000000000007</v>
      </c>
    </row>
    <row r="699" spans="1:2" x14ac:dyDescent="0.2">
      <c r="A699" t="s">
        <v>17</v>
      </c>
      <c r="B699">
        <v>7.7332999999999998</v>
      </c>
    </row>
    <row r="700" spans="1:2" x14ac:dyDescent="0.2">
      <c r="A700" t="s">
        <v>13</v>
      </c>
      <c r="B700">
        <v>110.88330000000001</v>
      </c>
    </row>
    <row r="701" spans="1:2" x14ac:dyDescent="0.2">
      <c r="A701" t="s">
        <v>13</v>
      </c>
      <c r="B701">
        <v>7.65</v>
      </c>
    </row>
    <row r="702" spans="1:2" x14ac:dyDescent="0.2">
      <c r="A702" t="s">
        <v>17</v>
      </c>
      <c r="B702">
        <v>227.52500000000001</v>
      </c>
    </row>
    <row r="703" spans="1:2" x14ac:dyDescent="0.2">
      <c r="A703" t="s">
        <v>13</v>
      </c>
      <c r="B703">
        <v>26.287500000000001</v>
      </c>
    </row>
    <row r="704" spans="1:2" x14ac:dyDescent="0.2">
      <c r="A704" t="s">
        <v>17</v>
      </c>
      <c r="B704">
        <v>14.4542</v>
      </c>
    </row>
    <row r="705" spans="1:2" x14ac:dyDescent="0.2">
      <c r="A705" t="s">
        <v>13</v>
      </c>
      <c r="B705">
        <v>7.7416999999999998</v>
      </c>
    </row>
    <row r="706" spans="1:2" x14ac:dyDescent="0.2">
      <c r="A706" t="s">
        <v>13</v>
      </c>
      <c r="B706">
        <v>7.8541999999999996</v>
      </c>
    </row>
    <row r="707" spans="1:2" x14ac:dyDescent="0.2">
      <c r="A707" t="s">
        <v>13</v>
      </c>
      <c r="B707">
        <v>26</v>
      </c>
    </row>
    <row r="708" spans="1:2" x14ac:dyDescent="0.2">
      <c r="A708" t="s">
        <v>17</v>
      </c>
      <c r="B708">
        <v>13.5</v>
      </c>
    </row>
    <row r="709" spans="1:2" x14ac:dyDescent="0.2">
      <c r="A709" t="s">
        <v>13</v>
      </c>
      <c r="B709">
        <v>26.287500000000001</v>
      </c>
    </row>
    <row r="710" spans="1:2" x14ac:dyDescent="0.2">
      <c r="A710" t="s">
        <v>17</v>
      </c>
      <c r="B710">
        <v>151.55000000000001</v>
      </c>
    </row>
    <row r="711" spans="1:2" x14ac:dyDescent="0.2">
      <c r="A711" t="s">
        <v>13</v>
      </c>
      <c r="B711">
        <v>15.245799999999999</v>
      </c>
    </row>
    <row r="712" spans="1:2" x14ac:dyDescent="0.2">
      <c r="A712" t="s">
        <v>17</v>
      </c>
      <c r="B712">
        <v>49.504199999999997</v>
      </c>
    </row>
    <row r="713" spans="1:2" x14ac:dyDescent="0.2">
      <c r="A713" t="s">
        <v>13</v>
      </c>
      <c r="B713">
        <v>26.55</v>
      </c>
    </row>
    <row r="714" spans="1:2" x14ac:dyDescent="0.2">
      <c r="A714" t="s">
        <v>13</v>
      </c>
      <c r="B714">
        <v>52</v>
      </c>
    </row>
    <row r="715" spans="1:2" x14ac:dyDescent="0.2">
      <c r="A715" t="s">
        <v>13</v>
      </c>
      <c r="B715">
        <v>9.4832999999999998</v>
      </c>
    </row>
    <row r="716" spans="1:2" x14ac:dyDescent="0.2">
      <c r="A716" t="s">
        <v>13</v>
      </c>
      <c r="B716">
        <v>13</v>
      </c>
    </row>
    <row r="717" spans="1:2" x14ac:dyDescent="0.2">
      <c r="A717" t="s">
        <v>13</v>
      </c>
      <c r="B717">
        <v>7.65</v>
      </c>
    </row>
    <row r="718" spans="1:2" x14ac:dyDescent="0.2">
      <c r="A718" t="s">
        <v>17</v>
      </c>
      <c r="B718">
        <v>227.52500000000001</v>
      </c>
    </row>
    <row r="719" spans="1:2" x14ac:dyDescent="0.2">
      <c r="A719" t="s">
        <v>17</v>
      </c>
      <c r="B719">
        <v>10.5</v>
      </c>
    </row>
    <row r="720" spans="1:2" x14ac:dyDescent="0.2">
      <c r="A720" t="s">
        <v>13</v>
      </c>
      <c r="B720">
        <v>15.5</v>
      </c>
    </row>
    <row r="721" spans="1:2" x14ac:dyDescent="0.2">
      <c r="A721" t="s">
        <v>13</v>
      </c>
      <c r="B721">
        <v>7.7750000000000004</v>
      </c>
    </row>
    <row r="722" spans="1:2" x14ac:dyDescent="0.2">
      <c r="A722" t="s">
        <v>17</v>
      </c>
      <c r="B722">
        <v>33</v>
      </c>
    </row>
    <row r="723" spans="1:2" x14ac:dyDescent="0.2">
      <c r="A723" t="s">
        <v>13</v>
      </c>
      <c r="B723">
        <v>7.0541999999999998</v>
      </c>
    </row>
    <row r="724" spans="1:2" x14ac:dyDescent="0.2">
      <c r="A724" t="s">
        <v>13</v>
      </c>
      <c r="B724">
        <v>13</v>
      </c>
    </row>
    <row r="725" spans="1:2" x14ac:dyDescent="0.2">
      <c r="A725" t="s">
        <v>13</v>
      </c>
      <c r="B725">
        <v>13</v>
      </c>
    </row>
    <row r="726" spans="1:2" x14ac:dyDescent="0.2">
      <c r="A726" t="s">
        <v>13</v>
      </c>
      <c r="B726">
        <v>53.1</v>
      </c>
    </row>
    <row r="727" spans="1:2" x14ac:dyDescent="0.2">
      <c r="A727" t="s">
        <v>13</v>
      </c>
      <c r="B727">
        <v>8.6624999999999996</v>
      </c>
    </row>
    <row r="728" spans="1:2" x14ac:dyDescent="0.2">
      <c r="A728" t="s">
        <v>17</v>
      </c>
      <c r="B728">
        <v>21</v>
      </c>
    </row>
    <row r="729" spans="1:2" x14ac:dyDescent="0.2">
      <c r="A729" t="s">
        <v>17</v>
      </c>
      <c r="B729">
        <v>7.7374999999999998</v>
      </c>
    </row>
    <row r="730" spans="1:2" x14ac:dyDescent="0.2">
      <c r="A730" t="s">
        <v>13</v>
      </c>
      <c r="B730">
        <v>26</v>
      </c>
    </row>
    <row r="731" spans="1:2" x14ac:dyDescent="0.2">
      <c r="A731" t="s">
        <v>17</v>
      </c>
      <c r="B731">
        <v>7.9249999999999998</v>
      </c>
    </row>
    <row r="732" spans="1:2" x14ac:dyDescent="0.2">
      <c r="A732" t="s">
        <v>17</v>
      </c>
      <c r="B732">
        <v>211.33750000000001</v>
      </c>
    </row>
    <row r="733" spans="1:2" x14ac:dyDescent="0.2">
      <c r="A733" t="s">
        <v>13</v>
      </c>
      <c r="B733">
        <v>18.787500000000001</v>
      </c>
    </row>
    <row r="734" spans="1:2" x14ac:dyDescent="0.2">
      <c r="A734" t="s">
        <v>13</v>
      </c>
      <c r="B734">
        <v>0</v>
      </c>
    </row>
    <row r="735" spans="1:2" x14ac:dyDescent="0.2">
      <c r="A735" t="s">
        <v>13</v>
      </c>
      <c r="B735">
        <v>13</v>
      </c>
    </row>
    <row r="736" spans="1:2" x14ac:dyDescent="0.2">
      <c r="A736" t="s">
        <v>13</v>
      </c>
      <c r="B736">
        <v>13</v>
      </c>
    </row>
    <row r="737" spans="1:2" x14ac:dyDescent="0.2">
      <c r="A737" t="s">
        <v>13</v>
      </c>
      <c r="B737">
        <v>16.100000000000001</v>
      </c>
    </row>
    <row r="738" spans="1:2" x14ac:dyDescent="0.2">
      <c r="A738" t="s">
        <v>17</v>
      </c>
      <c r="B738">
        <v>34.375</v>
      </c>
    </row>
    <row r="739" spans="1:2" x14ac:dyDescent="0.2">
      <c r="A739" t="s">
        <v>13</v>
      </c>
      <c r="B739">
        <v>512.32920000000001</v>
      </c>
    </row>
    <row r="740" spans="1:2" x14ac:dyDescent="0.2">
      <c r="A740" t="s">
        <v>13</v>
      </c>
      <c r="B740">
        <v>7.8958000000000004</v>
      </c>
    </row>
    <row r="741" spans="1:2" x14ac:dyDescent="0.2">
      <c r="A741" t="s">
        <v>13</v>
      </c>
      <c r="B741">
        <v>7.8958000000000004</v>
      </c>
    </row>
    <row r="742" spans="1:2" x14ac:dyDescent="0.2">
      <c r="A742" t="s">
        <v>13</v>
      </c>
      <c r="B742">
        <v>30</v>
      </c>
    </row>
    <row r="743" spans="1:2" x14ac:dyDescent="0.2">
      <c r="A743" t="s">
        <v>13</v>
      </c>
      <c r="B743">
        <v>78.849999999999994</v>
      </c>
    </row>
    <row r="744" spans="1:2" x14ac:dyDescent="0.2">
      <c r="A744" t="s">
        <v>17</v>
      </c>
      <c r="B744">
        <v>262.375</v>
      </c>
    </row>
    <row r="745" spans="1:2" x14ac:dyDescent="0.2">
      <c r="A745" t="s">
        <v>13</v>
      </c>
      <c r="B745">
        <v>16.100000000000001</v>
      </c>
    </row>
    <row r="746" spans="1:2" x14ac:dyDescent="0.2">
      <c r="A746" t="s">
        <v>13</v>
      </c>
      <c r="B746">
        <v>7.9249999999999998</v>
      </c>
    </row>
    <row r="747" spans="1:2" x14ac:dyDescent="0.2">
      <c r="A747" t="s">
        <v>13</v>
      </c>
      <c r="B747">
        <v>71</v>
      </c>
    </row>
    <row r="748" spans="1:2" x14ac:dyDescent="0.2">
      <c r="A748" t="s">
        <v>13</v>
      </c>
      <c r="B748">
        <v>20.25</v>
      </c>
    </row>
    <row r="749" spans="1:2" x14ac:dyDescent="0.2">
      <c r="A749" t="s">
        <v>17</v>
      </c>
      <c r="B749">
        <v>13</v>
      </c>
    </row>
    <row r="750" spans="1:2" x14ac:dyDescent="0.2">
      <c r="A750" t="s">
        <v>13</v>
      </c>
      <c r="B750">
        <v>53.1</v>
      </c>
    </row>
    <row r="751" spans="1:2" x14ac:dyDescent="0.2">
      <c r="A751" t="s">
        <v>13</v>
      </c>
      <c r="B751">
        <v>7.75</v>
      </c>
    </row>
    <row r="752" spans="1:2" x14ac:dyDescent="0.2">
      <c r="A752" t="s">
        <v>17</v>
      </c>
      <c r="B752">
        <v>23</v>
      </c>
    </row>
    <row r="753" spans="1:2" x14ac:dyDescent="0.2">
      <c r="A753" t="s">
        <v>13</v>
      </c>
      <c r="B753">
        <v>12.475</v>
      </c>
    </row>
    <row r="754" spans="1:2" x14ac:dyDescent="0.2">
      <c r="A754" t="s">
        <v>13</v>
      </c>
      <c r="B754">
        <v>9.5</v>
      </c>
    </row>
    <row r="755" spans="1:2" x14ac:dyDescent="0.2">
      <c r="A755" t="s">
        <v>13</v>
      </c>
      <c r="B755">
        <v>7.8958000000000004</v>
      </c>
    </row>
    <row r="756" spans="1:2" x14ac:dyDescent="0.2">
      <c r="A756" t="s">
        <v>17</v>
      </c>
      <c r="B756">
        <v>65</v>
      </c>
    </row>
    <row r="757" spans="1:2" x14ac:dyDescent="0.2">
      <c r="A757" t="s">
        <v>13</v>
      </c>
      <c r="B757">
        <v>14.5</v>
      </c>
    </row>
    <row r="758" spans="1:2" x14ac:dyDescent="0.2">
      <c r="A758" t="s">
        <v>13</v>
      </c>
      <c r="B758">
        <v>7.7957999999999998</v>
      </c>
    </row>
    <row r="759" spans="1:2" x14ac:dyDescent="0.2">
      <c r="A759" t="s">
        <v>13</v>
      </c>
      <c r="B759">
        <v>11.5</v>
      </c>
    </row>
    <row r="760" spans="1:2" x14ac:dyDescent="0.2">
      <c r="A760" t="s">
        <v>13</v>
      </c>
      <c r="B760">
        <v>8.0500000000000007</v>
      </c>
    </row>
    <row r="761" spans="1:2" x14ac:dyDescent="0.2">
      <c r="A761" t="s">
        <v>17</v>
      </c>
      <c r="B761">
        <v>86.5</v>
      </c>
    </row>
    <row r="762" spans="1:2" x14ac:dyDescent="0.2">
      <c r="A762" t="s">
        <v>13</v>
      </c>
      <c r="B762">
        <v>14.5</v>
      </c>
    </row>
    <row r="763" spans="1:2" x14ac:dyDescent="0.2">
      <c r="A763" t="s">
        <v>13</v>
      </c>
      <c r="B763">
        <v>7.125</v>
      </c>
    </row>
    <row r="764" spans="1:2" x14ac:dyDescent="0.2">
      <c r="A764" t="s">
        <v>13</v>
      </c>
      <c r="B764">
        <v>7.2291999999999996</v>
      </c>
    </row>
    <row r="765" spans="1:2" x14ac:dyDescent="0.2">
      <c r="A765" t="s">
        <v>17</v>
      </c>
      <c r="B765">
        <v>120</v>
      </c>
    </row>
    <row r="766" spans="1:2" x14ac:dyDescent="0.2">
      <c r="A766" t="s">
        <v>13</v>
      </c>
      <c r="B766">
        <v>7.7750000000000004</v>
      </c>
    </row>
    <row r="767" spans="1:2" x14ac:dyDescent="0.2">
      <c r="A767" t="s">
        <v>17</v>
      </c>
      <c r="B767">
        <v>77.958299999999994</v>
      </c>
    </row>
    <row r="768" spans="1:2" x14ac:dyDescent="0.2">
      <c r="A768" t="s">
        <v>13</v>
      </c>
      <c r="B768">
        <v>39.6</v>
      </c>
    </row>
    <row r="769" spans="1:2" x14ac:dyDescent="0.2">
      <c r="A769" t="s">
        <v>17</v>
      </c>
      <c r="B769">
        <v>7.75</v>
      </c>
    </row>
    <row r="770" spans="1:2" x14ac:dyDescent="0.2">
      <c r="A770" t="s">
        <v>13</v>
      </c>
      <c r="B770">
        <v>24.15</v>
      </c>
    </row>
    <row r="771" spans="1:2" x14ac:dyDescent="0.2">
      <c r="A771" t="s">
        <v>13</v>
      </c>
      <c r="B771">
        <v>8.3625000000000007</v>
      </c>
    </row>
    <row r="772" spans="1:2" x14ac:dyDescent="0.2">
      <c r="A772" t="s">
        <v>13</v>
      </c>
      <c r="B772">
        <v>9.5</v>
      </c>
    </row>
    <row r="773" spans="1:2" x14ac:dyDescent="0.2">
      <c r="A773" t="s">
        <v>13</v>
      </c>
      <c r="B773">
        <v>7.8541999999999996</v>
      </c>
    </row>
    <row r="774" spans="1:2" x14ac:dyDescent="0.2">
      <c r="A774" t="s">
        <v>17</v>
      </c>
      <c r="B774">
        <v>10.5</v>
      </c>
    </row>
    <row r="775" spans="1:2" x14ac:dyDescent="0.2">
      <c r="A775" t="s">
        <v>13</v>
      </c>
      <c r="B775">
        <v>7.2249999999999996</v>
      </c>
    </row>
    <row r="776" spans="1:2" x14ac:dyDescent="0.2">
      <c r="A776" t="s">
        <v>17</v>
      </c>
      <c r="B776">
        <v>23</v>
      </c>
    </row>
    <row r="777" spans="1:2" x14ac:dyDescent="0.2">
      <c r="A777" t="s">
        <v>13</v>
      </c>
      <c r="B777">
        <v>7.75</v>
      </c>
    </row>
    <row r="778" spans="1:2" x14ac:dyDescent="0.2">
      <c r="A778" t="s">
        <v>13</v>
      </c>
      <c r="B778">
        <v>7.75</v>
      </c>
    </row>
    <row r="779" spans="1:2" x14ac:dyDescent="0.2">
      <c r="A779" t="s">
        <v>17</v>
      </c>
      <c r="B779">
        <v>12.475</v>
      </c>
    </row>
    <row r="780" spans="1:2" x14ac:dyDescent="0.2">
      <c r="A780" t="s">
        <v>13</v>
      </c>
      <c r="B780">
        <v>7.7374999999999998</v>
      </c>
    </row>
    <row r="781" spans="1:2" x14ac:dyDescent="0.2">
      <c r="A781" t="s">
        <v>17</v>
      </c>
      <c r="B781">
        <v>211.33750000000001</v>
      </c>
    </row>
    <row r="782" spans="1:2" x14ac:dyDescent="0.2">
      <c r="A782" t="s">
        <v>17</v>
      </c>
      <c r="B782">
        <v>7.2291999999999996</v>
      </c>
    </row>
    <row r="783" spans="1:2" x14ac:dyDescent="0.2">
      <c r="A783" t="s">
        <v>17</v>
      </c>
      <c r="B783">
        <v>57</v>
      </c>
    </row>
    <row r="784" spans="1:2" x14ac:dyDescent="0.2">
      <c r="A784" t="s">
        <v>13</v>
      </c>
      <c r="B784">
        <v>30</v>
      </c>
    </row>
    <row r="785" spans="1:2" x14ac:dyDescent="0.2">
      <c r="A785" t="s">
        <v>13</v>
      </c>
      <c r="B785">
        <v>23.45</v>
      </c>
    </row>
    <row r="786" spans="1:2" x14ac:dyDescent="0.2">
      <c r="A786" t="s">
        <v>13</v>
      </c>
      <c r="B786">
        <v>7.05</v>
      </c>
    </row>
    <row r="787" spans="1:2" x14ac:dyDescent="0.2">
      <c r="A787" t="s">
        <v>13</v>
      </c>
      <c r="B787">
        <v>7.25</v>
      </c>
    </row>
    <row r="788" spans="1:2" x14ac:dyDescent="0.2">
      <c r="A788" t="s">
        <v>17</v>
      </c>
      <c r="B788">
        <v>7.4958</v>
      </c>
    </row>
    <row r="789" spans="1:2" x14ac:dyDescent="0.2">
      <c r="A789" t="s">
        <v>13</v>
      </c>
      <c r="B789">
        <v>29.125</v>
      </c>
    </row>
    <row r="790" spans="1:2" x14ac:dyDescent="0.2">
      <c r="A790" t="s">
        <v>13</v>
      </c>
      <c r="B790">
        <v>20.574999999999999</v>
      </c>
    </row>
    <row r="791" spans="1:2" x14ac:dyDescent="0.2">
      <c r="A791" t="s">
        <v>13</v>
      </c>
      <c r="B791">
        <v>79.2</v>
      </c>
    </row>
    <row r="792" spans="1:2" x14ac:dyDescent="0.2">
      <c r="A792" t="s">
        <v>13</v>
      </c>
      <c r="B792">
        <v>7.75</v>
      </c>
    </row>
    <row r="793" spans="1:2" x14ac:dyDescent="0.2">
      <c r="A793" t="s">
        <v>13</v>
      </c>
      <c r="B793">
        <v>26</v>
      </c>
    </row>
    <row r="794" spans="1:2" x14ac:dyDescent="0.2">
      <c r="A794" t="s">
        <v>17</v>
      </c>
      <c r="B794">
        <v>69.55</v>
      </c>
    </row>
    <row r="795" spans="1:2" x14ac:dyDescent="0.2">
      <c r="A795" t="s">
        <v>13</v>
      </c>
      <c r="B795">
        <v>30.695799999999998</v>
      </c>
    </row>
    <row r="796" spans="1:2" x14ac:dyDescent="0.2">
      <c r="A796" t="s">
        <v>13</v>
      </c>
      <c r="B796">
        <v>7.8958000000000004</v>
      </c>
    </row>
    <row r="797" spans="1:2" x14ac:dyDescent="0.2">
      <c r="A797" t="s">
        <v>13</v>
      </c>
      <c r="B797">
        <v>13</v>
      </c>
    </row>
    <row r="798" spans="1:2" x14ac:dyDescent="0.2">
      <c r="A798" t="s">
        <v>17</v>
      </c>
      <c r="B798">
        <v>25.929200000000002</v>
      </c>
    </row>
    <row r="799" spans="1:2" x14ac:dyDescent="0.2">
      <c r="A799" t="s">
        <v>17</v>
      </c>
      <c r="B799">
        <v>8.6832999999999991</v>
      </c>
    </row>
    <row r="800" spans="1:2" x14ac:dyDescent="0.2">
      <c r="A800" t="s">
        <v>13</v>
      </c>
      <c r="B800">
        <v>7.2291999999999996</v>
      </c>
    </row>
    <row r="801" spans="1:2" x14ac:dyDescent="0.2">
      <c r="A801" t="s">
        <v>17</v>
      </c>
      <c r="B801">
        <v>24.15</v>
      </c>
    </row>
    <row r="802" spans="1:2" x14ac:dyDescent="0.2">
      <c r="A802" t="s">
        <v>13</v>
      </c>
      <c r="B802">
        <v>13</v>
      </c>
    </row>
    <row r="803" spans="1:2" x14ac:dyDescent="0.2">
      <c r="A803" t="s">
        <v>17</v>
      </c>
      <c r="B803">
        <v>26.25</v>
      </c>
    </row>
    <row r="804" spans="1:2" x14ac:dyDescent="0.2">
      <c r="A804" t="s">
        <v>13</v>
      </c>
      <c r="B804">
        <v>120</v>
      </c>
    </row>
    <row r="805" spans="1:2" x14ac:dyDescent="0.2">
      <c r="A805" t="s">
        <v>13</v>
      </c>
      <c r="B805">
        <v>8.5167000000000002</v>
      </c>
    </row>
    <row r="806" spans="1:2" x14ac:dyDescent="0.2">
      <c r="A806" t="s">
        <v>13</v>
      </c>
      <c r="B806">
        <v>6.9749999999999996</v>
      </c>
    </row>
    <row r="807" spans="1:2" x14ac:dyDescent="0.2">
      <c r="A807" t="s">
        <v>13</v>
      </c>
      <c r="B807">
        <v>7.7750000000000004</v>
      </c>
    </row>
    <row r="808" spans="1:2" x14ac:dyDescent="0.2">
      <c r="A808" t="s">
        <v>13</v>
      </c>
      <c r="B808">
        <v>0</v>
      </c>
    </row>
    <row r="809" spans="1:2" x14ac:dyDescent="0.2">
      <c r="A809" t="s">
        <v>17</v>
      </c>
      <c r="B809">
        <v>7.7750000000000004</v>
      </c>
    </row>
    <row r="810" spans="1:2" x14ac:dyDescent="0.2">
      <c r="A810" t="s">
        <v>13</v>
      </c>
      <c r="B810">
        <v>13</v>
      </c>
    </row>
    <row r="811" spans="1:2" x14ac:dyDescent="0.2">
      <c r="A811" t="s">
        <v>17</v>
      </c>
      <c r="B811">
        <v>53.1</v>
      </c>
    </row>
    <row r="812" spans="1:2" x14ac:dyDescent="0.2">
      <c r="A812" t="s">
        <v>13</v>
      </c>
      <c r="B812">
        <v>7.8875000000000002</v>
      </c>
    </row>
    <row r="813" spans="1:2" x14ac:dyDescent="0.2">
      <c r="A813" t="s">
        <v>13</v>
      </c>
      <c r="B813">
        <v>24.15</v>
      </c>
    </row>
    <row r="814" spans="1:2" x14ac:dyDescent="0.2">
      <c r="A814" t="s">
        <v>13</v>
      </c>
      <c r="B814">
        <v>10.5</v>
      </c>
    </row>
    <row r="815" spans="1:2" x14ac:dyDescent="0.2">
      <c r="A815" t="s">
        <v>17</v>
      </c>
      <c r="B815">
        <v>31.274999999999999</v>
      </c>
    </row>
    <row r="816" spans="1:2" x14ac:dyDescent="0.2">
      <c r="A816" t="s">
        <v>13</v>
      </c>
      <c r="B816">
        <v>8.0500000000000007</v>
      </c>
    </row>
    <row r="817" spans="1:2" x14ac:dyDescent="0.2">
      <c r="A817" t="s">
        <v>13</v>
      </c>
      <c r="B817">
        <v>0</v>
      </c>
    </row>
    <row r="818" spans="1:2" x14ac:dyDescent="0.2">
      <c r="A818" t="s">
        <v>17</v>
      </c>
      <c r="B818">
        <v>7.9249999999999998</v>
      </c>
    </row>
    <row r="819" spans="1:2" x14ac:dyDescent="0.2">
      <c r="A819" t="s">
        <v>13</v>
      </c>
      <c r="B819">
        <v>37.004199999999997</v>
      </c>
    </row>
    <row r="820" spans="1:2" x14ac:dyDescent="0.2">
      <c r="A820" t="s">
        <v>13</v>
      </c>
      <c r="B820">
        <v>6.45</v>
      </c>
    </row>
    <row r="821" spans="1:2" x14ac:dyDescent="0.2">
      <c r="A821" t="s">
        <v>13</v>
      </c>
      <c r="B821">
        <v>27.9</v>
      </c>
    </row>
    <row r="822" spans="1:2" x14ac:dyDescent="0.2">
      <c r="A822" t="s">
        <v>17</v>
      </c>
      <c r="B822">
        <v>93.5</v>
      </c>
    </row>
    <row r="823" spans="1:2" x14ac:dyDescent="0.2">
      <c r="A823" t="s">
        <v>13</v>
      </c>
      <c r="B823">
        <v>8.6624999999999996</v>
      </c>
    </row>
    <row r="824" spans="1:2" x14ac:dyDescent="0.2">
      <c r="A824" t="s">
        <v>13</v>
      </c>
      <c r="B824">
        <v>0</v>
      </c>
    </row>
    <row r="825" spans="1:2" x14ac:dyDescent="0.2">
      <c r="A825" t="s">
        <v>17</v>
      </c>
      <c r="B825">
        <v>12.475</v>
      </c>
    </row>
    <row r="826" spans="1:2" x14ac:dyDescent="0.2">
      <c r="A826" t="s">
        <v>13</v>
      </c>
      <c r="B826">
        <v>39.6875</v>
      </c>
    </row>
    <row r="827" spans="1:2" x14ac:dyDescent="0.2">
      <c r="A827" t="s">
        <v>13</v>
      </c>
      <c r="B827">
        <v>6.95</v>
      </c>
    </row>
    <row r="828" spans="1:2" x14ac:dyDescent="0.2">
      <c r="A828" t="s">
        <v>13</v>
      </c>
      <c r="B828">
        <v>56.495800000000003</v>
      </c>
    </row>
    <row r="829" spans="1:2" x14ac:dyDescent="0.2">
      <c r="A829" t="s">
        <v>13</v>
      </c>
      <c r="B829">
        <v>37.004199999999997</v>
      </c>
    </row>
    <row r="830" spans="1:2" x14ac:dyDescent="0.2">
      <c r="A830" t="s">
        <v>13</v>
      </c>
      <c r="B830">
        <v>7.75</v>
      </c>
    </row>
    <row r="831" spans="1:2" x14ac:dyDescent="0.2">
      <c r="A831" t="s">
        <v>17</v>
      </c>
      <c r="B831">
        <v>80</v>
      </c>
    </row>
    <row r="832" spans="1:2" x14ac:dyDescent="0.2">
      <c r="A832" t="s">
        <v>17</v>
      </c>
      <c r="B832">
        <v>14.4542</v>
      </c>
    </row>
    <row r="833" spans="1:2" x14ac:dyDescent="0.2">
      <c r="A833" t="s">
        <v>13</v>
      </c>
      <c r="B833">
        <v>18.75</v>
      </c>
    </row>
    <row r="834" spans="1:2" x14ac:dyDescent="0.2">
      <c r="A834" t="s">
        <v>13</v>
      </c>
      <c r="B834">
        <v>7.2291999999999996</v>
      </c>
    </row>
    <row r="835" spans="1:2" x14ac:dyDescent="0.2">
      <c r="A835" t="s">
        <v>13</v>
      </c>
      <c r="B835">
        <v>7.8541999999999996</v>
      </c>
    </row>
    <row r="836" spans="1:2" x14ac:dyDescent="0.2">
      <c r="A836" t="s">
        <v>13</v>
      </c>
      <c r="B836">
        <v>8.3000000000000007</v>
      </c>
    </row>
    <row r="837" spans="1:2" x14ac:dyDescent="0.2">
      <c r="A837" t="s">
        <v>17</v>
      </c>
      <c r="B837">
        <v>83.158299999999997</v>
      </c>
    </row>
    <row r="838" spans="1:2" x14ac:dyDescent="0.2">
      <c r="A838" t="s">
        <v>13</v>
      </c>
      <c r="B838">
        <v>8.6624999999999996</v>
      </c>
    </row>
    <row r="839" spans="1:2" x14ac:dyDescent="0.2">
      <c r="A839" t="s">
        <v>13</v>
      </c>
      <c r="B839">
        <v>8.0500000000000007</v>
      </c>
    </row>
    <row r="840" spans="1:2" x14ac:dyDescent="0.2">
      <c r="A840" t="s">
        <v>13</v>
      </c>
      <c r="B840">
        <v>56.495800000000003</v>
      </c>
    </row>
    <row r="841" spans="1:2" x14ac:dyDescent="0.2">
      <c r="A841" t="s">
        <v>13</v>
      </c>
      <c r="B841">
        <v>29.7</v>
      </c>
    </row>
    <row r="842" spans="1:2" x14ac:dyDescent="0.2">
      <c r="A842" t="s">
        <v>13</v>
      </c>
      <c r="B842">
        <v>7.9249999999999998</v>
      </c>
    </row>
    <row r="843" spans="1:2" x14ac:dyDescent="0.2">
      <c r="A843" t="s">
        <v>13</v>
      </c>
      <c r="B843">
        <v>10.5</v>
      </c>
    </row>
    <row r="844" spans="1:2" x14ac:dyDescent="0.2">
      <c r="A844" t="s">
        <v>17</v>
      </c>
      <c r="B844">
        <v>31</v>
      </c>
    </row>
    <row r="845" spans="1:2" x14ac:dyDescent="0.2">
      <c r="A845" t="s">
        <v>13</v>
      </c>
      <c r="B845">
        <v>6.4375</v>
      </c>
    </row>
    <row r="846" spans="1:2" x14ac:dyDescent="0.2">
      <c r="A846" t="s">
        <v>13</v>
      </c>
      <c r="B846">
        <v>8.6624999999999996</v>
      </c>
    </row>
    <row r="847" spans="1:2" x14ac:dyDescent="0.2">
      <c r="A847" t="s">
        <v>13</v>
      </c>
      <c r="B847">
        <v>7.55</v>
      </c>
    </row>
    <row r="848" spans="1:2" x14ac:dyDescent="0.2">
      <c r="A848" t="s">
        <v>13</v>
      </c>
      <c r="B848">
        <v>69.55</v>
      </c>
    </row>
    <row r="849" spans="1:2" x14ac:dyDescent="0.2">
      <c r="A849" t="s">
        <v>13</v>
      </c>
      <c r="B849">
        <v>7.8958000000000004</v>
      </c>
    </row>
    <row r="850" spans="1:2" x14ac:dyDescent="0.2">
      <c r="A850" t="s">
        <v>13</v>
      </c>
      <c r="B850">
        <v>33</v>
      </c>
    </row>
    <row r="851" spans="1:2" x14ac:dyDescent="0.2">
      <c r="A851" t="s">
        <v>17</v>
      </c>
      <c r="B851">
        <v>89.104200000000006</v>
      </c>
    </row>
    <row r="852" spans="1:2" x14ac:dyDescent="0.2">
      <c r="A852" t="s">
        <v>13</v>
      </c>
      <c r="B852">
        <v>31.274999999999999</v>
      </c>
    </row>
    <row r="853" spans="1:2" x14ac:dyDescent="0.2">
      <c r="A853" t="s">
        <v>13</v>
      </c>
      <c r="B853">
        <v>7.7750000000000004</v>
      </c>
    </row>
    <row r="854" spans="1:2" x14ac:dyDescent="0.2">
      <c r="A854" t="s">
        <v>17</v>
      </c>
      <c r="B854">
        <v>15.245799999999999</v>
      </c>
    </row>
    <row r="855" spans="1:2" x14ac:dyDescent="0.2">
      <c r="A855" t="s">
        <v>17</v>
      </c>
      <c r="B855">
        <v>39.4</v>
      </c>
    </row>
    <row r="856" spans="1:2" x14ac:dyDescent="0.2">
      <c r="A856" t="s">
        <v>17</v>
      </c>
      <c r="B856">
        <v>26</v>
      </c>
    </row>
    <row r="857" spans="1:2" x14ac:dyDescent="0.2">
      <c r="A857" t="s">
        <v>17</v>
      </c>
      <c r="B857">
        <v>9.35</v>
      </c>
    </row>
    <row r="858" spans="1:2" x14ac:dyDescent="0.2">
      <c r="A858" t="s">
        <v>17</v>
      </c>
      <c r="B858">
        <v>164.86670000000001</v>
      </c>
    </row>
    <row r="859" spans="1:2" x14ac:dyDescent="0.2">
      <c r="A859" t="s">
        <v>13</v>
      </c>
      <c r="B859">
        <v>26.55</v>
      </c>
    </row>
    <row r="860" spans="1:2" x14ac:dyDescent="0.2">
      <c r="A860" t="s">
        <v>17</v>
      </c>
      <c r="B860">
        <v>19.258299999999998</v>
      </c>
    </row>
    <row r="861" spans="1:2" x14ac:dyDescent="0.2">
      <c r="A861" t="s">
        <v>13</v>
      </c>
      <c r="B861">
        <v>7.2291999999999996</v>
      </c>
    </row>
    <row r="862" spans="1:2" x14ac:dyDescent="0.2">
      <c r="A862" t="s">
        <v>13</v>
      </c>
      <c r="B862">
        <v>14.1083</v>
      </c>
    </row>
    <row r="863" spans="1:2" x14ac:dyDescent="0.2">
      <c r="A863" t="s">
        <v>13</v>
      </c>
      <c r="B863">
        <v>11.5</v>
      </c>
    </row>
    <row r="864" spans="1:2" x14ac:dyDescent="0.2">
      <c r="A864" t="s">
        <v>17</v>
      </c>
      <c r="B864">
        <v>25.929200000000002</v>
      </c>
    </row>
    <row r="865" spans="1:2" x14ac:dyDescent="0.2">
      <c r="A865" t="s">
        <v>17</v>
      </c>
      <c r="B865">
        <v>69.55</v>
      </c>
    </row>
    <row r="866" spans="1:2" x14ac:dyDescent="0.2">
      <c r="A866" t="s">
        <v>13</v>
      </c>
      <c r="B866">
        <v>13</v>
      </c>
    </row>
    <row r="867" spans="1:2" x14ac:dyDescent="0.2">
      <c r="A867" t="s">
        <v>17</v>
      </c>
      <c r="B867">
        <v>13</v>
      </c>
    </row>
    <row r="868" spans="1:2" x14ac:dyDescent="0.2">
      <c r="A868" t="s">
        <v>17</v>
      </c>
      <c r="B868">
        <v>13.8583</v>
      </c>
    </row>
    <row r="869" spans="1:2" x14ac:dyDescent="0.2">
      <c r="A869" t="s">
        <v>13</v>
      </c>
      <c r="B869">
        <v>50.495800000000003</v>
      </c>
    </row>
    <row r="870" spans="1:2" x14ac:dyDescent="0.2">
      <c r="A870" t="s">
        <v>13</v>
      </c>
      <c r="B870">
        <v>9.5</v>
      </c>
    </row>
    <row r="871" spans="1:2" x14ac:dyDescent="0.2">
      <c r="A871" t="s">
        <v>13</v>
      </c>
      <c r="B871">
        <v>11.1333</v>
      </c>
    </row>
    <row r="872" spans="1:2" x14ac:dyDescent="0.2">
      <c r="A872" t="s">
        <v>13</v>
      </c>
      <c r="B872">
        <v>7.8958000000000004</v>
      </c>
    </row>
    <row r="873" spans="1:2" x14ac:dyDescent="0.2">
      <c r="A873" t="s">
        <v>17</v>
      </c>
      <c r="B873">
        <v>52.554200000000002</v>
      </c>
    </row>
    <row r="874" spans="1:2" x14ac:dyDescent="0.2">
      <c r="A874" t="s">
        <v>13</v>
      </c>
      <c r="B874">
        <v>5</v>
      </c>
    </row>
    <row r="875" spans="1:2" x14ac:dyDescent="0.2">
      <c r="A875" t="s">
        <v>13</v>
      </c>
      <c r="B875">
        <v>9</v>
      </c>
    </row>
    <row r="876" spans="1:2" x14ac:dyDescent="0.2">
      <c r="A876" t="s">
        <v>17</v>
      </c>
      <c r="B876">
        <v>24</v>
      </c>
    </row>
    <row r="877" spans="1:2" x14ac:dyDescent="0.2">
      <c r="A877" t="s">
        <v>17</v>
      </c>
      <c r="B877">
        <v>7.2249999999999996</v>
      </c>
    </row>
    <row r="878" spans="1:2" x14ac:dyDescent="0.2">
      <c r="A878" t="s">
        <v>13</v>
      </c>
      <c r="B878">
        <v>9.8458000000000006</v>
      </c>
    </row>
    <row r="879" spans="1:2" x14ac:dyDescent="0.2">
      <c r="A879" t="s">
        <v>13</v>
      </c>
      <c r="B879">
        <v>7.8958000000000004</v>
      </c>
    </row>
    <row r="880" spans="1:2" x14ac:dyDescent="0.2">
      <c r="A880" t="s">
        <v>13</v>
      </c>
      <c r="B880">
        <v>7.8958000000000004</v>
      </c>
    </row>
    <row r="881" spans="1:2" x14ac:dyDescent="0.2">
      <c r="A881" t="s">
        <v>17</v>
      </c>
      <c r="B881">
        <v>83.158299999999997</v>
      </c>
    </row>
    <row r="882" spans="1:2" x14ac:dyDescent="0.2">
      <c r="A882" t="s">
        <v>17</v>
      </c>
      <c r="B882">
        <v>26</v>
      </c>
    </row>
    <row r="883" spans="1:2" x14ac:dyDescent="0.2">
      <c r="A883" t="s">
        <v>13</v>
      </c>
      <c r="B883">
        <v>7.8958000000000004</v>
      </c>
    </row>
    <row r="884" spans="1:2" x14ac:dyDescent="0.2">
      <c r="A884" t="s">
        <v>17</v>
      </c>
      <c r="B884">
        <v>10.5167</v>
      </c>
    </row>
    <row r="885" spans="1:2" x14ac:dyDescent="0.2">
      <c r="A885" t="s">
        <v>13</v>
      </c>
      <c r="B885">
        <v>10.5</v>
      </c>
    </row>
    <row r="886" spans="1:2" x14ac:dyDescent="0.2">
      <c r="A886" t="s">
        <v>13</v>
      </c>
      <c r="B886">
        <v>7.05</v>
      </c>
    </row>
    <row r="887" spans="1:2" x14ac:dyDescent="0.2">
      <c r="A887" t="s">
        <v>17</v>
      </c>
      <c r="B887">
        <v>29.125</v>
      </c>
    </row>
    <row r="888" spans="1:2" x14ac:dyDescent="0.2">
      <c r="A888" t="s">
        <v>13</v>
      </c>
      <c r="B888">
        <v>13</v>
      </c>
    </row>
    <row r="889" spans="1:2" x14ac:dyDescent="0.2">
      <c r="A889" t="s">
        <v>17</v>
      </c>
      <c r="B889">
        <v>30</v>
      </c>
    </row>
    <row r="890" spans="1:2" x14ac:dyDescent="0.2">
      <c r="A890" t="s">
        <v>17</v>
      </c>
      <c r="B890">
        <v>23.45</v>
      </c>
    </row>
    <row r="891" spans="1:2" x14ac:dyDescent="0.2">
      <c r="A891" t="s">
        <v>13</v>
      </c>
      <c r="B891">
        <v>30</v>
      </c>
    </row>
    <row r="892" spans="1:2" x14ac:dyDescent="0.2">
      <c r="A892" t="s">
        <v>13</v>
      </c>
      <c r="B892">
        <v>7.75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4E2C8-D6F9-9742-80E4-83F2188A478C}">
  <dimension ref="A1:B892"/>
  <sheetViews>
    <sheetView workbookViewId="0">
      <selection activeCell="P22" sqref="P22"/>
    </sheetView>
  </sheetViews>
  <sheetFormatPr baseColWidth="10" defaultRowHeight="16" x14ac:dyDescent="0.2"/>
  <cols>
    <col min="2" max="2" width="9.33203125" style="3" customWidth="1"/>
  </cols>
  <sheetData>
    <row r="1" spans="1:2" x14ac:dyDescent="0.2">
      <c r="A1" t="s">
        <v>4</v>
      </c>
      <c r="B1" s="3" t="s">
        <v>9</v>
      </c>
    </row>
    <row r="2" spans="1:2" x14ac:dyDescent="0.2">
      <c r="A2" t="s">
        <v>13</v>
      </c>
      <c r="B2" s="3">
        <v>7.25</v>
      </c>
    </row>
    <row r="3" spans="1:2" x14ac:dyDescent="0.2">
      <c r="A3" t="s">
        <v>17</v>
      </c>
      <c r="B3" s="3">
        <v>71.283299999999997</v>
      </c>
    </row>
    <row r="4" spans="1:2" x14ac:dyDescent="0.2">
      <c r="A4" t="s">
        <v>17</v>
      </c>
      <c r="B4" s="3">
        <v>7.9249999999999998</v>
      </c>
    </row>
    <row r="5" spans="1:2" x14ac:dyDescent="0.2">
      <c r="A5" t="s">
        <v>17</v>
      </c>
      <c r="B5" s="3">
        <v>53.1</v>
      </c>
    </row>
    <row r="6" spans="1:2" x14ac:dyDescent="0.2">
      <c r="A6" t="s">
        <v>13</v>
      </c>
      <c r="B6" s="3">
        <v>8.0500000000000007</v>
      </c>
    </row>
    <row r="7" spans="1:2" x14ac:dyDescent="0.2">
      <c r="A7" t="s">
        <v>13</v>
      </c>
      <c r="B7" s="3">
        <v>8.4582999999999995</v>
      </c>
    </row>
    <row r="8" spans="1:2" x14ac:dyDescent="0.2">
      <c r="A8" t="s">
        <v>13</v>
      </c>
      <c r="B8" s="3">
        <v>51.862499999999997</v>
      </c>
    </row>
    <row r="9" spans="1:2" x14ac:dyDescent="0.2">
      <c r="A9" t="s">
        <v>13</v>
      </c>
      <c r="B9" s="3">
        <v>21.074999999999999</v>
      </c>
    </row>
    <row r="10" spans="1:2" x14ac:dyDescent="0.2">
      <c r="A10" t="s">
        <v>17</v>
      </c>
      <c r="B10" s="3">
        <v>11.1333</v>
      </c>
    </row>
    <row r="11" spans="1:2" x14ac:dyDescent="0.2">
      <c r="A11" t="s">
        <v>17</v>
      </c>
      <c r="B11" s="3">
        <v>30.070799999999998</v>
      </c>
    </row>
    <row r="12" spans="1:2" x14ac:dyDescent="0.2">
      <c r="A12" t="s">
        <v>17</v>
      </c>
      <c r="B12" s="3">
        <v>16.7</v>
      </c>
    </row>
    <row r="13" spans="1:2" x14ac:dyDescent="0.2">
      <c r="A13" t="s">
        <v>17</v>
      </c>
      <c r="B13" s="3">
        <v>26.55</v>
      </c>
    </row>
    <row r="14" spans="1:2" x14ac:dyDescent="0.2">
      <c r="A14" t="s">
        <v>13</v>
      </c>
      <c r="B14" s="3">
        <v>8.0500000000000007</v>
      </c>
    </row>
    <row r="15" spans="1:2" x14ac:dyDescent="0.2">
      <c r="A15" t="s">
        <v>13</v>
      </c>
      <c r="B15" s="3">
        <v>31.274999999999999</v>
      </c>
    </row>
    <row r="16" spans="1:2" x14ac:dyDescent="0.2">
      <c r="A16" t="s">
        <v>17</v>
      </c>
      <c r="B16" s="3">
        <v>7.8541999999999996</v>
      </c>
    </row>
    <row r="17" spans="1:2" x14ac:dyDescent="0.2">
      <c r="A17" t="s">
        <v>17</v>
      </c>
      <c r="B17" s="3">
        <v>16</v>
      </c>
    </row>
    <row r="18" spans="1:2" x14ac:dyDescent="0.2">
      <c r="A18" t="s">
        <v>13</v>
      </c>
      <c r="B18" s="3">
        <v>29.125</v>
      </c>
    </row>
    <row r="19" spans="1:2" x14ac:dyDescent="0.2">
      <c r="A19" t="s">
        <v>13</v>
      </c>
      <c r="B19" s="3">
        <v>13</v>
      </c>
    </row>
    <row r="20" spans="1:2" x14ac:dyDescent="0.2">
      <c r="A20" t="s">
        <v>17</v>
      </c>
      <c r="B20" s="3">
        <v>18</v>
      </c>
    </row>
    <row r="21" spans="1:2" x14ac:dyDescent="0.2">
      <c r="A21" t="s">
        <v>17</v>
      </c>
      <c r="B21" s="3">
        <v>7.2249999999999996</v>
      </c>
    </row>
    <row r="22" spans="1:2" x14ac:dyDescent="0.2">
      <c r="A22" t="s">
        <v>13</v>
      </c>
      <c r="B22" s="3">
        <v>26</v>
      </c>
    </row>
    <row r="23" spans="1:2" x14ac:dyDescent="0.2">
      <c r="A23" t="s">
        <v>13</v>
      </c>
      <c r="B23" s="3">
        <v>13</v>
      </c>
    </row>
    <row r="24" spans="1:2" x14ac:dyDescent="0.2">
      <c r="A24" t="s">
        <v>17</v>
      </c>
      <c r="B24" s="3">
        <v>8.0291999999999994</v>
      </c>
    </row>
    <row r="25" spans="1:2" x14ac:dyDescent="0.2">
      <c r="A25" t="s">
        <v>13</v>
      </c>
      <c r="B25" s="3">
        <v>35.5</v>
      </c>
    </row>
    <row r="26" spans="1:2" x14ac:dyDescent="0.2">
      <c r="A26" t="s">
        <v>17</v>
      </c>
      <c r="B26" s="3">
        <v>21.074999999999999</v>
      </c>
    </row>
    <row r="27" spans="1:2" x14ac:dyDescent="0.2">
      <c r="A27" t="s">
        <v>17</v>
      </c>
      <c r="B27" s="3">
        <v>31.387499999999999</v>
      </c>
    </row>
    <row r="28" spans="1:2" x14ac:dyDescent="0.2">
      <c r="A28" t="s">
        <v>13</v>
      </c>
      <c r="B28" s="3">
        <v>7.2249999999999996</v>
      </c>
    </row>
    <row r="29" spans="1:2" x14ac:dyDescent="0.2">
      <c r="A29" t="s">
        <v>13</v>
      </c>
      <c r="B29" s="3">
        <v>263</v>
      </c>
    </row>
    <row r="30" spans="1:2" x14ac:dyDescent="0.2">
      <c r="A30" t="s">
        <v>17</v>
      </c>
      <c r="B30" s="3">
        <v>7.8792</v>
      </c>
    </row>
    <row r="31" spans="1:2" x14ac:dyDescent="0.2">
      <c r="A31" t="s">
        <v>13</v>
      </c>
      <c r="B31" s="3">
        <v>7.8958000000000004</v>
      </c>
    </row>
    <row r="32" spans="1:2" x14ac:dyDescent="0.2">
      <c r="A32" t="s">
        <v>13</v>
      </c>
      <c r="B32" s="3">
        <v>27.720800000000001</v>
      </c>
    </row>
    <row r="33" spans="1:2" x14ac:dyDescent="0.2">
      <c r="A33" t="s">
        <v>17</v>
      </c>
      <c r="B33" s="3">
        <v>146.52080000000001</v>
      </c>
    </row>
    <row r="34" spans="1:2" x14ac:dyDescent="0.2">
      <c r="A34" t="s">
        <v>17</v>
      </c>
      <c r="B34" s="3">
        <v>7.75</v>
      </c>
    </row>
    <row r="35" spans="1:2" x14ac:dyDescent="0.2">
      <c r="A35" t="s">
        <v>13</v>
      </c>
      <c r="B35" s="3">
        <v>10.5</v>
      </c>
    </row>
    <row r="36" spans="1:2" x14ac:dyDescent="0.2">
      <c r="A36" t="s">
        <v>13</v>
      </c>
      <c r="B36" s="3">
        <v>82.1708</v>
      </c>
    </row>
    <row r="37" spans="1:2" x14ac:dyDescent="0.2">
      <c r="A37" t="s">
        <v>13</v>
      </c>
      <c r="B37" s="3">
        <v>52</v>
      </c>
    </row>
    <row r="38" spans="1:2" x14ac:dyDescent="0.2">
      <c r="A38" t="s">
        <v>13</v>
      </c>
      <c r="B38" s="3">
        <v>7.2291999999999996</v>
      </c>
    </row>
    <row r="39" spans="1:2" x14ac:dyDescent="0.2">
      <c r="A39" t="s">
        <v>13</v>
      </c>
      <c r="B39" s="3">
        <v>8.0500000000000007</v>
      </c>
    </row>
    <row r="40" spans="1:2" x14ac:dyDescent="0.2">
      <c r="A40" t="s">
        <v>17</v>
      </c>
      <c r="B40" s="3">
        <v>18</v>
      </c>
    </row>
    <row r="41" spans="1:2" x14ac:dyDescent="0.2">
      <c r="A41" t="s">
        <v>17</v>
      </c>
      <c r="B41" s="3">
        <v>11.2417</v>
      </c>
    </row>
    <row r="42" spans="1:2" x14ac:dyDescent="0.2">
      <c r="A42" t="s">
        <v>17</v>
      </c>
      <c r="B42" s="3">
        <v>9.4749999999999996</v>
      </c>
    </row>
    <row r="43" spans="1:2" x14ac:dyDescent="0.2">
      <c r="A43" t="s">
        <v>17</v>
      </c>
      <c r="B43" s="3">
        <v>21</v>
      </c>
    </row>
    <row r="44" spans="1:2" x14ac:dyDescent="0.2">
      <c r="A44" t="s">
        <v>13</v>
      </c>
      <c r="B44" s="3">
        <v>7.8958000000000004</v>
      </c>
    </row>
    <row r="45" spans="1:2" x14ac:dyDescent="0.2">
      <c r="A45" t="s">
        <v>17</v>
      </c>
      <c r="B45" s="3">
        <v>41.5792</v>
      </c>
    </row>
    <row r="46" spans="1:2" x14ac:dyDescent="0.2">
      <c r="A46" t="s">
        <v>17</v>
      </c>
      <c r="B46" s="3">
        <v>7.8792</v>
      </c>
    </row>
    <row r="47" spans="1:2" x14ac:dyDescent="0.2">
      <c r="A47" t="s">
        <v>13</v>
      </c>
      <c r="B47" s="3">
        <v>8.0500000000000007</v>
      </c>
    </row>
    <row r="48" spans="1:2" x14ac:dyDescent="0.2">
      <c r="A48" t="s">
        <v>13</v>
      </c>
      <c r="B48" s="3">
        <v>15.5</v>
      </c>
    </row>
    <row r="49" spans="1:2" x14ac:dyDescent="0.2">
      <c r="A49" t="s">
        <v>17</v>
      </c>
      <c r="B49" s="3">
        <v>7.75</v>
      </c>
    </row>
    <row r="50" spans="1:2" x14ac:dyDescent="0.2">
      <c r="A50" t="s">
        <v>13</v>
      </c>
      <c r="B50" s="3">
        <v>21.679200000000002</v>
      </c>
    </row>
    <row r="51" spans="1:2" x14ac:dyDescent="0.2">
      <c r="A51" t="s">
        <v>17</v>
      </c>
      <c r="B51" s="3">
        <v>17.8</v>
      </c>
    </row>
    <row r="52" spans="1:2" x14ac:dyDescent="0.2">
      <c r="A52" t="s">
        <v>13</v>
      </c>
      <c r="B52" s="3">
        <v>39.6875</v>
      </c>
    </row>
    <row r="53" spans="1:2" x14ac:dyDescent="0.2">
      <c r="A53" t="s">
        <v>13</v>
      </c>
      <c r="B53" s="3">
        <v>7.8</v>
      </c>
    </row>
    <row r="54" spans="1:2" x14ac:dyDescent="0.2">
      <c r="A54" t="s">
        <v>17</v>
      </c>
      <c r="B54" s="3">
        <v>76.729200000000006</v>
      </c>
    </row>
    <row r="55" spans="1:2" x14ac:dyDescent="0.2">
      <c r="A55" t="s">
        <v>17</v>
      </c>
      <c r="B55" s="3">
        <v>26</v>
      </c>
    </row>
    <row r="56" spans="1:2" x14ac:dyDescent="0.2">
      <c r="A56" t="s">
        <v>13</v>
      </c>
      <c r="B56" s="3">
        <v>61.979199999999999</v>
      </c>
    </row>
    <row r="57" spans="1:2" x14ac:dyDescent="0.2">
      <c r="A57" t="s">
        <v>13</v>
      </c>
      <c r="B57" s="3">
        <v>35.5</v>
      </c>
    </row>
    <row r="58" spans="1:2" x14ac:dyDescent="0.2">
      <c r="A58" t="s">
        <v>17</v>
      </c>
      <c r="B58" s="3">
        <v>10.5</v>
      </c>
    </row>
    <row r="59" spans="1:2" x14ac:dyDescent="0.2">
      <c r="A59" t="s">
        <v>13</v>
      </c>
      <c r="B59" s="3">
        <v>7.2291999999999996</v>
      </c>
    </row>
    <row r="60" spans="1:2" x14ac:dyDescent="0.2">
      <c r="A60" t="s">
        <v>17</v>
      </c>
      <c r="B60" s="3">
        <v>27.75</v>
      </c>
    </row>
    <row r="61" spans="1:2" x14ac:dyDescent="0.2">
      <c r="A61" t="s">
        <v>13</v>
      </c>
      <c r="B61" s="3">
        <v>46.9</v>
      </c>
    </row>
    <row r="62" spans="1:2" x14ac:dyDescent="0.2">
      <c r="A62" t="s">
        <v>13</v>
      </c>
      <c r="B62" s="3">
        <v>7.2291999999999996</v>
      </c>
    </row>
    <row r="63" spans="1:2" x14ac:dyDescent="0.2">
      <c r="A63" t="s">
        <v>17</v>
      </c>
      <c r="B63" s="3">
        <v>80</v>
      </c>
    </row>
    <row r="64" spans="1:2" x14ac:dyDescent="0.2">
      <c r="A64" t="s">
        <v>13</v>
      </c>
      <c r="B64" s="3">
        <v>83.474999999999994</v>
      </c>
    </row>
    <row r="65" spans="1:2" x14ac:dyDescent="0.2">
      <c r="A65" t="s">
        <v>13</v>
      </c>
      <c r="B65" s="3">
        <v>27.9</v>
      </c>
    </row>
    <row r="66" spans="1:2" x14ac:dyDescent="0.2">
      <c r="A66" t="s">
        <v>13</v>
      </c>
      <c r="B66" s="3">
        <v>27.720800000000001</v>
      </c>
    </row>
    <row r="67" spans="1:2" x14ac:dyDescent="0.2">
      <c r="A67" t="s">
        <v>13</v>
      </c>
      <c r="B67" s="3">
        <v>15.245799999999999</v>
      </c>
    </row>
    <row r="68" spans="1:2" x14ac:dyDescent="0.2">
      <c r="A68" t="s">
        <v>17</v>
      </c>
      <c r="B68" s="3">
        <v>10.5</v>
      </c>
    </row>
    <row r="69" spans="1:2" x14ac:dyDescent="0.2">
      <c r="A69" t="s">
        <v>13</v>
      </c>
      <c r="B69" s="3">
        <v>8.1583000000000006</v>
      </c>
    </row>
    <row r="70" spans="1:2" x14ac:dyDescent="0.2">
      <c r="A70" t="s">
        <v>17</v>
      </c>
      <c r="B70" s="3">
        <v>7.9249999999999998</v>
      </c>
    </row>
    <row r="71" spans="1:2" x14ac:dyDescent="0.2">
      <c r="A71" t="s">
        <v>13</v>
      </c>
      <c r="B71" s="3">
        <v>8.6624999999999996</v>
      </c>
    </row>
    <row r="72" spans="1:2" x14ac:dyDescent="0.2">
      <c r="A72" t="s">
        <v>13</v>
      </c>
      <c r="B72" s="3">
        <v>10.5</v>
      </c>
    </row>
    <row r="73" spans="1:2" x14ac:dyDescent="0.2">
      <c r="A73" t="s">
        <v>17</v>
      </c>
      <c r="B73" s="3">
        <v>46.9</v>
      </c>
    </row>
    <row r="74" spans="1:2" x14ac:dyDescent="0.2">
      <c r="A74" t="s">
        <v>13</v>
      </c>
      <c r="B74" s="3">
        <v>73.5</v>
      </c>
    </row>
    <row r="75" spans="1:2" x14ac:dyDescent="0.2">
      <c r="A75" t="s">
        <v>13</v>
      </c>
      <c r="B75" s="3">
        <v>14.4542</v>
      </c>
    </row>
    <row r="76" spans="1:2" x14ac:dyDescent="0.2">
      <c r="A76" t="s">
        <v>13</v>
      </c>
      <c r="B76" s="3">
        <v>56.495800000000003</v>
      </c>
    </row>
    <row r="77" spans="1:2" x14ac:dyDescent="0.2">
      <c r="A77" t="s">
        <v>13</v>
      </c>
      <c r="B77" s="3">
        <v>7.65</v>
      </c>
    </row>
    <row r="78" spans="1:2" x14ac:dyDescent="0.2">
      <c r="A78" t="s">
        <v>13</v>
      </c>
      <c r="B78" s="3">
        <v>7.8958000000000004</v>
      </c>
    </row>
    <row r="79" spans="1:2" x14ac:dyDescent="0.2">
      <c r="A79" t="s">
        <v>13</v>
      </c>
      <c r="B79" s="3">
        <v>8.0500000000000007</v>
      </c>
    </row>
    <row r="80" spans="1:2" x14ac:dyDescent="0.2">
      <c r="A80" t="s">
        <v>13</v>
      </c>
      <c r="B80" s="3">
        <v>29</v>
      </c>
    </row>
    <row r="81" spans="1:2" x14ac:dyDescent="0.2">
      <c r="A81" t="s">
        <v>17</v>
      </c>
      <c r="B81" s="3">
        <v>12.475</v>
      </c>
    </row>
    <row r="82" spans="1:2" x14ac:dyDescent="0.2">
      <c r="A82" t="s">
        <v>13</v>
      </c>
      <c r="B82" s="3">
        <v>9</v>
      </c>
    </row>
    <row r="83" spans="1:2" x14ac:dyDescent="0.2">
      <c r="A83" t="s">
        <v>13</v>
      </c>
      <c r="B83" s="3">
        <v>9.5</v>
      </c>
    </row>
    <row r="84" spans="1:2" x14ac:dyDescent="0.2">
      <c r="A84" t="s">
        <v>17</v>
      </c>
      <c r="B84" s="3">
        <v>7.7874999999999996</v>
      </c>
    </row>
    <row r="85" spans="1:2" x14ac:dyDescent="0.2">
      <c r="A85" t="s">
        <v>13</v>
      </c>
      <c r="B85" s="3">
        <v>47.1</v>
      </c>
    </row>
    <row r="86" spans="1:2" x14ac:dyDescent="0.2">
      <c r="A86" t="s">
        <v>17</v>
      </c>
      <c r="B86" s="3">
        <v>10.5</v>
      </c>
    </row>
    <row r="87" spans="1:2" x14ac:dyDescent="0.2">
      <c r="A87" t="s">
        <v>17</v>
      </c>
      <c r="B87" s="3">
        <v>15.85</v>
      </c>
    </row>
    <row r="88" spans="1:2" x14ac:dyDescent="0.2">
      <c r="A88" t="s">
        <v>13</v>
      </c>
      <c r="B88" s="3">
        <v>34.375</v>
      </c>
    </row>
    <row r="89" spans="1:2" x14ac:dyDescent="0.2">
      <c r="A89" t="s">
        <v>13</v>
      </c>
      <c r="B89" s="3">
        <v>8.0500000000000007</v>
      </c>
    </row>
    <row r="90" spans="1:2" x14ac:dyDescent="0.2">
      <c r="A90" t="s">
        <v>17</v>
      </c>
      <c r="B90" s="3">
        <v>263</v>
      </c>
    </row>
    <row r="91" spans="1:2" x14ac:dyDescent="0.2">
      <c r="A91" t="s">
        <v>13</v>
      </c>
      <c r="B91" s="3">
        <v>8.0500000000000007</v>
      </c>
    </row>
    <row r="92" spans="1:2" x14ac:dyDescent="0.2">
      <c r="A92" t="s">
        <v>13</v>
      </c>
      <c r="B92" s="3">
        <v>8.0500000000000007</v>
      </c>
    </row>
    <row r="93" spans="1:2" x14ac:dyDescent="0.2">
      <c r="A93" t="s">
        <v>13</v>
      </c>
      <c r="B93" s="3">
        <v>7.8541999999999996</v>
      </c>
    </row>
    <row r="94" spans="1:2" x14ac:dyDescent="0.2">
      <c r="A94" t="s">
        <v>13</v>
      </c>
      <c r="B94" s="3">
        <v>61.174999999999997</v>
      </c>
    </row>
    <row r="95" spans="1:2" x14ac:dyDescent="0.2">
      <c r="A95" t="s">
        <v>13</v>
      </c>
      <c r="B95" s="3">
        <v>20.574999999999999</v>
      </c>
    </row>
    <row r="96" spans="1:2" x14ac:dyDescent="0.2">
      <c r="A96" t="s">
        <v>13</v>
      </c>
      <c r="B96" s="3">
        <v>7.25</v>
      </c>
    </row>
    <row r="97" spans="1:2" x14ac:dyDescent="0.2">
      <c r="A97" t="s">
        <v>13</v>
      </c>
      <c r="B97" s="3">
        <v>8.0500000000000007</v>
      </c>
    </row>
    <row r="98" spans="1:2" x14ac:dyDescent="0.2">
      <c r="A98" t="s">
        <v>13</v>
      </c>
      <c r="B98" s="3">
        <v>34.654200000000003</v>
      </c>
    </row>
    <row r="99" spans="1:2" x14ac:dyDescent="0.2">
      <c r="A99" t="s">
        <v>13</v>
      </c>
      <c r="B99" s="3">
        <v>63.3583</v>
      </c>
    </row>
    <row r="100" spans="1:2" x14ac:dyDescent="0.2">
      <c r="A100" t="s">
        <v>17</v>
      </c>
      <c r="B100" s="3">
        <v>23</v>
      </c>
    </row>
    <row r="101" spans="1:2" x14ac:dyDescent="0.2">
      <c r="A101" t="s">
        <v>13</v>
      </c>
      <c r="B101" s="3">
        <v>26</v>
      </c>
    </row>
    <row r="102" spans="1:2" x14ac:dyDescent="0.2">
      <c r="A102" t="s">
        <v>17</v>
      </c>
      <c r="B102" s="3">
        <v>7.8958000000000004</v>
      </c>
    </row>
    <row r="103" spans="1:2" x14ac:dyDescent="0.2">
      <c r="A103" t="s">
        <v>13</v>
      </c>
      <c r="B103" s="3">
        <v>7.8958000000000004</v>
      </c>
    </row>
    <row r="104" spans="1:2" x14ac:dyDescent="0.2">
      <c r="A104" t="s">
        <v>13</v>
      </c>
      <c r="B104" s="3">
        <v>77.287499999999994</v>
      </c>
    </row>
    <row r="105" spans="1:2" x14ac:dyDescent="0.2">
      <c r="A105" t="s">
        <v>13</v>
      </c>
      <c r="B105" s="3">
        <v>8.6541999999999994</v>
      </c>
    </row>
    <row r="106" spans="1:2" x14ac:dyDescent="0.2">
      <c r="A106" t="s">
        <v>13</v>
      </c>
      <c r="B106" s="3">
        <v>7.9249999999999998</v>
      </c>
    </row>
    <row r="107" spans="1:2" x14ac:dyDescent="0.2">
      <c r="A107" t="s">
        <v>13</v>
      </c>
      <c r="B107" s="3">
        <v>7.8958000000000004</v>
      </c>
    </row>
    <row r="108" spans="1:2" x14ac:dyDescent="0.2">
      <c r="A108" t="s">
        <v>17</v>
      </c>
      <c r="B108" s="3">
        <v>7.65</v>
      </c>
    </row>
    <row r="109" spans="1:2" x14ac:dyDescent="0.2">
      <c r="A109" t="s">
        <v>13</v>
      </c>
      <c r="B109" s="3">
        <v>7.7750000000000004</v>
      </c>
    </row>
    <row r="110" spans="1:2" x14ac:dyDescent="0.2">
      <c r="A110" t="s">
        <v>13</v>
      </c>
      <c r="B110" s="3">
        <v>7.8958000000000004</v>
      </c>
    </row>
    <row r="111" spans="1:2" x14ac:dyDescent="0.2">
      <c r="A111" t="s">
        <v>17</v>
      </c>
      <c r="B111" s="3">
        <v>24.15</v>
      </c>
    </row>
    <row r="112" spans="1:2" x14ac:dyDescent="0.2">
      <c r="A112" t="s">
        <v>13</v>
      </c>
      <c r="B112" s="3">
        <v>52</v>
      </c>
    </row>
    <row r="113" spans="1:2" x14ac:dyDescent="0.2">
      <c r="A113" t="s">
        <v>17</v>
      </c>
      <c r="B113" s="3">
        <v>14.4542</v>
      </c>
    </row>
    <row r="114" spans="1:2" x14ac:dyDescent="0.2">
      <c r="A114" t="s">
        <v>13</v>
      </c>
      <c r="B114" s="3">
        <v>8.0500000000000007</v>
      </c>
    </row>
    <row r="115" spans="1:2" x14ac:dyDescent="0.2">
      <c r="A115" t="s">
        <v>17</v>
      </c>
      <c r="B115" s="3">
        <v>9.8249999999999993</v>
      </c>
    </row>
    <row r="116" spans="1:2" x14ac:dyDescent="0.2">
      <c r="A116" t="s">
        <v>17</v>
      </c>
      <c r="B116" s="3">
        <v>14.458299999999999</v>
      </c>
    </row>
    <row r="117" spans="1:2" x14ac:dyDescent="0.2">
      <c r="A117" t="s">
        <v>13</v>
      </c>
      <c r="B117" s="3">
        <v>7.9249999999999998</v>
      </c>
    </row>
    <row r="118" spans="1:2" x14ac:dyDescent="0.2">
      <c r="A118" t="s">
        <v>13</v>
      </c>
      <c r="B118" s="3">
        <v>7.75</v>
      </c>
    </row>
    <row r="119" spans="1:2" x14ac:dyDescent="0.2">
      <c r="A119" t="s">
        <v>13</v>
      </c>
      <c r="B119" s="3">
        <v>21</v>
      </c>
    </row>
    <row r="120" spans="1:2" x14ac:dyDescent="0.2">
      <c r="A120" t="s">
        <v>13</v>
      </c>
      <c r="B120" s="3">
        <v>247.52080000000001</v>
      </c>
    </row>
    <row r="121" spans="1:2" x14ac:dyDescent="0.2">
      <c r="A121" t="s">
        <v>17</v>
      </c>
      <c r="B121" s="3">
        <v>31.274999999999999</v>
      </c>
    </row>
    <row r="122" spans="1:2" x14ac:dyDescent="0.2">
      <c r="A122" t="s">
        <v>13</v>
      </c>
      <c r="B122" s="3">
        <v>73.5</v>
      </c>
    </row>
    <row r="123" spans="1:2" x14ac:dyDescent="0.2">
      <c r="A123" t="s">
        <v>13</v>
      </c>
      <c r="B123" s="3">
        <v>8.0500000000000007</v>
      </c>
    </row>
    <row r="124" spans="1:2" x14ac:dyDescent="0.2">
      <c r="A124" t="s">
        <v>13</v>
      </c>
      <c r="B124" s="3">
        <v>30.070799999999998</v>
      </c>
    </row>
    <row r="125" spans="1:2" x14ac:dyDescent="0.2">
      <c r="A125" t="s">
        <v>17</v>
      </c>
      <c r="B125" s="3">
        <v>13</v>
      </c>
    </row>
    <row r="126" spans="1:2" x14ac:dyDescent="0.2">
      <c r="A126" t="s">
        <v>13</v>
      </c>
      <c r="B126" s="3">
        <v>77.287499999999994</v>
      </c>
    </row>
    <row r="127" spans="1:2" x14ac:dyDescent="0.2">
      <c r="A127" t="s">
        <v>13</v>
      </c>
      <c r="B127" s="3">
        <v>11.2417</v>
      </c>
    </row>
    <row r="128" spans="1:2" x14ac:dyDescent="0.2">
      <c r="A128" t="s">
        <v>13</v>
      </c>
      <c r="B128" s="3">
        <v>7.75</v>
      </c>
    </row>
    <row r="129" spans="1:2" x14ac:dyDescent="0.2">
      <c r="A129" t="s">
        <v>13</v>
      </c>
      <c r="B129" s="3">
        <v>7.1417000000000002</v>
      </c>
    </row>
    <row r="130" spans="1:2" x14ac:dyDescent="0.2">
      <c r="A130" t="s">
        <v>17</v>
      </c>
      <c r="B130" s="3">
        <v>22.3583</v>
      </c>
    </row>
    <row r="131" spans="1:2" x14ac:dyDescent="0.2">
      <c r="A131" t="s">
        <v>13</v>
      </c>
      <c r="B131" s="3">
        <v>6.9749999999999996</v>
      </c>
    </row>
    <row r="132" spans="1:2" x14ac:dyDescent="0.2">
      <c r="A132" t="s">
        <v>13</v>
      </c>
      <c r="B132" s="3">
        <v>7.8958000000000004</v>
      </c>
    </row>
    <row r="133" spans="1:2" x14ac:dyDescent="0.2">
      <c r="A133" t="s">
        <v>13</v>
      </c>
      <c r="B133" s="3">
        <v>7.05</v>
      </c>
    </row>
    <row r="134" spans="1:2" x14ac:dyDescent="0.2">
      <c r="A134" t="s">
        <v>17</v>
      </c>
      <c r="B134" s="3">
        <v>14.5</v>
      </c>
    </row>
    <row r="135" spans="1:2" x14ac:dyDescent="0.2">
      <c r="A135" t="s">
        <v>17</v>
      </c>
      <c r="B135" s="3">
        <v>26</v>
      </c>
    </row>
    <row r="136" spans="1:2" x14ac:dyDescent="0.2">
      <c r="A136" t="s">
        <v>13</v>
      </c>
      <c r="B136" s="3">
        <v>13</v>
      </c>
    </row>
    <row r="137" spans="1:2" x14ac:dyDescent="0.2">
      <c r="A137" t="s">
        <v>13</v>
      </c>
      <c r="B137" s="3">
        <v>15.0458</v>
      </c>
    </row>
    <row r="138" spans="1:2" x14ac:dyDescent="0.2">
      <c r="A138" t="s">
        <v>17</v>
      </c>
      <c r="B138" s="3">
        <v>26.283300000000001</v>
      </c>
    </row>
    <row r="139" spans="1:2" x14ac:dyDescent="0.2">
      <c r="A139" t="s">
        <v>13</v>
      </c>
      <c r="B139" s="3">
        <v>53.1</v>
      </c>
    </row>
    <row r="140" spans="1:2" x14ac:dyDescent="0.2">
      <c r="A140" t="s">
        <v>13</v>
      </c>
      <c r="B140" s="3">
        <v>9.2166999999999994</v>
      </c>
    </row>
    <row r="141" spans="1:2" x14ac:dyDescent="0.2">
      <c r="A141" t="s">
        <v>13</v>
      </c>
      <c r="B141" s="3">
        <v>79.2</v>
      </c>
    </row>
    <row r="142" spans="1:2" x14ac:dyDescent="0.2">
      <c r="A142" t="s">
        <v>17</v>
      </c>
      <c r="B142" s="3">
        <v>15.245799999999999</v>
      </c>
    </row>
    <row r="143" spans="1:2" x14ac:dyDescent="0.2">
      <c r="A143" t="s">
        <v>17</v>
      </c>
      <c r="B143" s="3">
        <v>7.75</v>
      </c>
    </row>
    <row r="144" spans="1:2" x14ac:dyDescent="0.2">
      <c r="A144" t="s">
        <v>17</v>
      </c>
      <c r="B144" s="3">
        <v>15.85</v>
      </c>
    </row>
    <row r="145" spans="1:2" x14ac:dyDescent="0.2">
      <c r="A145" t="s">
        <v>13</v>
      </c>
      <c r="B145" s="3">
        <v>6.75</v>
      </c>
    </row>
    <row r="146" spans="1:2" x14ac:dyDescent="0.2">
      <c r="A146" t="s">
        <v>13</v>
      </c>
      <c r="B146" s="3">
        <v>11.5</v>
      </c>
    </row>
    <row r="147" spans="1:2" x14ac:dyDescent="0.2">
      <c r="A147" t="s">
        <v>13</v>
      </c>
      <c r="B147" s="3">
        <v>36.75</v>
      </c>
    </row>
    <row r="148" spans="1:2" x14ac:dyDescent="0.2">
      <c r="A148" t="s">
        <v>13</v>
      </c>
      <c r="B148" s="3">
        <v>7.7957999999999998</v>
      </c>
    </row>
    <row r="149" spans="1:2" x14ac:dyDescent="0.2">
      <c r="A149" t="s">
        <v>17</v>
      </c>
      <c r="B149" s="3">
        <v>34.375</v>
      </c>
    </row>
    <row r="150" spans="1:2" x14ac:dyDescent="0.2">
      <c r="A150" t="s">
        <v>13</v>
      </c>
      <c r="B150" s="3">
        <v>26</v>
      </c>
    </row>
    <row r="151" spans="1:2" x14ac:dyDescent="0.2">
      <c r="A151" t="s">
        <v>13</v>
      </c>
      <c r="B151" s="3">
        <v>13</v>
      </c>
    </row>
    <row r="152" spans="1:2" x14ac:dyDescent="0.2">
      <c r="A152" t="s">
        <v>13</v>
      </c>
      <c r="B152" s="3">
        <v>12.525</v>
      </c>
    </row>
    <row r="153" spans="1:2" x14ac:dyDescent="0.2">
      <c r="A153" t="s">
        <v>17</v>
      </c>
      <c r="B153" s="3">
        <v>66.599999999999994</v>
      </c>
    </row>
    <row r="154" spans="1:2" x14ac:dyDescent="0.2">
      <c r="A154" t="s">
        <v>13</v>
      </c>
      <c r="B154" s="3">
        <v>8.0500000000000007</v>
      </c>
    </row>
    <row r="155" spans="1:2" x14ac:dyDescent="0.2">
      <c r="A155" t="s">
        <v>13</v>
      </c>
      <c r="B155" s="3">
        <v>14.5</v>
      </c>
    </row>
    <row r="156" spans="1:2" x14ac:dyDescent="0.2">
      <c r="A156" t="s">
        <v>13</v>
      </c>
      <c r="B156" s="3">
        <v>7.3125</v>
      </c>
    </row>
    <row r="157" spans="1:2" x14ac:dyDescent="0.2">
      <c r="A157" t="s">
        <v>13</v>
      </c>
      <c r="B157" s="3">
        <v>61.379199999999997</v>
      </c>
    </row>
    <row r="158" spans="1:2" x14ac:dyDescent="0.2">
      <c r="A158" t="s">
        <v>17</v>
      </c>
      <c r="B158" s="3">
        <v>7.7332999999999998</v>
      </c>
    </row>
    <row r="159" spans="1:2" x14ac:dyDescent="0.2">
      <c r="A159" t="s">
        <v>13</v>
      </c>
      <c r="B159" s="3">
        <v>8.0500000000000007</v>
      </c>
    </row>
    <row r="160" spans="1:2" x14ac:dyDescent="0.2">
      <c r="A160" t="s">
        <v>13</v>
      </c>
      <c r="B160" s="3">
        <v>8.6624999999999996</v>
      </c>
    </row>
    <row r="161" spans="1:2" x14ac:dyDescent="0.2">
      <c r="A161" t="s">
        <v>13</v>
      </c>
      <c r="B161" s="3">
        <v>69.55</v>
      </c>
    </row>
    <row r="162" spans="1:2" x14ac:dyDescent="0.2">
      <c r="A162" t="s">
        <v>13</v>
      </c>
      <c r="B162" s="3">
        <v>16.100000000000001</v>
      </c>
    </row>
    <row r="163" spans="1:2" x14ac:dyDescent="0.2">
      <c r="A163" t="s">
        <v>17</v>
      </c>
      <c r="B163" s="3">
        <v>15.75</v>
      </c>
    </row>
    <row r="164" spans="1:2" x14ac:dyDescent="0.2">
      <c r="A164" t="s">
        <v>13</v>
      </c>
      <c r="B164" s="3">
        <v>7.7750000000000004</v>
      </c>
    </row>
    <row r="165" spans="1:2" x14ac:dyDescent="0.2">
      <c r="A165" t="s">
        <v>13</v>
      </c>
      <c r="B165" s="3">
        <v>8.6624999999999996</v>
      </c>
    </row>
    <row r="166" spans="1:2" x14ac:dyDescent="0.2">
      <c r="A166" t="s">
        <v>13</v>
      </c>
      <c r="B166" s="3">
        <v>39.6875</v>
      </c>
    </row>
    <row r="167" spans="1:2" x14ac:dyDescent="0.2">
      <c r="A167" t="s">
        <v>13</v>
      </c>
      <c r="B167" s="3">
        <v>20.524999999999999</v>
      </c>
    </row>
    <row r="168" spans="1:2" x14ac:dyDescent="0.2">
      <c r="A168" t="s">
        <v>17</v>
      </c>
      <c r="B168" s="3">
        <v>55</v>
      </c>
    </row>
    <row r="169" spans="1:2" x14ac:dyDescent="0.2">
      <c r="A169" t="s">
        <v>17</v>
      </c>
      <c r="B169" s="3">
        <v>27.9</v>
      </c>
    </row>
    <row r="170" spans="1:2" x14ac:dyDescent="0.2">
      <c r="A170" t="s">
        <v>13</v>
      </c>
      <c r="B170" s="3">
        <v>25.925000000000001</v>
      </c>
    </row>
    <row r="171" spans="1:2" x14ac:dyDescent="0.2">
      <c r="A171" t="s">
        <v>13</v>
      </c>
      <c r="B171" s="3">
        <v>56.495800000000003</v>
      </c>
    </row>
    <row r="172" spans="1:2" x14ac:dyDescent="0.2">
      <c r="A172" t="s">
        <v>13</v>
      </c>
      <c r="B172" s="3">
        <v>33.5</v>
      </c>
    </row>
    <row r="173" spans="1:2" x14ac:dyDescent="0.2">
      <c r="A173" t="s">
        <v>13</v>
      </c>
      <c r="B173" s="3">
        <v>29.125</v>
      </c>
    </row>
    <row r="174" spans="1:2" x14ac:dyDescent="0.2">
      <c r="A174" t="s">
        <v>17</v>
      </c>
      <c r="B174" s="3">
        <v>11.1333</v>
      </c>
    </row>
    <row r="175" spans="1:2" x14ac:dyDescent="0.2">
      <c r="A175" t="s">
        <v>13</v>
      </c>
      <c r="B175" s="3">
        <v>7.9249999999999998</v>
      </c>
    </row>
    <row r="176" spans="1:2" x14ac:dyDescent="0.2">
      <c r="A176" t="s">
        <v>13</v>
      </c>
      <c r="B176" s="3">
        <v>30.695799999999998</v>
      </c>
    </row>
    <row r="177" spans="1:2" x14ac:dyDescent="0.2">
      <c r="A177" t="s">
        <v>13</v>
      </c>
      <c r="B177" s="3">
        <v>7.8541999999999996</v>
      </c>
    </row>
    <row r="178" spans="1:2" x14ac:dyDescent="0.2">
      <c r="A178" t="s">
        <v>13</v>
      </c>
      <c r="B178" s="3">
        <v>25.466699999999999</v>
      </c>
    </row>
    <row r="179" spans="1:2" x14ac:dyDescent="0.2">
      <c r="A179" t="s">
        <v>17</v>
      </c>
      <c r="B179" s="3">
        <v>28.712499999999999</v>
      </c>
    </row>
    <row r="180" spans="1:2" x14ac:dyDescent="0.2">
      <c r="A180" t="s">
        <v>13</v>
      </c>
      <c r="B180" s="3">
        <v>13</v>
      </c>
    </row>
    <row r="181" spans="1:2" x14ac:dyDescent="0.2">
      <c r="A181" t="s">
        <v>13</v>
      </c>
      <c r="B181" s="3">
        <v>0</v>
      </c>
    </row>
    <row r="182" spans="1:2" x14ac:dyDescent="0.2">
      <c r="A182" t="s">
        <v>17</v>
      </c>
      <c r="B182" s="3">
        <v>69.55</v>
      </c>
    </row>
    <row r="183" spans="1:2" x14ac:dyDescent="0.2">
      <c r="A183" t="s">
        <v>13</v>
      </c>
      <c r="B183" s="3">
        <v>15.05</v>
      </c>
    </row>
    <row r="184" spans="1:2" x14ac:dyDescent="0.2">
      <c r="A184" t="s">
        <v>13</v>
      </c>
      <c r="B184" s="3">
        <v>31.387499999999999</v>
      </c>
    </row>
    <row r="185" spans="1:2" x14ac:dyDescent="0.2">
      <c r="A185" t="s">
        <v>13</v>
      </c>
      <c r="B185" s="3">
        <v>39</v>
      </c>
    </row>
    <row r="186" spans="1:2" x14ac:dyDescent="0.2">
      <c r="A186" t="s">
        <v>17</v>
      </c>
      <c r="B186" s="3">
        <v>22.024999999999999</v>
      </c>
    </row>
    <row r="187" spans="1:2" x14ac:dyDescent="0.2">
      <c r="A187" t="s">
        <v>13</v>
      </c>
      <c r="B187" s="3">
        <v>50</v>
      </c>
    </row>
    <row r="188" spans="1:2" x14ac:dyDescent="0.2">
      <c r="A188" t="s">
        <v>17</v>
      </c>
      <c r="B188" s="3">
        <v>15.5</v>
      </c>
    </row>
    <row r="189" spans="1:2" x14ac:dyDescent="0.2">
      <c r="A189" t="s">
        <v>13</v>
      </c>
      <c r="B189" s="3">
        <v>26.55</v>
      </c>
    </row>
    <row r="190" spans="1:2" x14ac:dyDescent="0.2">
      <c r="A190" t="s">
        <v>13</v>
      </c>
      <c r="B190" s="3">
        <v>15.5</v>
      </c>
    </row>
    <row r="191" spans="1:2" x14ac:dyDescent="0.2">
      <c r="A191" t="s">
        <v>13</v>
      </c>
      <c r="B191" s="3">
        <v>7.8958000000000004</v>
      </c>
    </row>
    <row r="192" spans="1:2" x14ac:dyDescent="0.2">
      <c r="A192" t="s">
        <v>17</v>
      </c>
      <c r="B192" s="3">
        <v>13</v>
      </c>
    </row>
    <row r="193" spans="1:2" x14ac:dyDescent="0.2">
      <c r="A193" t="s">
        <v>13</v>
      </c>
      <c r="B193" s="3">
        <v>13</v>
      </c>
    </row>
    <row r="194" spans="1:2" x14ac:dyDescent="0.2">
      <c r="A194" t="s">
        <v>17</v>
      </c>
      <c r="B194" s="3">
        <v>7.8541999999999996</v>
      </c>
    </row>
    <row r="195" spans="1:2" x14ac:dyDescent="0.2">
      <c r="A195" t="s">
        <v>13</v>
      </c>
      <c r="B195" s="3">
        <v>26</v>
      </c>
    </row>
    <row r="196" spans="1:2" x14ac:dyDescent="0.2">
      <c r="A196" t="s">
        <v>17</v>
      </c>
      <c r="B196" s="3">
        <v>27.720800000000001</v>
      </c>
    </row>
    <row r="197" spans="1:2" x14ac:dyDescent="0.2">
      <c r="A197" t="s">
        <v>17</v>
      </c>
      <c r="B197" s="3">
        <v>146.52080000000001</v>
      </c>
    </row>
    <row r="198" spans="1:2" x14ac:dyDescent="0.2">
      <c r="A198" t="s">
        <v>13</v>
      </c>
      <c r="B198" s="3">
        <v>7.75</v>
      </c>
    </row>
    <row r="199" spans="1:2" x14ac:dyDescent="0.2">
      <c r="A199" t="s">
        <v>13</v>
      </c>
      <c r="B199" s="3">
        <v>8.4041999999999994</v>
      </c>
    </row>
    <row r="200" spans="1:2" x14ac:dyDescent="0.2">
      <c r="A200" t="s">
        <v>17</v>
      </c>
      <c r="B200" s="3">
        <v>7.75</v>
      </c>
    </row>
    <row r="201" spans="1:2" x14ac:dyDescent="0.2">
      <c r="A201" t="s">
        <v>17</v>
      </c>
      <c r="B201" s="3">
        <v>13</v>
      </c>
    </row>
    <row r="202" spans="1:2" x14ac:dyDescent="0.2">
      <c r="A202" t="s">
        <v>13</v>
      </c>
      <c r="B202" s="3">
        <v>9.5</v>
      </c>
    </row>
    <row r="203" spans="1:2" x14ac:dyDescent="0.2">
      <c r="A203" t="s">
        <v>13</v>
      </c>
      <c r="B203" s="3">
        <v>69.55</v>
      </c>
    </row>
    <row r="204" spans="1:2" x14ac:dyDescent="0.2">
      <c r="A204" t="s">
        <v>13</v>
      </c>
      <c r="B204" s="3">
        <v>6.4958</v>
      </c>
    </row>
    <row r="205" spans="1:2" x14ac:dyDescent="0.2">
      <c r="A205" t="s">
        <v>13</v>
      </c>
      <c r="B205" s="3">
        <v>7.2249999999999996</v>
      </c>
    </row>
    <row r="206" spans="1:2" x14ac:dyDescent="0.2">
      <c r="A206" t="s">
        <v>13</v>
      </c>
      <c r="B206" s="3">
        <v>8.0500000000000007</v>
      </c>
    </row>
    <row r="207" spans="1:2" x14ac:dyDescent="0.2">
      <c r="A207" t="s">
        <v>17</v>
      </c>
      <c r="B207" s="3">
        <v>10.4625</v>
      </c>
    </row>
    <row r="208" spans="1:2" x14ac:dyDescent="0.2">
      <c r="A208" t="s">
        <v>13</v>
      </c>
      <c r="B208" s="3">
        <v>15.85</v>
      </c>
    </row>
    <row r="209" spans="1:2" x14ac:dyDescent="0.2">
      <c r="A209" t="s">
        <v>13</v>
      </c>
      <c r="B209" s="3">
        <v>18.787500000000001</v>
      </c>
    </row>
    <row r="210" spans="1:2" x14ac:dyDescent="0.2">
      <c r="A210" t="s">
        <v>17</v>
      </c>
      <c r="B210" s="3">
        <v>7.75</v>
      </c>
    </row>
    <row r="211" spans="1:2" x14ac:dyDescent="0.2">
      <c r="A211" t="s">
        <v>13</v>
      </c>
      <c r="B211" s="3">
        <v>31</v>
      </c>
    </row>
    <row r="212" spans="1:2" x14ac:dyDescent="0.2">
      <c r="A212" t="s">
        <v>13</v>
      </c>
      <c r="B212" s="3">
        <v>7.05</v>
      </c>
    </row>
    <row r="213" spans="1:2" x14ac:dyDescent="0.2">
      <c r="A213" t="s">
        <v>17</v>
      </c>
      <c r="B213" s="3">
        <v>21</v>
      </c>
    </row>
    <row r="214" spans="1:2" x14ac:dyDescent="0.2">
      <c r="A214" t="s">
        <v>13</v>
      </c>
      <c r="B214" s="3">
        <v>7.25</v>
      </c>
    </row>
    <row r="215" spans="1:2" x14ac:dyDescent="0.2">
      <c r="A215" t="s">
        <v>13</v>
      </c>
      <c r="B215" s="3">
        <v>13</v>
      </c>
    </row>
    <row r="216" spans="1:2" x14ac:dyDescent="0.2">
      <c r="A216" t="s">
        <v>13</v>
      </c>
      <c r="B216" s="3">
        <v>7.75</v>
      </c>
    </row>
    <row r="217" spans="1:2" x14ac:dyDescent="0.2">
      <c r="A217" t="s">
        <v>17</v>
      </c>
      <c r="B217" s="3">
        <v>113.27500000000001</v>
      </c>
    </row>
    <row r="218" spans="1:2" x14ac:dyDescent="0.2">
      <c r="A218" t="s">
        <v>17</v>
      </c>
      <c r="B218" s="3">
        <v>7.9249999999999998</v>
      </c>
    </row>
    <row r="219" spans="1:2" x14ac:dyDescent="0.2">
      <c r="A219" t="s">
        <v>13</v>
      </c>
      <c r="B219" s="3">
        <v>27</v>
      </c>
    </row>
    <row r="220" spans="1:2" x14ac:dyDescent="0.2">
      <c r="A220" t="s">
        <v>17</v>
      </c>
      <c r="B220" s="3">
        <v>76.291700000000006</v>
      </c>
    </row>
    <row r="221" spans="1:2" x14ac:dyDescent="0.2">
      <c r="A221" t="s">
        <v>13</v>
      </c>
      <c r="B221" s="3">
        <v>10.5</v>
      </c>
    </row>
    <row r="222" spans="1:2" x14ac:dyDescent="0.2">
      <c r="A222" t="s">
        <v>13</v>
      </c>
      <c r="B222" s="3">
        <v>8.0500000000000007</v>
      </c>
    </row>
    <row r="223" spans="1:2" x14ac:dyDescent="0.2">
      <c r="A223" t="s">
        <v>13</v>
      </c>
      <c r="B223" s="3">
        <v>13</v>
      </c>
    </row>
    <row r="224" spans="1:2" x14ac:dyDescent="0.2">
      <c r="A224" t="s">
        <v>13</v>
      </c>
      <c r="B224" s="3">
        <v>8.0500000000000007</v>
      </c>
    </row>
    <row r="225" spans="1:2" x14ac:dyDescent="0.2">
      <c r="A225" t="s">
        <v>13</v>
      </c>
      <c r="B225" s="3">
        <v>7.8958000000000004</v>
      </c>
    </row>
    <row r="226" spans="1:2" x14ac:dyDescent="0.2">
      <c r="A226" t="s">
        <v>13</v>
      </c>
      <c r="B226" s="3">
        <v>90</v>
      </c>
    </row>
    <row r="227" spans="1:2" x14ac:dyDescent="0.2">
      <c r="A227" t="s">
        <v>13</v>
      </c>
      <c r="B227" s="3">
        <v>9.35</v>
      </c>
    </row>
    <row r="228" spans="1:2" x14ac:dyDescent="0.2">
      <c r="A228" t="s">
        <v>13</v>
      </c>
      <c r="B228" s="3">
        <v>10.5</v>
      </c>
    </row>
    <row r="229" spans="1:2" x14ac:dyDescent="0.2">
      <c r="A229" t="s">
        <v>13</v>
      </c>
      <c r="B229" s="3">
        <v>7.25</v>
      </c>
    </row>
    <row r="230" spans="1:2" x14ac:dyDescent="0.2">
      <c r="A230" t="s">
        <v>13</v>
      </c>
      <c r="B230" s="3">
        <v>13</v>
      </c>
    </row>
    <row r="231" spans="1:2" x14ac:dyDescent="0.2">
      <c r="A231" t="s">
        <v>17</v>
      </c>
      <c r="B231" s="3">
        <v>25.466699999999999</v>
      </c>
    </row>
    <row r="232" spans="1:2" x14ac:dyDescent="0.2">
      <c r="A232" t="s">
        <v>17</v>
      </c>
      <c r="B232" s="3">
        <v>83.474999999999994</v>
      </c>
    </row>
    <row r="233" spans="1:2" x14ac:dyDescent="0.2">
      <c r="A233" t="s">
        <v>13</v>
      </c>
      <c r="B233" s="3">
        <v>7.7750000000000004</v>
      </c>
    </row>
    <row r="234" spans="1:2" x14ac:dyDescent="0.2">
      <c r="A234" t="s">
        <v>13</v>
      </c>
      <c r="B234" s="3">
        <v>13.5</v>
      </c>
    </row>
    <row r="235" spans="1:2" x14ac:dyDescent="0.2">
      <c r="A235" t="s">
        <v>17</v>
      </c>
      <c r="B235" s="3">
        <v>31.387499999999999</v>
      </c>
    </row>
    <row r="236" spans="1:2" x14ac:dyDescent="0.2">
      <c r="A236" t="s">
        <v>13</v>
      </c>
      <c r="B236" s="3">
        <v>10.5</v>
      </c>
    </row>
    <row r="237" spans="1:2" x14ac:dyDescent="0.2">
      <c r="A237" t="s">
        <v>17</v>
      </c>
      <c r="B237" s="3">
        <v>7.55</v>
      </c>
    </row>
    <row r="238" spans="1:2" x14ac:dyDescent="0.2">
      <c r="A238" t="s">
        <v>13</v>
      </c>
      <c r="B238" s="3">
        <v>26</v>
      </c>
    </row>
    <row r="239" spans="1:2" x14ac:dyDescent="0.2">
      <c r="A239" t="s">
        <v>17</v>
      </c>
      <c r="B239" s="3">
        <v>26.25</v>
      </c>
    </row>
    <row r="240" spans="1:2" x14ac:dyDescent="0.2">
      <c r="A240" t="s">
        <v>13</v>
      </c>
      <c r="B240" s="3">
        <v>10.5</v>
      </c>
    </row>
    <row r="241" spans="1:2" x14ac:dyDescent="0.2">
      <c r="A241" t="s">
        <v>13</v>
      </c>
      <c r="B241" s="3">
        <v>12.275</v>
      </c>
    </row>
    <row r="242" spans="1:2" x14ac:dyDescent="0.2">
      <c r="A242" t="s">
        <v>17</v>
      </c>
      <c r="B242" s="3">
        <v>14.4542</v>
      </c>
    </row>
    <row r="243" spans="1:2" x14ac:dyDescent="0.2">
      <c r="A243" t="s">
        <v>17</v>
      </c>
      <c r="B243" s="3">
        <v>15.5</v>
      </c>
    </row>
    <row r="244" spans="1:2" x14ac:dyDescent="0.2">
      <c r="A244" t="s">
        <v>13</v>
      </c>
      <c r="B244" s="3">
        <v>10.5</v>
      </c>
    </row>
    <row r="245" spans="1:2" x14ac:dyDescent="0.2">
      <c r="A245" t="s">
        <v>13</v>
      </c>
      <c r="B245" s="3">
        <v>7.125</v>
      </c>
    </row>
    <row r="246" spans="1:2" x14ac:dyDescent="0.2">
      <c r="A246" t="s">
        <v>13</v>
      </c>
      <c r="B246" s="3">
        <v>7.2249999999999996</v>
      </c>
    </row>
    <row r="247" spans="1:2" x14ac:dyDescent="0.2">
      <c r="A247" t="s">
        <v>13</v>
      </c>
      <c r="B247" s="3">
        <v>90</v>
      </c>
    </row>
    <row r="248" spans="1:2" x14ac:dyDescent="0.2">
      <c r="A248" t="s">
        <v>17</v>
      </c>
      <c r="B248" s="3">
        <v>7.7750000000000004</v>
      </c>
    </row>
    <row r="249" spans="1:2" x14ac:dyDescent="0.2">
      <c r="A249" t="s">
        <v>17</v>
      </c>
      <c r="B249" s="3">
        <v>14.5</v>
      </c>
    </row>
    <row r="250" spans="1:2" x14ac:dyDescent="0.2">
      <c r="A250" t="s">
        <v>13</v>
      </c>
      <c r="B250" s="3">
        <v>52.554200000000002</v>
      </c>
    </row>
    <row r="251" spans="1:2" x14ac:dyDescent="0.2">
      <c r="A251" t="s">
        <v>13</v>
      </c>
      <c r="B251" s="3">
        <v>26</v>
      </c>
    </row>
    <row r="252" spans="1:2" x14ac:dyDescent="0.2">
      <c r="A252" t="s">
        <v>13</v>
      </c>
      <c r="B252" s="3">
        <v>7.25</v>
      </c>
    </row>
    <row r="253" spans="1:2" x14ac:dyDescent="0.2">
      <c r="A253" t="s">
        <v>17</v>
      </c>
      <c r="B253" s="3">
        <v>10.4625</v>
      </c>
    </row>
    <row r="254" spans="1:2" x14ac:dyDescent="0.2">
      <c r="A254" t="s">
        <v>13</v>
      </c>
      <c r="B254" s="3">
        <v>26.55</v>
      </c>
    </row>
    <row r="255" spans="1:2" x14ac:dyDescent="0.2">
      <c r="A255" t="s">
        <v>13</v>
      </c>
      <c r="B255" s="3">
        <v>16.100000000000001</v>
      </c>
    </row>
    <row r="256" spans="1:2" x14ac:dyDescent="0.2">
      <c r="A256" t="s">
        <v>17</v>
      </c>
      <c r="B256" s="3">
        <v>20.212499999999999</v>
      </c>
    </row>
    <row r="257" spans="1:2" x14ac:dyDescent="0.2">
      <c r="A257" t="s">
        <v>17</v>
      </c>
      <c r="B257" s="3">
        <v>15.245799999999999</v>
      </c>
    </row>
    <row r="258" spans="1:2" x14ac:dyDescent="0.2">
      <c r="A258" t="s">
        <v>17</v>
      </c>
      <c r="B258" s="3">
        <v>79.2</v>
      </c>
    </row>
    <row r="259" spans="1:2" x14ac:dyDescent="0.2">
      <c r="A259" t="s">
        <v>17</v>
      </c>
      <c r="B259" s="3">
        <v>86.5</v>
      </c>
    </row>
    <row r="260" spans="1:2" x14ac:dyDescent="0.2">
      <c r="A260" t="s">
        <v>17</v>
      </c>
      <c r="B260" s="3">
        <v>512.32920000000001</v>
      </c>
    </row>
    <row r="261" spans="1:2" x14ac:dyDescent="0.2">
      <c r="A261" t="s">
        <v>17</v>
      </c>
      <c r="B261" s="3">
        <v>26</v>
      </c>
    </row>
    <row r="262" spans="1:2" x14ac:dyDescent="0.2">
      <c r="A262" t="s">
        <v>13</v>
      </c>
      <c r="B262" s="3">
        <v>7.75</v>
      </c>
    </row>
    <row r="263" spans="1:2" x14ac:dyDescent="0.2">
      <c r="A263" t="s">
        <v>13</v>
      </c>
      <c r="B263" s="3">
        <v>31.387499999999999</v>
      </c>
    </row>
    <row r="264" spans="1:2" x14ac:dyDescent="0.2">
      <c r="A264" t="s">
        <v>13</v>
      </c>
      <c r="B264" s="3">
        <v>79.650000000000006</v>
      </c>
    </row>
    <row r="265" spans="1:2" x14ac:dyDescent="0.2">
      <c r="A265" t="s">
        <v>13</v>
      </c>
      <c r="B265" s="3">
        <v>0</v>
      </c>
    </row>
    <row r="266" spans="1:2" x14ac:dyDescent="0.2">
      <c r="A266" t="s">
        <v>17</v>
      </c>
      <c r="B266" s="3">
        <v>7.75</v>
      </c>
    </row>
    <row r="267" spans="1:2" x14ac:dyDescent="0.2">
      <c r="A267" t="s">
        <v>13</v>
      </c>
      <c r="B267" s="3">
        <v>10.5</v>
      </c>
    </row>
    <row r="268" spans="1:2" x14ac:dyDescent="0.2">
      <c r="A268" t="s">
        <v>13</v>
      </c>
      <c r="B268" s="3">
        <v>39.6875</v>
      </c>
    </row>
    <row r="269" spans="1:2" x14ac:dyDescent="0.2">
      <c r="A269" t="s">
        <v>13</v>
      </c>
      <c r="B269" s="3">
        <v>7.7750000000000004</v>
      </c>
    </row>
    <row r="270" spans="1:2" x14ac:dyDescent="0.2">
      <c r="A270" t="s">
        <v>17</v>
      </c>
      <c r="B270" s="3">
        <v>153.46250000000001</v>
      </c>
    </row>
    <row r="271" spans="1:2" x14ac:dyDescent="0.2">
      <c r="A271" t="s">
        <v>17</v>
      </c>
      <c r="B271" s="3">
        <v>135.63329999999999</v>
      </c>
    </row>
    <row r="272" spans="1:2" x14ac:dyDescent="0.2">
      <c r="A272" t="s">
        <v>13</v>
      </c>
      <c r="B272" s="3">
        <v>31</v>
      </c>
    </row>
    <row r="273" spans="1:2" x14ac:dyDescent="0.2">
      <c r="A273" t="s">
        <v>13</v>
      </c>
      <c r="B273" s="3">
        <v>0</v>
      </c>
    </row>
    <row r="274" spans="1:2" x14ac:dyDescent="0.2">
      <c r="A274" t="s">
        <v>17</v>
      </c>
      <c r="B274" s="3">
        <v>19.5</v>
      </c>
    </row>
    <row r="275" spans="1:2" x14ac:dyDescent="0.2">
      <c r="A275" t="s">
        <v>13</v>
      </c>
      <c r="B275" s="3">
        <v>29.7</v>
      </c>
    </row>
    <row r="276" spans="1:2" x14ac:dyDescent="0.2">
      <c r="A276" t="s">
        <v>17</v>
      </c>
      <c r="B276" s="3">
        <v>7.75</v>
      </c>
    </row>
    <row r="277" spans="1:2" x14ac:dyDescent="0.2">
      <c r="A277" t="s">
        <v>17</v>
      </c>
      <c r="B277" s="3">
        <v>77.958299999999994</v>
      </c>
    </row>
    <row r="278" spans="1:2" x14ac:dyDescent="0.2">
      <c r="A278" t="s">
        <v>17</v>
      </c>
      <c r="B278" s="3">
        <v>7.75</v>
      </c>
    </row>
    <row r="279" spans="1:2" x14ac:dyDescent="0.2">
      <c r="A279" t="s">
        <v>13</v>
      </c>
      <c r="B279" s="3">
        <v>0</v>
      </c>
    </row>
    <row r="280" spans="1:2" x14ac:dyDescent="0.2">
      <c r="A280" t="s">
        <v>13</v>
      </c>
      <c r="B280" s="3">
        <v>29.125</v>
      </c>
    </row>
    <row r="281" spans="1:2" x14ac:dyDescent="0.2">
      <c r="A281" t="s">
        <v>17</v>
      </c>
      <c r="B281" s="3">
        <v>20.25</v>
      </c>
    </row>
    <row r="282" spans="1:2" x14ac:dyDescent="0.2">
      <c r="A282" t="s">
        <v>13</v>
      </c>
      <c r="B282" s="3">
        <v>7.75</v>
      </c>
    </row>
    <row r="283" spans="1:2" x14ac:dyDescent="0.2">
      <c r="A283" t="s">
        <v>13</v>
      </c>
      <c r="B283" s="3">
        <v>7.8541999999999996</v>
      </c>
    </row>
    <row r="284" spans="1:2" x14ac:dyDescent="0.2">
      <c r="A284" t="s">
        <v>13</v>
      </c>
      <c r="B284" s="3">
        <v>9.5</v>
      </c>
    </row>
    <row r="285" spans="1:2" x14ac:dyDescent="0.2">
      <c r="A285" t="s">
        <v>13</v>
      </c>
      <c r="B285" s="3">
        <v>8.0500000000000007</v>
      </c>
    </row>
    <row r="286" spans="1:2" x14ac:dyDescent="0.2">
      <c r="A286" t="s">
        <v>13</v>
      </c>
      <c r="B286" s="3">
        <v>26</v>
      </c>
    </row>
    <row r="287" spans="1:2" x14ac:dyDescent="0.2">
      <c r="A287" t="s">
        <v>13</v>
      </c>
      <c r="B287" s="3">
        <v>8.6624999999999996</v>
      </c>
    </row>
    <row r="288" spans="1:2" x14ac:dyDescent="0.2">
      <c r="A288" t="s">
        <v>13</v>
      </c>
      <c r="B288" s="3">
        <v>9.5</v>
      </c>
    </row>
    <row r="289" spans="1:2" x14ac:dyDescent="0.2">
      <c r="A289" t="s">
        <v>13</v>
      </c>
      <c r="B289" s="3">
        <v>7.8958000000000004</v>
      </c>
    </row>
    <row r="290" spans="1:2" x14ac:dyDescent="0.2">
      <c r="A290" t="s">
        <v>13</v>
      </c>
      <c r="B290" s="3">
        <v>13</v>
      </c>
    </row>
    <row r="291" spans="1:2" x14ac:dyDescent="0.2">
      <c r="A291" t="s">
        <v>17</v>
      </c>
      <c r="B291" s="3">
        <v>7.75</v>
      </c>
    </row>
    <row r="292" spans="1:2" x14ac:dyDescent="0.2">
      <c r="A292" t="s">
        <v>17</v>
      </c>
      <c r="B292" s="3">
        <v>78.849999999999994</v>
      </c>
    </row>
    <row r="293" spans="1:2" x14ac:dyDescent="0.2">
      <c r="A293" t="s">
        <v>17</v>
      </c>
      <c r="B293" s="3">
        <v>91.0792</v>
      </c>
    </row>
    <row r="294" spans="1:2" x14ac:dyDescent="0.2">
      <c r="A294" t="s">
        <v>13</v>
      </c>
      <c r="B294" s="3">
        <v>12.875</v>
      </c>
    </row>
    <row r="295" spans="1:2" x14ac:dyDescent="0.2">
      <c r="A295" t="s">
        <v>17</v>
      </c>
      <c r="B295" s="3">
        <v>8.85</v>
      </c>
    </row>
    <row r="296" spans="1:2" x14ac:dyDescent="0.2">
      <c r="A296" t="s">
        <v>13</v>
      </c>
      <c r="B296" s="3">
        <v>7.8958000000000004</v>
      </c>
    </row>
    <row r="297" spans="1:2" x14ac:dyDescent="0.2">
      <c r="A297" t="s">
        <v>13</v>
      </c>
      <c r="B297" s="3">
        <v>27.720800000000001</v>
      </c>
    </row>
    <row r="298" spans="1:2" x14ac:dyDescent="0.2">
      <c r="A298" t="s">
        <v>13</v>
      </c>
      <c r="B298" s="3">
        <v>7.2291999999999996</v>
      </c>
    </row>
    <row r="299" spans="1:2" x14ac:dyDescent="0.2">
      <c r="A299" t="s">
        <v>17</v>
      </c>
      <c r="B299" s="3">
        <v>151.55000000000001</v>
      </c>
    </row>
    <row r="300" spans="1:2" x14ac:dyDescent="0.2">
      <c r="A300" t="s">
        <v>13</v>
      </c>
      <c r="B300" s="3">
        <v>30.5</v>
      </c>
    </row>
    <row r="301" spans="1:2" x14ac:dyDescent="0.2">
      <c r="A301" t="s">
        <v>17</v>
      </c>
      <c r="B301" s="3">
        <v>247.52080000000001</v>
      </c>
    </row>
    <row r="302" spans="1:2" x14ac:dyDescent="0.2">
      <c r="A302" t="s">
        <v>17</v>
      </c>
      <c r="B302" s="3">
        <v>7.75</v>
      </c>
    </row>
    <row r="303" spans="1:2" x14ac:dyDescent="0.2">
      <c r="A303" t="s">
        <v>13</v>
      </c>
      <c r="B303" s="3">
        <v>23.25</v>
      </c>
    </row>
    <row r="304" spans="1:2" x14ac:dyDescent="0.2">
      <c r="A304" t="s">
        <v>13</v>
      </c>
      <c r="B304" s="3">
        <v>0</v>
      </c>
    </row>
    <row r="305" spans="1:2" x14ac:dyDescent="0.2">
      <c r="A305" t="s">
        <v>17</v>
      </c>
      <c r="B305" s="3">
        <v>12.35</v>
      </c>
    </row>
    <row r="306" spans="1:2" x14ac:dyDescent="0.2">
      <c r="A306" t="s">
        <v>13</v>
      </c>
      <c r="B306" s="3">
        <v>8.0500000000000007</v>
      </c>
    </row>
    <row r="307" spans="1:2" x14ac:dyDescent="0.2">
      <c r="A307" t="s">
        <v>13</v>
      </c>
      <c r="B307" s="3">
        <v>151.55000000000001</v>
      </c>
    </row>
    <row r="308" spans="1:2" x14ac:dyDescent="0.2">
      <c r="A308" t="s">
        <v>17</v>
      </c>
      <c r="B308" s="3">
        <v>110.88330000000001</v>
      </c>
    </row>
    <row r="309" spans="1:2" x14ac:dyDescent="0.2">
      <c r="A309" t="s">
        <v>17</v>
      </c>
      <c r="B309" s="3">
        <v>108.9</v>
      </c>
    </row>
    <row r="310" spans="1:2" x14ac:dyDescent="0.2">
      <c r="A310" t="s">
        <v>13</v>
      </c>
      <c r="B310" s="3">
        <v>24</v>
      </c>
    </row>
    <row r="311" spans="1:2" x14ac:dyDescent="0.2">
      <c r="A311" t="s">
        <v>17</v>
      </c>
      <c r="B311" s="3">
        <v>56.929200000000002</v>
      </c>
    </row>
    <row r="312" spans="1:2" x14ac:dyDescent="0.2">
      <c r="A312" t="s">
        <v>17</v>
      </c>
      <c r="B312" s="3">
        <v>83.158299999999997</v>
      </c>
    </row>
    <row r="313" spans="1:2" x14ac:dyDescent="0.2">
      <c r="A313" t="s">
        <v>17</v>
      </c>
      <c r="B313" s="3">
        <v>262.375</v>
      </c>
    </row>
    <row r="314" spans="1:2" x14ac:dyDescent="0.2">
      <c r="A314" t="s">
        <v>17</v>
      </c>
      <c r="B314" s="3">
        <v>26</v>
      </c>
    </row>
    <row r="315" spans="1:2" x14ac:dyDescent="0.2">
      <c r="A315" t="s">
        <v>13</v>
      </c>
      <c r="B315" s="3">
        <v>7.8958000000000004</v>
      </c>
    </row>
    <row r="316" spans="1:2" x14ac:dyDescent="0.2">
      <c r="A316" t="s">
        <v>13</v>
      </c>
      <c r="B316" s="3">
        <v>26.25</v>
      </c>
    </row>
    <row r="317" spans="1:2" x14ac:dyDescent="0.2">
      <c r="A317" t="s">
        <v>17</v>
      </c>
      <c r="B317" s="3">
        <v>7.8541999999999996</v>
      </c>
    </row>
    <row r="318" spans="1:2" x14ac:dyDescent="0.2">
      <c r="A318" t="s">
        <v>17</v>
      </c>
      <c r="B318" s="3">
        <v>26</v>
      </c>
    </row>
    <row r="319" spans="1:2" x14ac:dyDescent="0.2">
      <c r="A319" t="s">
        <v>13</v>
      </c>
      <c r="B319" s="3">
        <v>14</v>
      </c>
    </row>
    <row r="320" spans="1:2" x14ac:dyDescent="0.2">
      <c r="A320" t="s">
        <v>17</v>
      </c>
      <c r="B320" s="3">
        <v>164.86670000000001</v>
      </c>
    </row>
    <row r="321" spans="1:2" x14ac:dyDescent="0.2">
      <c r="A321" t="s">
        <v>17</v>
      </c>
      <c r="B321" s="3">
        <v>134.5</v>
      </c>
    </row>
    <row r="322" spans="1:2" x14ac:dyDescent="0.2">
      <c r="A322" t="s">
        <v>13</v>
      </c>
      <c r="B322" s="3">
        <v>7.25</v>
      </c>
    </row>
    <row r="323" spans="1:2" x14ac:dyDescent="0.2">
      <c r="A323" t="s">
        <v>13</v>
      </c>
      <c r="B323" s="3">
        <v>7.8958000000000004</v>
      </c>
    </row>
    <row r="324" spans="1:2" x14ac:dyDescent="0.2">
      <c r="A324" t="s">
        <v>17</v>
      </c>
      <c r="B324" s="3">
        <v>12.35</v>
      </c>
    </row>
    <row r="325" spans="1:2" x14ac:dyDescent="0.2">
      <c r="A325" t="s">
        <v>17</v>
      </c>
      <c r="B325" s="3">
        <v>29</v>
      </c>
    </row>
    <row r="326" spans="1:2" x14ac:dyDescent="0.2">
      <c r="A326" t="s">
        <v>13</v>
      </c>
      <c r="B326" s="3">
        <v>69.55</v>
      </c>
    </row>
    <row r="327" spans="1:2" x14ac:dyDescent="0.2">
      <c r="A327" t="s">
        <v>17</v>
      </c>
      <c r="B327" s="3">
        <v>135.63329999999999</v>
      </c>
    </row>
    <row r="328" spans="1:2" x14ac:dyDescent="0.2">
      <c r="A328" t="s">
        <v>13</v>
      </c>
      <c r="B328" s="3">
        <v>6.2374999999999998</v>
      </c>
    </row>
    <row r="329" spans="1:2" x14ac:dyDescent="0.2">
      <c r="A329" t="s">
        <v>17</v>
      </c>
      <c r="B329" s="3">
        <v>13</v>
      </c>
    </row>
    <row r="330" spans="1:2" x14ac:dyDescent="0.2">
      <c r="A330" t="s">
        <v>17</v>
      </c>
      <c r="B330" s="3">
        <v>20.524999999999999</v>
      </c>
    </row>
    <row r="331" spans="1:2" x14ac:dyDescent="0.2">
      <c r="A331" t="s">
        <v>17</v>
      </c>
      <c r="B331" s="3">
        <v>57.979199999999999</v>
      </c>
    </row>
    <row r="332" spans="1:2" x14ac:dyDescent="0.2">
      <c r="A332" t="s">
        <v>17</v>
      </c>
      <c r="B332" s="3">
        <v>23.25</v>
      </c>
    </row>
    <row r="333" spans="1:2" x14ac:dyDescent="0.2">
      <c r="A333" t="s">
        <v>13</v>
      </c>
      <c r="B333" s="3">
        <v>28.5</v>
      </c>
    </row>
    <row r="334" spans="1:2" x14ac:dyDescent="0.2">
      <c r="A334" t="s">
        <v>13</v>
      </c>
      <c r="B334" s="3">
        <v>153.46250000000001</v>
      </c>
    </row>
    <row r="335" spans="1:2" x14ac:dyDescent="0.2">
      <c r="A335" t="s">
        <v>13</v>
      </c>
      <c r="B335" s="3">
        <v>18</v>
      </c>
    </row>
    <row r="336" spans="1:2" x14ac:dyDescent="0.2">
      <c r="A336" t="s">
        <v>17</v>
      </c>
      <c r="B336" s="3">
        <v>133.65</v>
      </c>
    </row>
    <row r="337" spans="1:2" x14ac:dyDescent="0.2">
      <c r="A337" t="s">
        <v>13</v>
      </c>
      <c r="B337" s="3">
        <v>7.8958000000000004</v>
      </c>
    </row>
    <row r="338" spans="1:2" x14ac:dyDescent="0.2">
      <c r="A338" t="s">
        <v>13</v>
      </c>
      <c r="B338" s="3">
        <v>66.599999999999994</v>
      </c>
    </row>
    <row r="339" spans="1:2" x14ac:dyDescent="0.2">
      <c r="A339" t="s">
        <v>17</v>
      </c>
      <c r="B339" s="3">
        <v>134.5</v>
      </c>
    </row>
    <row r="340" spans="1:2" x14ac:dyDescent="0.2">
      <c r="A340" t="s">
        <v>13</v>
      </c>
      <c r="B340" s="3">
        <v>8.0500000000000007</v>
      </c>
    </row>
    <row r="341" spans="1:2" x14ac:dyDescent="0.2">
      <c r="A341" t="s">
        <v>13</v>
      </c>
      <c r="B341" s="3">
        <v>35.5</v>
      </c>
    </row>
    <row r="342" spans="1:2" x14ac:dyDescent="0.2">
      <c r="A342" t="s">
        <v>13</v>
      </c>
      <c r="B342" s="3">
        <v>26</v>
      </c>
    </row>
    <row r="343" spans="1:2" x14ac:dyDescent="0.2">
      <c r="A343" t="s">
        <v>17</v>
      </c>
      <c r="B343" s="3">
        <v>263</v>
      </c>
    </row>
    <row r="344" spans="1:2" x14ac:dyDescent="0.2">
      <c r="A344" t="s">
        <v>13</v>
      </c>
      <c r="B344" s="3">
        <v>13</v>
      </c>
    </row>
    <row r="345" spans="1:2" x14ac:dyDescent="0.2">
      <c r="A345" t="s">
        <v>13</v>
      </c>
      <c r="B345" s="3">
        <v>13</v>
      </c>
    </row>
    <row r="346" spans="1:2" x14ac:dyDescent="0.2">
      <c r="A346" t="s">
        <v>13</v>
      </c>
      <c r="B346" s="3">
        <v>13</v>
      </c>
    </row>
    <row r="347" spans="1:2" x14ac:dyDescent="0.2">
      <c r="A347" t="s">
        <v>17</v>
      </c>
      <c r="B347" s="3">
        <v>13</v>
      </c>
    </row>
    <row r="348" spans="1:2" x14ac:dyDescent="0.2">
      <c r="A348" t="s">
        <v>17</v>
      </c>
      <c r="B348" s="3">
        <v>13</v>
      </c>
    </row>
    <row r="349" spans="1:2" x14ac:dyDescent="0.2">
      <c r="A349" t="s">
        <v>17</v>
      </c>
      <c r="B349" s="3">
        <v>16.100000000000001</v>
      </c>
    </row>
    <row r="350" spans="1:2" x14ac:dyDescent="0.2">
      <c r="A350" t="s">
        <v>13</v>
      </c>
      <c r="B350" s="3">
        <v>15.9</v>
      </c>
    </row>
    <row r="351" spans="1:2" x14ac:dyDescent="0.2">
      <c r="A351" t="s">
        <v>13</v>
      </c>
      <c r="B351" s="3">
        <v>8.6624999999999996</v>
      </c>
    </row>
    <row r="352" spans="1:2" x14ac:dyDescent="0.2">
      <c r="A352" t="s">
        <v>13</v>
      </c>
      <c r="B352" s="3">
        <v>9.2249999999999996</v>
      </c>
    </row>
    <row r="353" spans="1:2" x14ac:dyDescent="0.2">
      <c r="A353" t="s">
        <v>13</v>
      </c>
      <c r="B353" s="3">
        <v>35</v>
      </c>
    </row>
    <row r="354" spans="1:2" x14ac:dyDescent="0.2">
      <c r="A354" t="s">
        <v>13</v>
      </c>
      <c r="B354" s="3">
        <v>7.2291999999999996</v>
      </c>
    </row>
    <row r="355" spans="1:2" x14ac:dyDescent="0.2">
      <c r="A355" t="s">
        <v>13</v>
      </c>
      <c r="B355" s="3">
        <v>17.8</v>
      </c>
    </row>
    <row r="356" spans="1:2" x14ac:dyDescent="0.2">
      <c r="A356" t="s">
        <v>13</v>
      </c>
      <c r="B356" s="3">
        <v>7.2249999999999996</v>
      </c>
    </row>
    <row r="357" spans="1:2" x14ac:dyDescent="0.2">
      <c r="A357" t="s">
        <v>13</v>
      </c>
      <c r="B357" s="3">
        <v>9.5</v>
      </c>
    </row>
    <row r="358" spans="1:2" x14ac:dyDescent="0.2">
      <c r="A358" t="s">
        <v>17</v>
      </c>
      <c r="B358" s="3">
        <v>55</v>
      </c>
    </row>
    <row r="359" spans="1:2" x14ac:dyDescent="0.2">
      <c r="A359" t="s">
        <v>17</v>
      </c>
      <c r="B359" s="3">
        <v>13</v>
      </c>
    </row>
    <row r="360" spans="1:2" x14ac:dyDescent="0.2">
      <c r="A360" t="s">
        <v>17</v>
      </c>
      <c r="B360" s="3">
        <v>7.8792</v>
      </c>
    </row>
    <row r="361" spans="1:2" x14ac:dyDescent="0.2">
      <c r="A361" t="s">
        <v>17</v>
      </c>
      <c r="B361" s="3">
        <v>7.8792</v>
      </c>
    </row>
    <row r="362" spans="1:2" x14ac:dyDescent="0.2">
      <c r="A362" t="s">
        <v>13</v>
      </c>
      <c r="B362" s="3">
        <v>27.9</v>
      </c>
    </row>
    <row r="363" spans="1:2" x14ac:dyDescent="0.2">
      <c r="A363" t="s">
        <v>13</v>
      </c>
      <c r="B363" s="3">
        <v>27.720800000000001</v>
      </c>
    </row>
    <row r="364" spans="1:2" x14ac:dyDescent="0.2">
      <c r="A364" t="s">
        <v>17</v>
      </c>
      <c r="B364" s="3">
        <v>14.4542</v>
      </c>
    </row>
    <row r="365" spans="1:2" x14ac:dyDescent="0.2">
      <c r="A365" t="s">
        <v>13</v>
      </c>
      <c r="B365" s="3">
        <v>7.05</v>
      </c>
    </row>
    <row r="366" spans="1:2" x14ac:dyDescent="0.2">
      <c r="A366" t="s">
        <v>13</v>
      </c>
      <c r="B366" s="3">
        <v>15.5</v>
      </c>
    </row>
    <row r="367" spans="1:2" x14ac:dyDescent="0.2">
      <c r="A367" t="s">
        <v>13</v>
      </c>
      <c r="B367" s="3">
        <v>7.25</v>
      </c>
    </row>
    <row r="368" spans="1:2" x14ac:dyDescent="0.2">
      <c r="A368" t="s">
        <v>17</v>
      </c>
      <c r="B368" s="3">
        <v>75.25</v>
      </c>
    </row>
    <row r="369" spans="1:2" x14ac:dyDescent="0.2">
      <c r="A369" t="s">
        <v>17</v>
      </c>
      <c r="B369" s="3">
        <v>7.2291999999999996</v>
      </c>
    </row>
    <row r="370" spans="1:2" x14ac:dyDescent="0.2">
      <c r="A370" t="s">
        <v>17</v>
      </c>
      <c r="B370" s="3">
        <v>7.75</v>
      </c>
    </row>
    <row r="371" spans="1:2" x14ac:dyDescent="0.2">
      <c r="A371" t="s">
        <v>17</v>
      </c>
      <c r="B371" s="3">
        <v>69.3</v>
      </c>
    </row>
    <row r="372" spans="1:2" x14ac:dyDescent="0.2">
      <c r="A372" t="s">
        <v>13</v>
      </c>
      <c r="B372" s="3">
        <v>55.441699999999997</v>
      </c>
    </row>
    <row r="373" spans="1:2" x14ac:dyDescent="0.2">
      <c r="A373" t="s">
        <v>13</v>
      </c>
      <c r="B373" s="3">
        <v>6.4958</v>
      </c>
    </row>
    <row r="374" spans="1:2" x14ac:dyDescent="0.2">
      <c r="A374" t="s">
        <v>13</v>
      </c>
      <c r="B374" s="3">
        <v>8.0500000000000007</v>
      </c>
    </row>
    <row r="375" spans="1:2" x14ac:dyDescent="0.2">
      <c r="A375" t="s">
        <v>13</v>
      </c>
      <c r="B375" s="3">
        <v>135.63329999999999</v>
      </c>
    </row>
    <row r="376" spans="1:2" x14ac:dyDescent="0.2">
      <c r="A376" t="s">
        <v>17</v>
      </c>
      <c r="B376" s="3">
        <v>21.074999999999999</v>
      </c>
    </row>
    <row r="377" spans="1:2" x14ac:dyDescent="0.2">
      <c r="A377" t="s">
        <v>17</v>
      </c>
      <c r="B377" s="3">
        <v>82.1708</v>
      </c>
    </row>
    <row r="378" spans="1:2" x14ac:dyDescent="0.2">
      <c r="A378" t="s">
        <v>17</v>
      </c>
      <c r="B378" s="3">
        <v>7.25</v>
      </c>
    </row>
    <row r="379" spans="1:2" x14ac:dyDescent="0.2">
      <c r="A379" t="s">
        <v>13</v>
      </c>
      <c r="B379" s="3">
        <v>211.5</v>
      </c>
    </row>
    <row r="380" spans="1:2" x14ac:dyDescent="0.2">
      <c r="A380" t="s">
        <v>13</v>
      </c>
      <c r="B380" s="3">
        <v>4.0125000000000002</v>
      </c>
    </row>
    <row r="381" spans="1:2" x14ac:dyDescent="0.2">
      <c r="A381" t="s">
        <v>13</v>
      </c>
      <c r="B381" s="3">
        <v>7.7750000000000004</v>
      </c>
    </row>
    <row r="382" spans="1:2" x14ac:dyDescent="0.2">
      <c r="A382" t="s">
        <v>17</v>
      </c>
      <c r="B382" s="3">
        <v>227.52500000000001</v>
      </c>
    </row>
    <row r="383" spans="1:2" x14ac:dyDescent="0.2">
      <c r="A383" t="s">
        <v>17</v>
      </c>
      <c r="B383" s="3">
        <v>15.7417</v>
      </c>
    </row>
    <row r="384" spans="1:2" x14ac:dyDescent="0.2">
      <c r="A384" t="s">
        <v>13</v>
      </c>
      <c r="B384" s="3">
        <v>7.9249999999999998</v>
      </c>
    </row>
    <row r="385" spans="1:2" x14ac:dyDescent="0.2">
      <c r="A385" t="s">
        <v>17</v>
      </c>
      <c r="B385" s="3">
        <v>52</v>
      </c>
    </row>
    <row r="386" spans="1:2" x14ac:dyDescent="0.2">
      <c r="A386" t="s">
        <v>13</v>
      </c>
      <c r="B386" s="3">
        <v>7.8958000000000004</v>
      </c>
    </row>
    <row r="387" spans="1:2" x14ac:dyDescent="0.2">
      <c r="A387" t="s">
        <v>13</v>
      </c>
      <c r="B387" s="3">
        <v>73.5</v>
      </c>
    </row>
    <row r="388" spans="1:2" x14ac:dyDescent="0.2">
      <c r="A388" t="s">
        <v>13</v>
      </c>
      <c r="B388" s="3">
        <v>46.9</v>
      </c>
    </row>
    <row r="389" spans="1:2" x14ac:dyDescent="0.2">
      <c r="A389" t="s">
        <v>17</v>
      </c>
      <c r="B389" s="3">
        <v>13</v>
      </c>
    </row>
    <row r="390" spans="1:2" x14ac:dyDescent="0.2">
      <c r="A390" t="s">
        <v>13</v>
      </c>
      <c r="B390" s="3">
        <v>7.7291999999999996</v>
      </c>
    </row>
    <row r="391" spans="1:2" x14ac:dyDescent="0.2">
      <c r="A391" t="s">
        <v>17</v>
      </c>
      <c r="B391" s="3">
        <v>12</v>
      </c>
    </row>
    <row r="392" spans="1:2" x14ac:dyDescent="0.2">
      <c r="A392" t="s">
        <v>13</v>
      </c>
      <c r="B392" s="3">
        <v>120</v>
      </c>
    </row>
    <row r="393" spans="1:2" x14ac:dyDescent="0.2">
      <c r="A393" t="s">
        <v>13</v>
      </c>
      <c r="B393" s="3">
        <v>7.7957999999999998</v>
      </c>
    </row>
    <row r="394" spans="1:2" x14ac:dyDescent="0.2">
      <c r="A394" t="s">
        <v>13</v>
      </c>
      <c r="B394" s="3">
        <v>7.9249999999999998</v>
      </c>
    </row>
    <row r="395" spans="1:2" x14ac:dyDescent="0.2">
      <c r="A395" t="s">
        <v>17</v>
      </c>
      <c r="B395" s="3">
        <v>113.27500000000001</v>
      </c>
    </row>
    <row r="396" spans="1:2" x14ac:dyDescent="0.2">
      <c r="A396" t="s">
        <v>17</v>
      </c>
      <c r="B396" s="3">
        <v>16.7</v>
      </c>
    </row>
    <row r="397" spans="1:2" x14ac:dyDescent="0.2">
      <c r="A397" t="s">
        <v>13</v>
      </c>
      <c r="B397" s="3">
        <v>7.7957999999999998</v>
      </c>
    </row>
    <row r="398" spans="1:2" x14ac:dyDescent="0.2">
      <c r="A398" t="s">
        <v>17</v>
      </c>
      <c r="B398" s="3">
        <v>7.8541999999999996</v>
      </c>
    </row>
    <row r="399" spans="1:2" x14ac:dyDescent="0.2">
      <c r="A399" t="s">
        <v>13</v>
      </c>
      <c r="B399" s="3">
        <v>26</v>
      </c>
    </row>
    <row r="400" spans="1:2" x14ac:dyDescent="0.2">
      <c r="A400" t="s">
        <v>13</v>
      </c>
      <c r="B400" s="3">
        <v>10.5</v>
      </c>
    </row>
    <row r="401" spans="1:2" x14ac:dyDescent="0.2">
      <c r="A401" t="s">
        <v>17</v>
      </c>
      <c r="B401" s="3">
        <v>12.65</v>
      </c>
    </row>
    <row r="402" spans="1:2" x14ac:dyDescent="0.2">
      <c r="A402" t="s">
        <v>13</v>
      </c>
      <c r="B402" s="3">
        <v>7.9249999999999998</v>
      </c>
    </row>
    <row r="403" spans="1:2" x14ac:dyDescent="0.2">
      <c r="A403" t="s">
        <v>13</v>
      </c>
      <c r="B403" s="3">
        <v>8.0500000000000007</v>
      </c>
    </row>
    <row r="404" spans="1:2" x14ac:dyDescent="0.2">
      <c r="A404" t="s">
        <v>17</v>
      </c>
      <c r="B404" s="3">
        <v>9.8249999999999993</v>
      </c>
    </row>
    <row r="405" spans="1:2" x14ac:dyDescent="0.2">
      <c r="A405" t="s">
        <v>13</v>
      </c>
      <c r="B405" s="3">
        <v>15.85</v>
      </c>
    </row>
    <row r="406" spans="1:2" x14ac:dyDescent="0.2">
      <c r="A406" t="s">
        <v>17</v>
      </c>
      <c r="B406" s="3">
        <v>8.6624999999999996</v>
      </c>
    </row>
    <row r="407" spans="1:2" x14ac:dyDescent="0.2">
      <c r="A407" t="s">
        <v>13</v>
      </c>
      <c r="B407" s="3">
        <v>21</v>
      </c>
    </row>
    <row r="408" spans="1:2" x14ac:dyDescent="0.2">
      <c r="A408" t="s">
        <v>13</v>
      </c>
      <c r="B408" s="3">
        <v>7.75</v>
      </c>
    </row>
    <row r="409" spans="1:2" x14ac:dyDescent="0.2">
      <c r="A409" t="s">
        <v>13</v>
      </c>
      <c r="B409" s="3">
        <v>18.75</v>
      </c>
    </row>
    <row r="410" spans="1:2" x14ac:dyDescent="0.2">
      <c r="A410" t="s">
        <v>13</v>
      </c>
      <c r="B410" s="3">
        <v>7.7750000000000004</v>
      </c>
    </row>
    <row r="411" spans="1:2" x14ac:dyDescent="0.2">
      <c r="A411" t="s">
        <v>17</v>
      </c>
      <c r="B411" s="3">
        <v>25.466699999999999</v>
      </c>
    </row>
    <row r="412" spans="1:2" x14ac:dyDescent="0.2">
      <c r="A412" t="s">
        <v>13</v>
      </c>
      <c r="B412" s="3">
        <v>7.8958000000000004</v>
      </c>
    </row>
    <row r="413" spans="1:2" x14ac:dyDescent="0.2">
      <c r="A413" t="s">
        <v>13</v>
      </c>
      <c r="B413" s="3">
        <v>6.8582999999999998</v>
      </c>
    </row>
    <row r="414" spans="1:2" x14ac:dyDescent="0.2">
      <c r="A414" t="s">
        <v>17</v>
      </c>
      <c r="B414" s="3">
        <v>90</v>
      </c>
    </row>
    <row r="415" spans="1:2" x14ac:dyDescent="0.2">
      <c r="A415" t="s">
        <v>13</v>
      </c>
      <c r="B415" s="3">
        <v>0</v>
      </c>
    </row>
    <row r="416" spans="1:2" x14ac:dyDescent="0.2">
      <c r="A416" t="s">
        <v>13</v>
      </c>
      <c r="B416" s="3">
        <v>7.9249999999999998</v>
      </c>
    </row>
    <row r="417" spans="1:2" x14ac:dyDescent="0.2">
      <c r="A417" t="s">
        <v>17</v>
      </c>
      <c r="B417" s="3">
        <v>8.0500000000000007</v>
      </c>
    </row>
    <row r="418" spans="1:2" x14ac:dyDescent="0.2">
      <c r="A418" t="s">
        <v>17</v>
      </c>
      <c r="B418" s="3">
        <v>32.5</v>
      </c>
    </row>
    <row r="419" spans="1:2" x14ac:dyDescent="0.2">
      <c r="A419" t="s">
        <v>17</v>
      </c>
      <c r="B419" s="3">
        <v>13</v>
      </c>
    </row>
    <row r="420" spans="1:2" x14ac:dyDescent="0.2">
      <c r="A420" t="s">
        <v>13</v>
      </c>
      <c r="B420" s="3">
        <v>13</v>
      </c>
    </row>
    <row r="421" spans="1:2" x14ac:dyDescent="0.2">
      <c r="A421" t="s">
        <v>17</v>
      </c>
      <c r="B421" s="3">
        <v>24.15</v>
      </c>
    </row>
    <row r="422" spans="1:2" x14ac:dyDescent="0.2">
      <c r="A422" t="s">
        <v>13</v>
      </c>
      <c r="B422" s="3">
        <v>7.8958000000000004</v>
      </c>
    </row>
    <row r="423" spans="1:2" x14ac:dyDescent="0.2">
      <c r="A423" t="s">
        <v>13</v>
      </c>
      <c r="B423" s="3">
        <v>7.7332999999999998</v>
      </c>
    </row>
    <row r="424" spans="1:2" x14ac:dyDescent="0.2">
      <c r="A424" t="s">
        <v>13</v>
      </c>
      <c r="B424" s="3">
        <v>7.875</v>
      </c>
    </row>
    <row r="425" spans="1:2" x14ac:dyDescent="0.2">
      <c r="A425" t="s">
        <v>17</v>
      </c>
      <c r="B425" s="3">
        <v>14.4</v>
      </c>
    </row>
    <row r="426" spans="1:2" x14ac:dyDescent="0.2">
      <c r="A426" t="s">
        <v>13</v>
      </c>
      <c r="B426" s="3">
        <v>20.212499999999999</v>
      </c>
    </row>
    <row r="427" spans="1:2" x14ac:dyDescent="0.2">
      <c r="A427" t="s">
        <v>13</v>
      </c>
      <c r="B427" s="3">
        <v>7.25</v>
      </c>
    </row>
    <row r="428" spans="1:2" x14ac:dyDescent="0.2">
      <c r="A428" t="s">
        <v>17</v>
      </c>
      <c r="B428" s="3">
        <v>26</v>
      </c>
    </row>
    <row r="429" spans="1:2" x14ac:dyDescent="0.2">
      <c r="A429" t="s">
        <v>17</v>
      </c>
      <c r="B429" s="3">
        <v>26</v>
      </c>
    </row>
    <row r="430" spans="1:2" x14ac:dyDescent="0.2">
      <c r="A430" t="s">
        <v>13</v>
      </c>
      <c r="B430" s="3">
        <v>7.75</v>
      </c>
    </row>
    <row r="431" spans="1:2" x14ac:dyDescent="0.2">
      <c r="A431" t="s">
        <v>13</v>
      </c>
      <c r="B431" s="3">
        <v>8.0500000000000007</v>
      </c>
    </row>
    <row r="432" spans="1:2" x14ac:dyDescent="0.2">
      <c r="A432" t="s">
        <v>13</v>
      </c>
      <c r="B432" s="3">
        <v>26.55</v>
      </c>
    </row>
    <row r="433" spans="1:2" x14ac:dyDescent="0.2">
      <c r="A433" t="s">
        <v>17</v>
      </c>
      <c r="B433" s="3">
        <v>16.100000000000001</v>
      </c>
    </row>
    <row r="434" spans="1:2" x14ac:dyDescent="0.2">
      <c r="A434" t="s">
        <v>17</v>
      </c>
      <c r="B434" s="3">
        <v>26</v>
      </c>
    </row>
    <row r="435" spans="1:2" x14ac:dyDescent="0.2">
      <c r="A435" t="s">
        <v>13</v>
      </c>
      <c r="B435" s="3">
        <v>7.125</v>
      </c>
    </row>
    <row r="436" spans="1:2" x14ac:dyDescent="0.2">
      <c r="A436" t="s">
        <v>13</v>
      </c>
      <c r="B436" s="3">
        <v>55.9</v>
      </c>
    </row>
    <row r="437" spans="1:2" x14ac:dyDescent="0.2">
      <c r="A437" t="s">
        <v>17</v>
      </c>
      <c r="B437" s="3">
        <v>120</v>
      </c>
    </row>
    <row r="438" spans="1:2" x14ac:dyDescent="0.2">
      <c r="A438" t="s">
        <v>17</v>
      </c>
      <c r="B438" s="3">
        <v>34.375</v>
      </c>
    </row>
    <row r="439" spans="1:2" x14ac:dyDescent="0.2">
      <c r="A439" t="s">
        <v>17</v>
      </c>
      <c r="B439" s="3">
        <v>18.75</v>
      </c>
    </row>
    <row r="440" spans="1:2" x14ac:dyDescent="0.2">
      <c r="A440" t="s">
        <v>13</v>
      </c>
      <c r="B440" s="3">
        <v>263</v>
      </c>
    </row>
    <row r="441" spans="1:2" x14ac:dyDescent="0.2">
      <c r="A441" t="s">
        <v>13</v>
      </c>
      <c r="B441" s="3">
        <v>10.5</v>
      </c>
    </row>
    <row r="442" spans="1:2" x14ac:dyDescent="0.2">
      <c r="A442" t="s">
        <v>17</v>
      </c>
      <c r="B442" s="3">
        <v>26.25</v>
      </c>
    </row>
    <row r="443" spans="1:2" x14ac:dyDescent="0.2">
      <c r="A443" t="s">
        <v>13</v>
      </c>
      <c r="B443" s="3">
        <v>9.5</v>
      </c>
    </row>
    <row r="444" spans="1:2" x14ac:dyDescent="0.2">
      <c r="A444" t="s">
        <v>13</v>
      </c>
      <c r="B444" s="3">
        <v>7.7750000000000004</v>
      </c>
    </row>
    <row r="445" spans="1:2" x14ac:dyDescent="0.2">
      <c r="A445" t="s">
        <v>17</v>
      </c>
      <c r="B445" s="3">
        <v>13</v>
      </c>
    </row>
    <row r="446" spans="1:2" x14ac:dyDescent="0.2">
      <c r="A446" t="s">
        <v>13</v>
      </c>
      <c r="B446" s="3">
        <v>8.1125000000000007</v>
      </c>
    </row>
    <row r="447" spans="1:2" x14ac:dyDescent="0.2">
      <c r="A447" t="s">
        <v>13</v>
      </c>
      <c r="B447" s="3">
        <v>81.8583</v>
      </c>
    </row>
    <row r="448" spans="1:2" x14ac:dyDescent="0.2">
      <c r="A448" t="s">
        <v>17</v>
      </c>
      <c r="B448" s="3">
        <v>19.5</v>
      </c>
    </row>
    <row r="449" spans="1:2" x14ac:dyDescent="0.2">
      <c r="A449" t="s">
        <v>13</v>
      </c>
      <c r="B449" s="3">
        <v>26.55</v>
      </c>
    </row>
    <row r="450" spans="1:2" x14ac:dyDescent="0.2">
      <c r="A450" t="s">
        <v>17</v>
      </c>
      <c r="B450" s="3">
        <v>19.258299999999998</v>
      </c>
    </row>
    <row r="451" spans="1:2" x14ac:dyDescent="0.2">
      <c r="A451" t="s">
        <v>13</v>
      </c>
      <c r="B451" s="3">
        <v>30.5</v>
      </c>
    </row>
    <row r="452" spans="1:2" x14ac:dyDescent="0.2">
      <c r="A452" t="s">
        <v>13</v>
      </c>
      <c r="B452" s="3">
        <v>27.75</v>
      </c>
    </row>
    <row r="453" spans="1:2" x14ac:dyDescent="0.2">
      <c r="A453" t="s">
        <v>13</v>
      </c>
      <c r="B453" s="3">
        <v>19.966699999999999</v>
      </c>
    </row>
    <row r="454" spans="1:2" x14ac:dyDescent="0.2">
      <c r="A454" t="s">
        <v>13</v>
      </c>
      <c r="B454" s="3">
        <v>27.75</v>
      </c>
    </row>
    <row r="455" spans="1:2" x14ac:dyDescent="0.2">
      <c r="A455" t="s">
        <v>13</v>
      </c>
      <c r="B455" s="3">
        <v>89.104200000000006</v>
      </c>
    </row>
    <row r="456" spans="1:2" x14ac:dyDescent="0.2">
      <c r="A456" t="s">
        <v>13</v>
      </c>
      <c r="B456" s="3">
        <v>8.0500000000000007</v>
      </c>
    </row>
    <row r="457" spans="1:2" x14ac:dyDescent="0.2">
      <c r="A457" t="s">
        <v>13</v>
      </c>
      <c r="B457" s="3">
        <v>7.8958000000000004</v>
      </c>
    </row>
    <row r="458" spans="1:2" x14ac:dyDescent="0.2">
      <c r="A458" t="s">
        <v>13</v>
      </c>
      <c r="B458" s="3">
        <v>26.55</v>
      </c>
    </row>
    <row r="459" spans="1:2" x14ac:dyDescent="0.2">
      <c r="A459" t="s">
        <v>17</v>
      </c>
      <c r="B459" s="3">
        <v>51.862499999999997</v>
      </c>
    </row>
    <row r="460" spans="1:2" x14ac:dyDescent="0.2">
      <c r="A460" t="s">
        <v>17</v>
      </c>
      <c r="B460" s="3">
        <v>10.5</v>
      </c>
    </row>
    <row r="461" spans="1:2" x14ac:dyDescent="0.2">
      <c r="A461" t="s">
        <v>13</v>
      </c>
      <c r="B461" s="3">
        <v>7.75</v>
      </c>
    </row>
    <row r="462" spans="1:2" x14ac:dyDescent="0.2">
      <c r="A462" t="s">
        <v>13</v>
      </c>
      <c r="B462" s="3">
        <v>26.55</v>
      </c>
    </row>
    <row r="463" spans="1:2" x14ac:dyDescent="0.2">
      <c r="A463" t="s">
        <v>13</v>
      </c>
      <c r="B463" s="3">
        <v>8.0500000000000007</v>
      </c>
    </row>
    <row r="464" spans="1:2" x14ac:dyDescent="0.2">
      <c r="A464" t="s">
        <v>13</v>
      </c>
      <c r="B464" s="3">
        <v>38.5</v>
      </c>
    </row>
    <row r="465" spans="1:2" x14ac:dyDescent="0.2">
      <c r="A465" t="s">
        <v>13</v>
      </c>
      <c r="B465" s="3">
        <v>13</v>
      </c>
    </row>
    <row r="466" spans="1:2" x14ac:dyDescent="0.2">
      <c r="A466" t="s">
        <v>13</v>
      </c>
      <c r="B466" s="3">
        <v>8.0500000000000007</v>
      </c>
    </row>
    <row r="467" spans="1:2" x14ac:dyDescent="0.2">
      <c r="A467" t="s">
        <v>13</v>
      </c>
      <c r="B467" s="3">
        <v>7.05</v>
      </c>
    </row>
    <row r="468" spans="1:2" x14ac:dyDescent="0.2">
      <c r="A468" t="s">
        <v>13</v>
      </c>
      <c r="B468" s="3">
        <v>0</v>
      </c>
    </row>
    <row r="469" spans="1:2" x14ac:dyDescent="0.2">
      <c r="A469" t="s">
        <v>13</v>
      </c>
      <c r="B469" s="3">
        <v>26.55</v>
      </c>
    </row>
    <row r="470" spans="1:2" x14ac:dyDescent="0.2">
      <c r="A470" t="s">
        <v>13</v>
      </c>
      <c r="B470" s="3">
        <v>7.7249999999999996</v>
      </c>
    </row>
    <row r="471" spans="1:2" x14ac:dyDescent="0.2">
      <c r="A471" t="s">
        <v>17</v>
      </c>
      <c r="B471" s="3">
        <v>19.258299999999998</v>
      </c>
    </row>
    <row r="472" spans="1:2" x14ac:dyDescent="0.2">
      <c r="A472" t="s">
        <v>13</v>
      </c>
      <c r="B472" s="3">
        <v>7.25</v>
      </c>
    </row>
    <row r="473" spans="1:2" x14ac:dyDescent="0.2">
      <c r="A473" t="s">
        <v>13</v>
      </c>
      <c r="B473" s="3">
        <v>8.6624999999999996</v>
      </c>
    </row>
    <row r="474" spans="1:2" x14ac:dyDescent="0.2">
      <c r="A474" t="s">
        <v>17</v>
      </c>
      <c r="B474" s="3">
        <v>27.75</v>
      </c>
    </row>
    <row r="475" spans="1:2" x14ac:dyDescent="0.2">
      <c r="A475" t="s">
        <v>17</v>
      </c>
      <c r="B475" s="3">
        <v>13.791700000000001</v>
      </c>
    </row>
    <row r="476" spans="1:2" x14ac:dyDescent="0.2">
      <c r="A476" t="s">
        <v>17</v>
      </c>
      <c r="B476" s="3">
        <v>9.8375000000000004</v>
      </c>
    </row>
    <row r="477" spans="1:2" x14ac:dyDescent="0.2">
      <c r="A477" t="s">
        <v>13</v>
      </c>
      <c r="B477" s="3">
        <v>52</v>
      </c>
    </row>
    <row r="478" spans="1:2" x14ac:dyDescent="0.2">
      <c r="A478" t="s">
        <v>13</v>
      </c>
      <c r="B478" s="3">
        <v>21</v>
      </c>
    </row>
    <row r="479" spans="1:2" x14ac:dyDescent="0.2">
      <c r="A479" t="s">
        <v>13</v>
      </c>
      <c r="B479" s="3">
        <v>7.0457999999999998</v>
      </c>
    </row>
    <row r="480" spans="1:2" x14ac:dyDescent="0.2">
      <c r="A480" t="s">
        <v>13</v>
      </c>
      <c r="B480" s="3">
        <v>7.5208000000000004</v>
      </c>
    </row>
    <row r="481" spans="1:2" x14ac:dyDescent="0.2">
      <c r="A481" t="s">
        <v>17</v>
      </c>
      <c r="B481" s="3">
        <v>12.2875</v>
      </c>
    </row>
    <row r="482" spans="1:2" x14ac:dyDescent="0.2">
      <c r="A482" t="s">
        <v>13</v>
      </c>
      <c r="B482" s="3">
        <v>46.9</v>
      </c>
    </row>
    <row r="483" spans="1:2" x14ac:dyDescent="0.2">
      <c r="A483" t="s">
        <v>13</v>
      </c>
      <c r="B483" s="3">
        <v>0</v>
      </c>
    </row>
    <row r="484" spans="1:2" x14ac:dyDescent="0.2">
      <c r="A484" t="s">
        <v>13</v>
      </c>
      <c r="B484" s="3">
        <v>8.0500000000000007</v>
      </c>
    </row>
    <row r="485" spans="1:2" x14ac:dyDescent="0.2">
      <c r="A485" t="s">
        <v>17</v>
      </c>
      <c r="B485" s="3">
        <v>9.5875000000000004</v>
      </c>
    </row>
    <row r="486" spans="1:2" x14ac:dyDescent="0.2">
      <c r="A486" t="s">
        <v>13</v>
      </c>
      <c r="B486" s="3">
        <v>91.0792</v>
      </c>
    </row>
    <row r="487" spans="1:2" x14ac:dyDescent="0.2">
      <c r="A487" t="s">
        <v>17</v>
      </c>
      <c r="B487" s="3">
        <v>25.466699999999999</v>
      </c>
    </row>
    <row r="488" spans="1:2" x14ac:dyDescent="0.2">
      <c r="A488" t="s">
        <v>17</v>
      </c>
      <c r="B488" s="3">
        <v>90</v>
      </c>
    </row>
    <row r="489" spans="1:2" x14ac:dyDescent="0.2">
      <c r="A489" t="s">
        <v>13</v>
      </c>
      <c r="B489" s="3">
        <v>29.7</v>
      </c>
    </row>
    <row r="490" spans="1:2" x14ac:dyDescent="0.2">
      <c r="A490" t="s">
        <v>13</v>
      </c>
      <c r="B490" s="3">
        <v>8.0500000000000007</v>
      </c>
    </row>
    <row r="491" spans="1:2" x14ac:dyDescent="0.2">
      <c r="A491" t="s">
        <v>13</v>
      </c>
      <c r="B491" s="3">
        <v>15.9</v>
      </c>
    </row>
    <row r="492" spans="1:2" x14ac:dyDescent="0.2">
      <c r="A492" t="s">
        <v>13</v>
      </c>
      <c r="B492" s="3">
        <v>19.966699999999999</v>
      </c>
    </row>
    <row r="493" spans="1:2" x14ac:dyDescent="0.2">
      <c r="A493" t="s">
        <v>13</v>
      </c>
      <c r="B493" s="3">
        <v>7.25</v>
      </c>
    </row>
    <row r="494" spans="1:2" x14ac:dyDescent="0.2">
      <c r="A494" t="s">
        <v>13</v>
      </c>
      <c r="B494" s="3">
        <v>30.5</v>
      </c>
    </row>
    <row r="495" spans="1:2" x14ac:dyDescent="0.2">
      <c r="A495" t="s">
        <v>13</v>
      </c>
      <c r="B495" s="3">
        <v>49.504199999999997</v>
      </c>
    </row>
    <row r="496" spans="1:2" x14ac:dyDescent="0.2">
      <c r="A496" t="s">
        <v>13</v>
      </c>
      <c r="B496" s="3">
        <v>8.0500000000000007</v>
      </c>
    </row>
    <row r="497" spans="1:2" x14ac:dyDescent="0.2">
      <c r="A497" t="s">
        <v>13</v>
      </c>
      <c r="B497" s="3">
        <v>14.458299999999999</v>
      </c>
    </row>
    <row r="498" spans="1:2" x14ac:dyDescent="0.2">
      <c r="A498" t="s">
        <v>17</v>
      </c>
      <c r="B498" s="3">
        <v>78.2667</v>
      </c>
    </row>
    <row r="499" spans="1:2" x14ac:dyDescent="0.2">
      <c r="A499" t="s">
        <v>13</v>
      </c>
      <c r="B499" s="3">
        <v>15.1</v>
      </c>
    </row>
    <row r="500" spans="1:2" x14ac:dyDescent="0.2">
      <c r="A500" t="s">
        <v>17</v>
      </c>
      <c r="B500" s="3">
        <v>151.55000000000001</v>
      </c>
    </row>
    <row r="501" spans="1:2" x14ac:dyDescent="0.2">
      <c r="A501" t="s">
        <v>13</v>
      </c>
      <c r="B501" s="3">
        <v>7.7957999999999998</v>
      </c>
    </row>
    <row r="502" spans="1:2" x14ac:dyDescent="0.2">
      <c r="A502" t="s">
        <v>13</v>
      </c>
      <c r="B502" s="3">
        <v>8.6624999999999996</v>
      </c>
    </row>
    <row r="503" spans="1:2" x14ac:dyDescent="0.2">
      <c r="A503" t="s">
        <v>17</v>
      </c>
      <c r="B503" s="3">
        <v>7.75</v>
      </c>
    </row>
    <row r="504" spans="1:2" x14ac:dyDescent="0.2">
      <c r="A504" t="s">
        <v>17</v>
      </c>
      <c r="B504" s="3">
        <v>7.6292</v>
      </c>
    </row>
    <row r="505" spans="1:2" x14ac:dyDescent="0.2">
      <c r="A505" t="s">
        <v>17</v>
      </c>
      <c r="B505" s="3">
        <v>9.5875000000000004</v>
      </c>
    </row>
    <row r="506" spans="1:2" x14ac:dyDescent="0.2">
      <c r="A506" t="s">
        <v>17</v>
      </c>
      <c r="B506" s="3">
        <v>86.5</v>
      </c>
    </row>
    <row r="507" spans="1:2" x14ac:dyDescent="0.2">
      <c r="A507" t="s">
        <v>13</v>
      </c>
      <c r="B507" s="3">
        <v>108.9</v>
      </c>
    </row>
    <row r="508" spans="1:2" x14ac:dyDescent="0.2">
      <c r="A508" t="s">
        <v>17</v>
      </c>
      <c r="B508" s="3">
        <v>26</v>
      </c>
    </row>
    <row r="509" spans="1:2" x14ac:dyDescent="0.2">
      <c r="A509" t="s">
        <v>13</v>
      </c>
      <c r="B509" s="3">
        <v>26.55</v>
      </c>
    </row>
    <row r="510" spans="1:2" x14ac:dyDescent="0.2">
      <c r="A510" t="s">
        <v>13</v>
      </c>
      <c r="B510" s="3">
        <v>22.524999999999999</v>
      </c>
    </row>
    <row r="511" spans="1:2" x14ac:dyDescent="0.2">
      <c r="A511" t="s">
        <v>13</v>
      </c>
      <c r="B511" s="3">
        <v>56.495800000000003</v>
      </c>
    </row>
    <row r="512" spans="1:2" x14ac:dyDescent="0.2">
      <c r="A512" t="s">
        <v>13</v>
      </c>
      <c r="B512" s="3">
        <v>7.75</v>
      </c>
    </row>
    <row r="513" spans="1:2" x14ac:dyDescent="0.2">
      <c r="A513" t="s">
        <v>13</v>
      </c>
      <c r="B513" s="3">
        <v>8.0500000000000007</v>
      </c>
    </row>
    <row r="514" spans="1:2" x14ac:dyDescent="0.2">
      <c r="A514" t="s">
        <v>13</v>
      </c>
      <c r="B514" s="3">
        <v>26.287500000000001</v>
      </c>
    </row>
    <row r="515" spans="1:2" x14ac:dyDescent="0.2">
      <c r="A515" t="s">
        <v>17</v>
      </c>
      <c r="B515" s="3">
        <v>59.4</v>
      </c>
    </row>
    <row r="516" spans="1:2" x14ac:dyDescent="0.2">
      <c r="A516" t="s">
        <v>13</v>
      </c>
      <c r="B516" s="3">
        <v>7.4958</v>
      </c>
    </row>
    <row r="517" spans="1:2" x14ac:dyDescent="0.2">
      <c r="A517" t="s">
        <v>13</v>
      </c>
      <c r="B517" s="3">
        <v>34.020800000000001</v>
      </c>
    </row>
    <row r="518" spans="1:2" x14ac:dyDescent="0.2">
      <c r="A518" t="s">
        <v>17</v>
      </c>
      <c r="B518" s="3">
        <v>10.5</v>
      </c>
    </row>
    <row r="519" spans="1:2" x14ac:dyDescent="0.2">
      <c r="A519" t="s">
        <v>13</v>
      </c>
      <c r="B519" s="3">
        <v>24.15</v>
      </c>
    </row>
    <row r="520" spans="1:2" x14ac:dyDescent="0.2">
      <c r="A520" t="s">
        <v>17</v>
      </c>
      <c r="B520" s="3">
        <v>26</v>
      </c>
    </row>
    <row r="521" spans="1:2" x14ac:dyDescent="0.2">
      <c r="A521" t="s">
        <v>13</v>
      </c>
      <c r="B521" s="3">
        <v>7.8958000000000004</v>
      </c>
    </row>
    <row r="522" spans="1:2" x14ac:dyDescent="0.2">
      <c r="A522" t="s">
        <v>17</v>
      </c>
      <c r="B522" s="3">
        <v>93.5</v>
      </c>
    </row>
    <row r="523" spans="1:2" x14ac:dyDescent="0.2">
      <c r="A523" t="s">
        <v>13</v>
      </c>
      <c r="B523" s="3">
        <v>7.8958000000000004</v>
      </c>
    </row>
    <row r="524" spans="1:2" x14ac:dyDescent="0.2">
      <c r="A524" t="s">
        <v>13</v>
      </c>
      <c r="B524" s="3">
        <v>7.2249999999999996</v>
      </c>
    </row>
    <row r="525" spans="1:2" x14ac:dyDescent="0.2">
      <c r="A525" t="s">
        <v>17</v>
      </c>
      <c r="B525" s="3">
        <v>57.979199999999999</v>
      </c>
    </row>
    <row r="526" spans="1:2" x14ac:dyDescent="0.2">
      <c r="A526" t="s">
        <v>13</v>
      </c>
      <c r="B526" s="3">
        <v>7.2291999999999996</v>
      </c>
    </row>
    <row r="527" spans="1:2" x14ac:dyDescent="0.2">
      <c r="A527" t="s">
        <v>13</v>
      </c>
      <c r="B527" s="3">
        <v>7.75</v>
      </c>
    </row>
    <row r="528" spans="1:2" x14ac:dyDescent="0.2">
      <c r="A528" t="s">
        <v>17</v>
      </c>
      <c r="B528" s="3">
        <v>10.5</v>
      </c>
    </row>
    <row r="529" spans="1:2" x14ac:dyDescent="0.2">
      <c r="A529" t="s">
        <v>13</v>
      </c>
      <c r="B529" s="3">
        <v>221.7792</v>
      </c>
    </row>
    <row r="530" spans="1:2" x14ac:dyDescent="0.2">
      <c r="A530" t="s">
        <v>13</v>
      </c>
      <c r="B530" s="3">
        <v>7.9249999999999998</v>
      </c>
    </row>
    <row r="531" spans="1:2" x14ac:dyDescent="0.2">
      <c r="A531" t="s">
        <v>13</v>
      </c>
      <c r="B531" s="3">
        <v>11.5</v>
      </c>
    </row>
    <row r="532" spans="1:2" x14ac:dyDescent="0.2">
      <c r="A532" t="s">
        <v>17</v>
      </c>
      <c r="B532" s="3">
        <v>26</v>
      </c>
    </row>
    <row r="533" spans="1:2" x14ac:dyDescent="0.2">
      <c r="A533" t="s">
        <v>13</v>
      </c>
      <c r="B533" s="3">
        <v>7.2291999999999996</v>
      </c>
    </row>
    <row r="534" spans="1:2" x14ac:dyDescent="0.2">
      <c r="A534" t="s">
        <v>13</v>
      </c>
      <c r="B534" s="3">
        <v>7.2291999999999996</v>
      </c>
    </row>
    <row r="535" spans="1:2" x14ac:dyDescent="0.2">
      <c r="A535" t="s">
        <v>17</v>
      </c>
      <c r="B535" s="3">
        <v>22.3583</v>
      </c>
    </row>
    <row r="536" spans="1:2" x14ac:dyDescent="0.2">
      <c r="A536" t="s">
        <v>17</v>
      </c>
      <c r="B536" s="3">
        <v>8.6624999999999996</v>
      </c>
    </row>
    <row r="537" spans="1:2" x14ac:dyDescent="0.2">
      <c r="A537" t="s">
        <v>17</v>
      </c>
      <c r="B537" s="3">
        <v>26.25</v>
      </c>
    </row>
    <row r="538" spans="1:2" x14ac:dyDescent="0.2">
      <c r="A538" t="s">
        <v>13</v>
      </c>
      <c r="B538" s="3">
        <v>26.55</v>
      </c>
    </row>
    <row r="539" spans="1:2" x14ac:dyDescent="0.2">
      <c r="A539" t="s">
        <v>17</v>
      </c>
      <c r="B539" s="3">
        <v>106.425</v>
      </c>
    </row>
    <row r="540" spans="1:2" x14ac:dyDescent="0.2">
      <c r="A540" t="s">
        <v>13</v>
      </c>
      <c r="B540" s="3">
        <v>14.5</v>
      </c>
    </row>
    <row r="541" spans="1:2" x14ac:dyDescent="0.2">
      <c r="A541" t="s">
        <v>17</v>
      </c>
      <c r="B541" s="3">
        <v>49.5</v>
      </c>
    </row>
    <row r="542" spans="1:2" x14ac:dyDescent="0.2">
      <c r="A542" t="s">
        <v>17</v>
      </c>
      <c r="B542" s="3">
        <v>71</v>
      </c>
    </row>
    <row r="543" spans="1:2" x14ac:dyDescent="0.2">
      <c r="A543" t="s">
        <v>17</v>
      </c>
      <c r="B543" s="3">
        <v>31.274999999999999</v>
      </c>
    </row>
    <row r="544" spans="1:2" x14ac:dyDescent="0.2">
      <c r="A544" t="s">
        <v>17</v>
      </c>
      <c r="B544" s="3">
        <v>31.274999999999999</v>
      </c>
    </row>
    <row r="545" spans="1:2" x14ac:dyDescent="0.2">
      <c r="A545" t="s">
        <v>13</v>
      </c>
      <c r="B545" s="3">
        <v>26</v>
      </c>
    </row>
    <row r="546" spans="1:2" x14ac:dyDescent="0.2">
      <c r="A546" t="s">
        <v>13</v>
      </c>
      <c r="B546" s="3">
        <v>106.425</v>
      </c>
    </row>
    <row r="547" spans="1:2" x14ac:dyDescent="0.2">
      <c r="A547" t="s">
        <v>13</v>
      </c>
      <c r="B547" s="3">
        <v>26</v>
      </c>
    </row>
    <row r="548" spans="1:2" x14ac:dyDescent="0.2">
      <c r="A548" t="s">
        <v>17</v>
      </c>
      <c r="B548" s="3">
        <v>26</v>
      </c>
    </row>
    <row r="549" spans="1:2" x14ac:dyDescent="0.2">
      <c r="A549" t="s">
        <v>13</v>
      </c>
      <c r="B549" s="3">
        <v>13.862500000000001</v>
      </c>
    </row>
    <row r="550" spans="1:2" x14ac:dyDescent="0.2">
      <c r="A550" t="s">
        <v>13</v>
      </c>
      <c r="B550" s="3">
        <v>20.524999999999999</v>
      </c>
    </row>
    <row r="551" spans="1:2" x14ac:dyDescent="0.2">
      <c r="A551" t="s">
        <v>13</v>
      </c>
      <c r="B551" s="3">
        <v>36.75</v>
      </c>
    </row>
    <row r="552" spans="1:2" x14ac:dyDescent="0.2">
      <c r="A552" t="s">
        <v>13</v>
      </c>
      <c r="B552" s="3">
        <v>110.88330000000001</v>
      </c>
    </row>
    <row r="553" spans="1:2" x14ac:dyDescent="0.2">
      <c r="A553" t="s">
        <v>13</v>
      </c>
      <c r="B553" s="3">
        <v>26</v>
      </c>
    </row>
    <row r="554" spans="1:2" x14ac:dyDescent="0.2">
      <c r="A554" t="s">
        <v>13</v>
      </c>
      <c r="B554" s="3">
        <v>7.8292000000000002</v>
      </c>
    </row>
    <row r="555" spans="1:2" x14ac:dyDescent="0.2">
      <c r="A555" t="s">
        <v>13</v>
      </c>
      <c r="B555" s="3">
        <v>7.2249999999999996</v>
      </c>
    </row>
    <row r="556" spans="1:2" x14ac:dyDescent="0.2">
      <c r="A556" t="s">
        <v>17</v>
      </c>
      <c r="B556" s="3">
        <v>7.7750000000000004</v>
      </c>
    </row>
    <row r="557" spans="1:2" x14ac:dyDescent="0.2">
      <c r="A557" t="s">
        <v>13</v>
      </c>
      <c r="B557" s="3">
        <v>26.55</v>
      </c>
    </row>
    <row r="558" spans="1:2" x14ac:dyDescent="0.2">
      <c r="A558" t="s">
        <v>17</v>
      </c>
      <c r="B558" s="3">
        <v>39.6</v>
      </c>
    </row>
    <row r="559" spans="1:2" x14ac:dyDescent="0.2">
      <c r="A559" t="s">
        <v>13</v>
      </c>
      <c r="B559" s="3">
        <v>227.52500000000001</v>
      </c>
    </row>
    <row r="560" spans="1:2" x14ac:dyDescent="0.2">
      <c r="A560" t="s">
        <v>17</v>
      </c>
      <c r="B560" s="3">
        <v>79.650000000000006</v>
      </c>
    </row>
    <row r="561" spans="1:2" x14ac:dyDescent="0.2">
      <c r="A561" t="s">
        <v>17</v>
      </c>
      <c r="B561" s="3">
        <v>17.399999999999999</v>
      </c>
    </row>
    <row r="562" spans="1:2" x14ac:dyDescent="0.2">
      <c r="A562" t="s">
        <v>13</v>
      </c>
      <c r="B562" s="3">
        <v>7.75</v>
      </c>
    </row>
    <row r="563" spans="1:2" x14ac:dyDescent="0.2">
      <c r="A563" t="s">
        <v>13</v>
      </c>
      <c r="B563" s="3">
        <v>7.8958000000000004</v>
      </c>
    </row>
    <row r="564" spans="1:2" x14ac:dyDescent="0.2">
      <c r="A564" t="s">
        <v>13</v>
      </c>
      <c r="B564" s="3">
        <v>13.5</v>
      </c>
    </row>
    <row r="565" spans="1:2" x14ac:dyDescent="0.2">
      <c r="A565" t="s">
        <v>13</v>
      </c>
      <c r="B565" s="3">
        <v>8.0500000000000007</v>
      </c>
    </row>
    <row r="566" spans="1:2" x14ac:dyDescent="0.2">
      <c r="A566" t="s">
        <v>17</v>
      </c>
      <c r="B566" s="3">
        <v>8.0500000000000007</v>
      </c>
    </row>
    <row r="567" spans="1:2" x14ac:dyDescent="0.2">
      <c r="A567" t="s">
        <v>13</v>
      </c>
      <c r="B567" s="3">
        <v>24.15</v>
      </c>
    </row>
    <row r="568" spans="1:2" x14ac:dyDescent="0.2">
      <c r="A568" t="s">
        <v>13</v>
      </c>
      <c r="B568" s="3">
        <v>7.8958000000000004</v>
      </c>
    </row>
    <row r="569" spans="1:2" x14ac:dyDescent="0.2">
      <c r="A569" t="s">
        <v>17</v>
      </c>
      <c r="B569" s="3">
        <v>21.074999999999999</v>
      </c>
    </row>
    <row r="570" spans="1:2" x14ac:dyDescent="0.2">
      <c r="A570" t="s">
        <v>13</v>
      </c>
      <c r="B570" s="3">
        <v>7.2291999999999996</v>
      </c>
    </row>
    <row r="571" spans="1:2" x14ac:dyDescent="0.2">
      <c r="A571" t="s">
        <v>13</v>
      </c>
      <c r="B571" s="3">
        <v>7.8541999999999996</v>
      </c>
    </row>
    <row r="572" spans="1:2" x14ac:dyDescent="0.2">
      <c r="A572" t="s">
        <v>13</v>
      </c>
      <c r="B572" s="3">
        <v>10.5</v>
      </c>
    </row>
    <row r="573" spans="1:2" x14ac:dyDescent="0.2">
      <c r="A573" t="s">
        <v>17</v>
      </c>
      <c r="B573" s="3">
        <v>51.479199999999999</v>
      </c>
    </row>
    <row r="574" spans="1:2" x14ac:dyDescent="0.2">
      <c r="A574" t="s">
        <v>13</v>
      </c>
      <c r="B574" s="3">
        <v>26.387499999999999</v>
      </c>
    </row>
    <row r="575" spans="1:2" x14ac:dyDescent="0.2">
      <c r="A575" t="s">
        <v>17</v>
      </c>
      <c r="B575" s="3">
        <v>7.75</v>
      </c>
    </row>
    <row r="576" spans="1:2" x14ac:dyDescent="0.2">
      <c r="A576" t="s">
        <v>13</v>
      </c>
      <c r="B576" s="3">
        <v>8.0500000000000007</v>
      </c>
    </row>
    <row r="577" spans="1:2" x14ac:dyDescent="0.2">
      <c r="A577" t="s">
        <v>13</v>
      </c>
      <c r="B577" s="3">
        <v>14.5</v>
      </c>
    </row>
    <row r="578" spans="1:2" x14ac:dyDescent="0.2">
      <c r="A578" t="s">
        <v>17</v>
      </c>
      <c r="B578" s="3">
        <v>13</v>
      </c>
    </row>
    <row r="579" spans="1:2" x14ac:dyDescent="0.2">
      <c r="A579" t="s">
        <v>17</v>
      </c>
      <c r="B579" s="3">
        <v>55.9</v>
      </c>
    </row>
    <row r="580" spans="1:2" x14ac:dyDescent="0.2">
      <c r="A580" t="s">
        <v>17</v>
      </c>
      <c r="B580" s="3">
        <v>14.458299999999999</v>
      </c>
    </row>
    <row r="581" spans="1:2" x14ac:dyDescent="0.2">
      <c r="A581" t="s">
        <v>13</v>
      </c>
      <c r="B581" s="3">
        <v>7.9249999999999998</v>
      </c>
    </row>
    <row r="582" spans="1:2" x14ac:dyDescent="0.2">
      <c r="A582" t="s">
        <v>17</v>
      </c>
      <c r="B582" s="3">
        <v>30</v>
      </c>
    </row>
    <row r="583" spans="1:2" x14ac:dyDescent="0.2">
      <c r="A583" t="s">
        <v>17</v>
      </c>
      <c r="B583" s="3">
        <v>110.88330000000001</v>
      </c>
    </row>
    <row r="584" spans="1:2" x14ac:dyDescent="0.2">
      <c r="A584" t="s">
        <v>13</v>
      </c>
      <c r="B584" s="3">
        <v>26</v>
      </c>
    </row>
    <row r="585" spans="1:2" x14ac:dyDescent="0.2">
      <c r="A585" t="s">
        <v>13</v>
      </c>
      <c r="B585" s="3">
        <v>40.125</v>
      </c>
    </row>
    <row r="586" spans="1:2" x14ac:dyDescent="0.2">
      <c r="A586" t="s">
        <v>13</v>
      </c>
      <c r="B586" s="3">
        <v>8.7125000000000004</v>
      </c>
    </row>
    <row r="587" spans="1:2" x14ac:dyDescent="0.2">
      <c r="A587" t="s">
        <v>17</v>
      </c>
      <c r="B587" s="3">
        <v>79.650000000000006</v>
      </c>
    </row>
    <row r="588" spans="1:2" x14ac:dyDescent="0.2">
      <c r="A588" t="s">
        <v>13</v>
      </c>
      <c r="B588" s="3">
        <v>15</v>
      </c>
    </row>
    <row r="589" spans="1:2" x14ac:dyDescent="0.2">
      <c r="A589" t="s">
        <v>13</v>
      </c>
      <c r="B589" s="3">
        <v>79.2</v>
      </c>
    </row>
    <row r="590" spans="1:2" x14ac:dyDescent="0.2">
      <c r="A590" t="s">
        <v>13</v>
      </c>
      <c r="B590" s="3">
        <v>8.0500000000000007</v>
      </c>
    </row>
    <row r="591" spans="1:2" x14ac:dyDescent="0.2">
      <c r="A591" t="s">
        <v>13</v>
      </c>
      <c r="B591" s="3">
        <v>8.0500000000000007</v>
      </c>
    </row>
    <row r="592" spans="1:2" x14ac:dyDescent="0.2">
      <c r="A592" t="s">
        <v>13</v>
      </c>
      <c r="B592" s="3">
        <v>7.125</v>
      </c>
    </row>
    <row r="593" spans="1:2" x14ac:dyDescent="0.2">
      <c r="A593" t="s">
        <v>17</v>
      </c>
      <c r="B593" s="3">
        <v>78.2667</v>
      </c>
    </row>
    <row r="594" spans="1:2" x14ac:dyDescent="0.2">
      <c r="A594" t="s">
        <v>13</v>
      </c>
      <c r="B594" s="3">
        <v>7.25</v>
      </c>
    </row>
    <row r="595" spans="1:2" x14ac:dyDescent="0.2">
      <c r="A595" t="s">
        <v>17</v>
      </c>
      <c r="B595" s="3">
        <v>7.75</v>
      </c>
    </row>
    <row r="596" spans="1:2" x14ac:dyDescent="0.2">
      <c r="A596" t="s">
        <v>13</v>
      </c>
      <c r="B596" s="3">
        <v>26</v>
      </c>
    </row>
    <row r="597" spans="1:2" x14ac:dyDescent="0.2">
      <c r="A597" t="s">
        <v>13</v>
      </c>
      <c r="B597" s="3">
        <v>24.15</v>
      </c>
    </row>
    <row r="598" spans="1:2" x14ac:dyDescent="0.2">
      <c r="A598" t="s">
        <v>17</v>
      </c>
      <c r="B598" s="3">
        <v>33</v>
      </c>
    </row>
    <row r="599" spans="1:2" x14ac:dyDescent="0.2">
      <c r="A599" t="s">
        <v>13</v>
      </c>
      <c r="B599" s="3">
        <v>0</v>
      </c>
    </row>
    <row r="600" spans="1:2" x14ac:dyDescent="0.2">
      <c r="A600" t="s">
        <v>13</v>
      </c>
      <c r="B600" s="3">
        <v>7.2249999999999996</v>
      </c>
    </row>
    <row r="601" spans="1:2" x14ac:dyDescent="0.2">
      <c r="A601" t="s">
        <v>13</v>
      </c>
      <c r="B601" s="3">
        <v>56.929200000000002</v>
      </c>
    </row>
    <row r="602" spans="1:2" x14ac:dyDescent="0.2">
      <c r="A602" t="s">
        <v>17</v>
      </c>
      <c r="B602" s="3">
        <v>27</v>
      </c>
    </row>
    <row r="603" spans="1:2" x14ac:dyDescent="0.2">
      <c r="A603" t="s">
        <v>13</v>
      </c>
      <c r="B603" s="3">
        <v>7.8958000000000004</v>
      </c>
    </row>
    <row r="604" spans="1:2" x14ac:dyDescent="0.2">
      <c r="A604" t="s">
        <v>13</v>
      </c>
      <c r="B604" s="3">
        <v>42.4</v>
      </c>
    </row>
    <row r="605" spans="1:2" x14ac:dyDescent="0.2">
      <c r="A605" t="s">
        <v>13</v>
      </c>
      <c r="B605" s="3">
        <v>8.0500000000000007</v>
      </c>
    </row>
    <row r="606" spans="1:2" x14ac:dyDescent="0.2">
      <c r="A606" t="s">
        <v>13</v>
      </c>
      <c r="B606" s="3">
        <v>26.55</v>
      </c>
    </row>
    <row r="607" spans="1:2" x14ac:dyDescent="0.2">
      <c r="A607" t="s">
        <v>13</v>
      </c>
      <c r="B607" s="3">
        <v>15.55</v>
      </c>
    </row>
    <row r="608" spans="1:2" x14ac:dyDescent="0.2">
      <c r="A608" t="s">
        <v>13</v>
      </c>
      <c r="B608" s="3">
        <v>7.8958000000000004</v>
      </c>
    </row>
    <row r="609" spans="1:2" x14ac:dyDescent="0.2">
      <c r="A609" t="s">
        <v>13</v>
      </c>
      <c r="B609" s="3">
        <v>30.5</v>
      </c>
    </row>
    <row r="610" spans="1:2" x14ac:dyDescent="0.2">
      <c r="A610" t="s">
        <v>17</v>
      </c>
      <c r="B610" s="3">
        <v>41.5792</v>
      </c>
    </row>
    <row r="611" spans="1:2" x14ac:dyDescent="0.2">
      <c r="A611" t="s">
        <v>17</v>
      </c>
      <c r="B611" s="3">
        <v>153.46250000000001</v>
      </c>
    </row>
    <row r="612" spans="1:2" x14ac:dyDescent="0.2">
      <c r="A612" t="s">
        <v>17</v>
      </c>
      <c r="B612" s="3">
        <v>31.274999999999999</v>
      </c>
    </row>
    <row r="613" spans="1:2" x14ac:dyDescent="0.2">
      <c r="A613" t="s">
        <v>13</v>
      </c>
      <c r="B613" s="3">
        <v>7.05</v>
      </c>
    </row>
    <row r="614" spans="1:2" x14ac:dyDescent="0.2">
      <c r="A614" t="s">
        <v>17</v>
      </c>
      <c r="B614" s="3">
        <v>15.5</v>
      </c>
    </row>
    <row r="615" spans="1:2" x14ac:dyDescent="0.2">
      <c r="A615" t="s">
        <v>13</v>
      </c>
      <c r="B615" s="3">
        <v>7.75</v>
      </c>
    </row>
    <row r="616" spans="1:2" x14ac:dyDescent="0.2">
      <c r="A616" t="s">
        <v>13</v>
      </c>
      <c r="B616" s="3">
        <v>8.0500000000000007</v>
      </c>
    </row>
    <row r="617" spans="1:2" x14ac:dyDescent="0.2">
      <c r="A617" t="s">
        <v>17</v>
      </c>
      <c r="B617" s="3">
        <v>65</v>
      </c>
    </row>
    <row r="618" spans="1:2" x14ac:dyDescent="0.2">
      <c r="A618" t="s">
        <v>13</v>
      </c>
      <c r="B618" s="3">
        <v>14.4</v>
      </c>
    </row>
    <row r="619" spans="1:2" x14ac:dyDescent="0.2">
      <c r="A619" t="s">
        <v>17</v>
      </c>
      <c r="B619" s="3">
        <v>16.100000000000001</v>
      </c>
    </row>
    <row r="620" spans="1:2" x14ac:dyDescent="0.2">
      <c r="A620" t="s">
        <v>17</v>
      </c>
      <c r="B620" s="3">
        <v>39</v>
      </c>
    </row>
    <row r="621" spans="1:2" x14ac:dyDescent="0.2">
      <c r="A621" t="s">
        <v>13</v>
      </c>
      <c r="B621" s="3">
        <v>10.5</v>
      </c>
    </row>
    <row r="622" spans="1:2" x14ac:dyDescent="0.2">
      <c r="A622" t="s">
        <v>13</v>
      </c>
      <c r="B622" s="3">
        <v>14.4542</v>
      </c>
    </row>
    <row r="623" spans="1:2" x14ac:dyDescent="0.2">
      <c r="A623" t="s">
        <v>13</v>
      </c>
      <c r="B623" s="3">
        <v>52.554200000000002</v>
      </c>
    </row>
    <row r="624" spans="1:2" x14ac:dyDescent="0.2">
      <c r="A624" t="s">
        <v>13</v>
      </c>
      <c r="B624" s="3">
        <v>15.7417</v>
      </c>
    </row>
    <row r="625" spans="1:2" x14ac:dyDescent="0.2">
      <c r="A625" t="s">
        <v>13</v>
      </c>
      <c r="B625" s="3">
        <v>7.8541999999999996</v>
      </c>
    </row>
    <row r="626" spans="1:2" x14ac:dyDescent="0.2">
      <c r="A626" t="s">
        <v>13</v>
      </c>
      <c r="B626" s="3">
        <v>16.100000000000001</v>
      </c>
    </row>
    <row r="627" spans="1:2" x14ac:dyDescent="0.2">
      <c r="A627" t="s">
        <v>13</v>
      </c>
      <c r="B627" s="3">
        <v>32.320799999999998</v>
      </c>
    </row>
    <row r="628" spans="1:2" x14ac:dyDescent="0.2">
      <c r="A628" t="s">
        <v>13</v>
      </c>
      <c r="B628" s="3">
        <v>12.35</v>
      </c>
    </row>
    <row r="629" spans="1:2" x14ac:dyDescent="0.2">
      <c r="A629" t="s">
        <v>17</v>
      </c>
      <c r="B629" s="3">
        <v>77.958299999999994</v>
      </c>
    </row>
    <row r="630" spans="1:2" x14ac:dyDescent="0.2">
      <c r="A630" t="s">
        <v>13</v>
      </c>
      <c r="B630" s="3">
        <v>7.8958000000000004</v>
      </c>
    </row>
    <row r="631" spans="1:2" x14ac:dyDescent="0.2">
      <c r="A631" t="s">
        <v>13</v>
      </c>
      <c r="B631" s="3">
        <v>7.7332999999999998</v>
      </c>
    </row>
    <row r="632" spans="1:2" x14ac:dyDescent="0.2">
      <c r="A632" t="s">
        <v>13</v>
      </c>
      <c r="B632" s="3">
        <v>30</v>
      </c>
    </row>
    <row r="633" spans="1:2" x14ac:dyDescent="0.2">
      <c r="A633" t="s">
        <v>13</v>
      </c>
      <c r="B633" s="3">
        <v>7.0541999999999998</v>
      </c>
    </row>
    <row r="634" spans="1:2" x14ac:dyDescent="0.2">
      <c r="A634" t="s">
        <v>13</v>
      </c>
      <c r="B634" s="3">
        <v>30.5</v>
      </c>
    </row>
    <row r="635" spans="1:2" x14ac:dyDescent="0.2">
      <c r="A635" t="s">
        <v>13</v>
      </c>
      <c r="B635" s="3">
        <v>0</v>
      </c>
    </row>
    <row r="636" spans="1:2" x14ac:dyDescent="0.2">
      <c r="A636" t="s">
        <v>17</v>
      </c>
      <c r="B636" s="3">
        <v>27.9</v>
      </c>
    </row>
    <row r="637" spans="1:2" x14ac:dyDescent="0.2">
      <c r="A637" t="s">
        <v>17</v>
      </c>
      <c r="B637" s="3">
        <v>13</v>
      </c>
    </row>
    <row r="638" spans="1:2" x14ac:dyDescent="0.2">
      <c r="A638" t="s">
        <v>13</v>
      </c>
      <c r="B638" s="3">
        <v>7.9249999999999998</v>
      </c>
    </row>
    <row r="639" spans="1:2" x14ac:dyDescent="0.2">
      <c r="A639" t="s">
        <v>13</v>
      </c>
      <c r="B639" s="3">
        <v>26.25</v>
      </c>
    </row>
    <row r="640" spans="1:2" x14ac:dyDescent="0.2">
      <c r="A640" t="s">
        <v>17</v>
      </c>
      <c r="B640" s="3">
        <v>39.6875</v>
      </c>
    </row>
    <row r="641" spans="1:2" x14ac:dyDescent="0.2">
      <c r="A641" t="s">
        <v>13</v>
      </c>
      <c r="B641" s="3">
        <v>16.100000000000001</v>
      </c>
    </row>
    <row r="642" spans="1:2" x14ac:dyDescent="0.2">
      <c r="A642" t="s">
        <v>13</v>
      </c>
      <c r="B642" s="3">
        <v>7.8541999999999996</v>
      </c>
    </row>
    <row r="643" spans="1:2" x14ac:dyDescent="0.2">
      <c r="A643" t="s">
        <v>17</v>
      </c>
      <c r="B643" s="3">
        <v>69.3</v>
      </c>
    </row>
    <row r="644" spans="1:2" x14ac:dyDescent="0.2">
      <c r="A644" t="s">
        <v>17</v>
      </c>
      <c r="B644" s="3">
        <v>27.9</v>
      </c>
    </row>
    <row r="645" spans="1:2" x14ac:dyDescent="0.2">
      <c r="A645" t="s">
        <v>13</v>
      </c>
      <c r="B645" s="3">
        <v>56.495800000000003</v>
      </c>
    </row>
    <row r="646" spans="1:2" x14ac:dyDescent="0.2">
      <c r="A646" t="s">
        <v>17</v>
      </c>
      <c r="B646" s="3">
        <v>19.258299999999998</v>
      </c>
    </row>
    <row r="647" spans="1:2" x14ac:dyDescent="0.2">
      <c r="A647" t="s">
        <v>13</v>
      </c>
      <c r="B647" s="3">
        <v>76.729200000000006</v>
      </c>
    </row>
    <row r="648" spans="1:2" x14ac:dyDescent="0.2">
      <c r="A648" t="s">
        <v>13</v>
      </c>
      <c r="B648" s="3">
        <v>7.8958000000000004</v>
      </c>
    </row>
    <row r="649" spans="1:2" x14ac:dyDescent="0.2">
      <c r="A649" t="s">
        <v>13</v>
      </c>
      <c r="B649" s="3">
        <v>35.5</v>
      </c>
    </row>
    <row r="650" spans="1:2" x14ac:dyDescent="0.2">
      <c r="A650" t="s">
        <v>13</v>
      </c>
      <c r="B650" s="3">
        <v>7.55</v>
      </c>
    </row>
    <row r="651" spans="1:2" x14ac:dyDescent="0.2">
      <c r="A651" t="s">
        <v>17</v>
      </c>
      <c r="B651" s="3">
        <v>7.55</v>
      </c>
    </row>
    <row r="652" spans="1:2" x14ac:dyDescent="0.2">
      <c r="A652" t="s">
        <v>13</v>
      </c>
      <c r="B652" s="3">
        <v>7.8958000000000004</v>
      </c>
    </row>
    <row r="653" spans="1:2" x14ac:dyDescent="0.2">
      <c r="A653" t="s">
        <v>17</v>
      </c>
      <c r="B653" s="3">
        <v>23</v>
      </c>
    </row>
    <row r="654" spans="1:2" x14ac:dyDescent="0.2">
      <c r="A654" t="s">
        <v>13</v>
      </c>
      <c r="B654" s="3">
        <v>8.4332999999999991</v>
      </c>
    </row>
    <row r="655" spans="1:2" x14ac:dyDescent="0.2">
      <c r="A655" t="s">
        <v>17</v>
      </c>
      <c r="B655" s="3">
        <v>7.8292000000000002</v>
      </c>
    </row>
    <row r="656" spans="1:2" x14ac:dyDescent="0.2">
      <c r="A656" t="s">
        <v>17</v>
      </c>
      <c r="B656" s="3">
        <v>6.75</v>
      </c>
    </row>
    <row r="657" spans="1:2" x14ac:dyDescent="0.2">
      <c r="A657" t="s">
        <v>13</v>
      </c>
      <c r="B657" s="3">
        <v>73.5</v>
      </c>
    </row>
    <row r="658" spans="1:2" x14ac:dyDescent="0.2">
      <c r="A658" t="s">
        <v>13</v>
      </c>
      <c r="B658" s="3">
        <v>7.8958000000000004</v>
      </c>
    </row>
    <row r="659" spans="1:2" x14ac:dyDescent="0.2">
      <c r="A659" t="s">
        <v>17</v>
      </c>
      <c r="B659" s="3">
        <v>15.5</v>
      </c>
    </row>
    <row r="660" spans="1:2" x14ac:dyDescent="0.2">
      <c r="A660" t="s">
        <v>13</v>
      </c>
      <c r="B660" s="3">
        <v>13</v>
      </c>
    </row>
    <row r="661" spans="1:2" x14ac:dyDescent="0.2">
      <c r="A661" t="s">
        <v>13</v>
      </c>
      <c r="B661" s="3">
        <v>113.27500000000001</v>
      </c>
    </row>
    <row r="662" spans="1:2" x14ac:dyDescent="0.2">
      <c r="A662" t="s">
        <v>13</v>
      </c>
      <c r="B662" s="3">
        <v>133.65</v>
      </c>
    </row>
    <row r="663" spans="1:2" x14ac:dyDescent="0.2">
      <c r="A663" t="s">
        <v>13</v>
      </c>
      <c r="B663" s="3">
        <v>7.2249999999999996</v>
      </c>
    </row>
    <row r="664" spans="1:2" x14ac:dyDescent="0.2">
      <c r="A664" t="s">
        <v>13</v>
      </c>
      <c r="B664" s="3">
        <v>25.587499999999999</v>
      </c>
    </row>
    <row r="665" spans="1:2" x14ac:dyDescent="0.2">
      <c r="A665" t="s">
        <v>13</v>
      </c>
      <c r="B665" s="3">
        <v>7.4958</v>
      </c>
    </row>
    <row r="666" spans="1:2" x14ac:dyDescent="0.2">
      <c r="A666" t="s">
        <v>13</v>
      </c>
      <c r="B666" s="3">
        <v>7.9249999999999998</v>
      </c>
    </row>
    <row r="667" spans="1:2" x14ac:dyDescent="0.2">
      <c r="A667" t="s">
        <v>13</v>
      </c>
      <c r="B667" s="3">
        <v>73.5</v>
      </c>
    </row>
    <row r="668" spans="1:2" x14ac:dyDescent="0.2">
      <c r="A668" t="s">
        <v>13</v>
      </c>
      <c r="B668" s="3">
        <v>13</v>
      </c>
    </row>
    <row r="669" spans="1:2" x14ac:dyDescent="0.2">
      <c r="A669" t="s">
        <v>13</v>
      </c>
      <c r="B669" s="3">
        <v>7.7750000000000004</v>
      </c>
    </row>
    <row r="670" spans="1:2" x14ac:dyDescent="0.2">
      <c r="A670" t="s">
        <v>13</v>
      </c>
      <c r="B670" s="3">
        <v>8.0500000000000007</v>
      </c>
    </row>
    <row r="671" spans="1:2" x14ac:dyDescent="0.2">
      <c r="A671" t="s">
        <v>17</v>
      </c>
      <c r="B671" s="3">
        <v>52</v>
      </c>
    </row>
    <row r="672" spans="1:2" x14ac:dyDescent="0.2">
      <c r="A672" t="s">
        <v>17</v>
      </c>
      <c r="B672" s="3">
        <v>39</v>
      </c>
    </row>
    <row r="673" spans="1:2" x14ac:dyDescent="0.2">
      <c r="A673" t="s">
        <v>13</v>
      </c>
      <c r="B673" s="3">
        <v>52</v>
      </c>
    </row>
    <row r="674" spans="1:2" x14ac:dyDescent="0.2">
      <c r="A674" t="s">
        <v>13</v>
      </c>
      <c r="B674" s="3">
        <v>10.5</v>
      </c>
    </row>
    <row r="675" spans="1:2" x14ac:dyDescent="0.2">
      <c r="A675" t="s">
        <v>13</v>
      </c>
      <c r="B675" s="3">
        <v>13</v>
      </c>
    </row>
    <row r="676" spans="1:2" x14ac:dyDescent="0.2">
      <c r="A676" t="s">
        <v>13</v>
      </c>
      <c r="B676" s="3">
        <v>0</v>
      </c>
    </row>
    <row r="677" spans="1:2" x14ac:dyDescent="0.2">
      <c r="A677" t="s">
        <v>13</v>
      </c>
      <c r="B677" s="3">
        <v>7.7750000000000004</v>
      </c>
    </row>
    <row r="678" spans="1:2" x14ac:dyDescent="0.2">
      <c r="A678" t="s">
        <v>13</v>
      </c>
      <c r="B678" s="3">
        <v>8.0500000000000007</v>
      </c>
    </row>
    <row r="679" spans="1:2" x14ac:dyDescent="0.2">
      <c r="A679" t="s">
        <v>17</v>
      </c>
      <c r="B679" s="3">
        <v>9.8416999999999994</v>
      </c>
    </row>
    <row r="680" spans="1:2" x14ac:dyDescent="0.2">
      <c r="A680" t="s">
        <v>17</v>
      </c>
      <c r="B680" s="3">
        <v>46.9</v>
      </c>
    </row>
    <row r="681" spans="1:2" x14ac:dyDescent="0.2">
      <c r="A681" t="s">
        <v>13</v>
      </c>
      <c r="B681" s="3">
        <v>512.32920000000001</v>
      </c>
    </row>
    <row r="682" spans="1:2" x14ac:dyDescent="0.2">
      <c r="A682" t="s">
        <v>17</v>
      </c>
      <c r="B682" s="3">
        <v>8.1374999999999993</v>
      </c>
    </row>
    <row r="683" spans="1:2" x14ac:dyDescent="0.2">
      <c r="A683" t="s">
        <v>13</v>
      </c>
      <c r="B683" s="3">
        <v>76.729200000000006</v>
      </c>
    </row>
    <row r="684" spans="1:2" x14ac:dyDescent="0.2">
      <c r="A684" t="s">
        <v>13</v>
      </c>
      <c r="B684" s="3">
        <v>9.2249999999999996</v>
      </c>
    </row>
    <row r="685" spans="1:2" x14ac:dyDescent="0.2">
      <c r="A685" t="s">
        <v>13</v>
      </c>
      <c r="B685" s="3">
        <v>46.9</v>
      </c>
    </row>
    <row r="686" spans="1:2" x14ac:dyDescent="0.2">
      <c r="A686" t="s">
        <v>13</v>
      </c>
      <c r="B686" s="3">
        <v>39</v>
      </c>
    </row>
    <row r="687" spans="1:2" x14ac:dyDescent="0.2">
      <c r="A687" t="s">
        <v>13</v>
      </c>
      <c r="B687" s="3">
        <v>41.5792</v>
      </c>
    </row>
    <row r="688" spans="1:2" x14ac:dyDescent="0.2">
      <c r="A688" t="s">
        <v>13</v>
      </c>
      <c r="B688" s="3">
        <v>39.6875</v>
      </c>
    </row>
    <row r="689" spans="1:2" x14ac:dyDescent="0.2">
      <c r="A689" t="s">
        <v>13</v>
      </c>
      <c r="B689" s="3">
        <v>10.1708</v>
      </c>
    </row>
    <row r="690" spans="1:2" x14ac:dyDescent="0.2">
      <c r="A690" t="s">
        <v>13</v>
      </c>
      <c r="B690" s="3">
        <v>7.7957999999999998</v>
      </c>
    </row>
    <row r="691" spans="1:2" x14ac:dyDescent="0.2">
      <c r="A691" t="s">
        <v>17</v>
      </c>
      <c r="B691" s="3">
        <v>211.33750000000001</v>
      </c>
    </row>
    <row r="692" spans="1:2" x14ac:dyDescent="0.2">
      <c r="A692" t="s">
        <v>13</v>
      </c>
      <c r="B692" s="3">
        <v>57</v>
      </c>
    </row>
    <row r="693" spans="1:2" x14ac:dyDescent="0.2">
      <c r="A693" t="s">
        <v>17</v>
      </c>
      <c r="B693" s="3">
        <v>13.416700000000001</v>
      </c>
    </row>
    <row r="694" spans="1:2" x14ac:dyDescent="0.2">
      <c r="A694" t="s">
        <v>13</v>
      </c>
      <c r="B694" s="3">
        <v>56.495800000000003</v>
      </c>
    </row>
    <row r="695" spans="1:2" x14ac:dyDescent="0.2">
      <c r="A695" t="s">
        <v>13</v>
      </c>
      <c r="B695" s="3">
        <v>7.2249999999999996</v>
      </c>
    </row>
    <row r="696" spans="1:2" x14ac:dyDescent="0.2">
      <c r="A696" t="s">
        <v>13</v>
      </c>
      <c r="B696" s="3">
        <v>26.55</v>
      </c>
    </row>
    <row r="697" spans="1:2" x14ac:dyDescent="0.2">
      <c r="A697" t="s">
        <v>13</v>
      </c>
      <c r="B697" s="3">
        <v>13.5</v>
      </c>
    </row>
    <row r="698" spans="1:2" x14ac:dyDescent="0.2">
      <c r="A698" t="s">
        <v>13</v>
      </c>
      <c r="B698" s="3">
        <v>8.0500000000000007</v>
      </c>
    </row>
    <row r="699" spans="1:2" x14ac:dyDescent="0.2">
      <c r="A699" t="s">
        <v>17</v>
      </c>
      <c r="B699" s="3">
        <v>7.7332999999999998</v>
      </c>
    </row>
    <row r="700" spans="1:2" x14ac:dyDescent="0.2">
      <c r="A700" t="s">
        <v>13</v>
      </c>
      <c r="B700" s="3">
        <v>110.88330000000001</v>
      </c>
    </row>
    <row r="701" spans="1:2" x14ac:dyDescent="0.2">
      <c r="A701" t="s">
        <v>13</v>
      </c>
      <c r="B701" s="3">
        <v>7.65</v>
      </c>
    </row>
    <row r="702" spans="1:2" x14ac:dyDescent="0.2">
      <c r="A702" t="s">
        <v>17</v>
      </c>
      <c r="B702" s="3">
        <v>227.52500000000001</v>
      </c>
    </row>
    <row r="703" spans="1:2" x14ac:dyDescent="0.2">
      <c r="A703" t="s">
        <v>13</v>
      </c>
      <c r="B703" s="3">
        <v>26.287500000000001</v>
      </c>
    </row>
    <row r="704" spans="1:2" x14ac:dyDescent="0.2">
      <c r="A704" t="s">
        <v>17</v>
      </c>
      <c r="B704" s="3">
        <v>14.4542</v>
      </c>
    </row>
    <row r="705" spans="1:2" x14ac:dyDescent="0.2">
      <c r="A705" t="s">
        <v>13</v>
      </c>
      <c r="B705" s="3">
        <v>7.7416999999999998</v>
      </c>
    </row>
    <row r="706" spans="1:2" x14ac:dyDescent="0.2">
      <c r="A706" t="s">
        <v>13</v>
      </c>
      <c r="B706" s="3">
        <v>7.8541999999999996</v>
      </c>
    </row>
    <row r="707" spans="1:2" x14ac:dyDescent="0.2">
      <c r="A707" t="s">
        <v>13</v>
      </c>
      <c r="B707" s="3">
        <v>26</v>
      </c>
    </row>
    <row r="708" spans="1:2" x14ac:dyDescent="0.2">
      <c r="A708" t="s">
        <v>17</v>
      </c>
      <c r="B708" s="3">
        <v>13.5</v>
      </c>
    </row>
    <row r="709" spans="1:2" x14ac:dyDescent="0.2">
      <c r="A709" t="s">
        <v>13</v>
      </c>
      <c r="B709" s="3">
        <v>26.287500000000001</v>
      </c>
    </row>
    <row r="710" spans="1:2" x14ac:dyDescent="0.2">
      <c r="A710" t="s">
        <v>17</v>
      </c>
      <c r="B710" s="3">
        <v>151.55000000000001</v>
      </c>
    </row>
    <row r="711" spans="1:2" x14ac:dyDescent="0.2">
      <c r="A711" t="s">
        <v>13</v>
      </c>
      <c r="B711" s="3">
        <v>15.245799999999999</v>
      </c>
    </row>
    <row r="712" spans="1:2" x14ac:dyDescent="0.2">
      <c r="A712" t="s">
        <v>17</v>
      </c>
      <c r="B712" s="3">
        <v>49.504199999999997</v>
      </c>
    </row>
    <row r="713" spans="1:2" x14ac:dyDescent="0.2">
      <c r="A713" t="s">
        <v>13</v>
      </c>
      <c r="B713" s="3">
        <v>26.55</v>
      </c>
    </row>
    <row r="714" spans="1:2" x14ac:dyDescent="0.2">
      <c r="A714" t="s">
        <v>13</v>
      </c>
      <c r="B714" s="3">
        <v>52</v>
      </c>
    </row>
    <row r="715" spans="1:2" x14ac:dyDescent="0.2">
      <c r="A715" t="s">
        <v>13</v>
      </c>
      <c r="B715" s="3">
        <v>9.4832999999999998</v>
      </c>
    </row>
    <row r="716" spans="1:2" x14ac:dyDescent="0.2">
      <c r="A716" t="s">
        <v>13</v>
      </c>
      <c r="B716" s="3">
        <v>13</v>
      </c>
    </row>
    <row r="717" spans="1:2" x14ac:dyDescent="0.2">
      <c r="A717" t="s">
        <v>13</v>
      </c>
      <c r="B717" s="3">
        <v>7.65</v>
      </c>
    </row>
    <row r="718" spans="1:2" x14ac:dyDescent="0.2">
      <c r="A718" t="s">
        <v>17</v>
      </c>
      <c r="B718" s="3">
        <v>227.52500000000001</v>
      </c>
    </row>
    <row r="719" spans="1:2" x14ac:dyDescent="0.2">
      <c r="A719" t="s">
        <v>17</v>
      </c>
      <c r="B719" s="3">
        <v>10.5</v>
      </c>
    </row>
    <row r="720" spans="1:2" x14ac:dyDescent="0.2">
      <c r="A720" t="s">
        <v>13</v>
      </c>
      <c r="B720" s="3">
        <v>15.5</v>
      </c>
    </row>
    <row r="721" spans="1:2" x14ac:dyDescent="0.2">
      <c r="A721" t="s">
        <v>13</v>
      </c>
      <c r="B721" s="3">
        <v>7.7750000000000004</v>
      </c>
    </row>
    <row r="722" spans="1:2" x14ac:dyDescent="0.2">
      <c r="A722" t="s">
        <v>17</v>
      </c>
      <c r="B722" s="3">
        <v>33</v>
      </c>
    </row>
    <row r="723" spans="1:2" x14ac:dyDescent="0.2">
      <c r="A723" t="s">
        <v>13</v>
      </c>
      <c r="B723" s="3">
        <v>7.0541999999999998</v>
      </c>
    </row>
    <row r="724" spans="1:2" x14ac:dyDescent="0.2">
      <c r="A724" t="s">
        <v>13</v>
      </c>
      <c r="B724" s="3">
        <v>13</v>
      </c>
    </row>
    <row r="725" spans="1:2" x14ac:dyDescent="0.2">
      <c r="A725" t="s">
        <v>13</v>
      </c>
      <c r="B725" s="3">
        <v>13</v>
      </c>
    </row>
    <row r="726" spans="1:2" x14ac:dyDescent="0.2">
      <c r="A726" t="s">
        <v>13</v>
      </c>
      <c r="B726" s="3">
        <v>53.1</v>
      </c>
    </row>
    <row r="727" spans="1:2" x14ac:dyDescent="0.2">
      <c r="A727" t="s">
        <v>13</v>
      </c>
      <c r="B727" s="3">
        <v>8.6624999999999996</v>
      </c>
    </row>
    <row r="728" spans="1:2" x14ac:dyDescent="0.2">
      <c r="A728" t="s">
        <v>17</v>
      </c>
      <c r="B728" s="3">
        <v>21</v>
      </c>
    </row>
    <row r="729" spans="1:2" x14ac:dyDescent="0.2">
      <c r="A729" t="s">
        <v>17</v>
      </c>
      <c r="B729" s="3">
        <v>7.7374999999999998</v>
      </c>
    </row>
    <row r="730" spans="1:2" x14ac:dyDescent="0.2">
      <c r="A730" t="s">
        <v>13</v>
      </c>
      <c r="B730" s="3">
        <v>26</v>
      </c>
    </row>
    <row r="731" spans="1:2" x14ac:dyDescent="0.2">
      <c r="A731" t="s">
        <v>17</v>
      </c>
      <c r="B731" s="3">
        <v>7.9249999999999998</v>
      </c>
    </row>
    <row r="732" spans="1:2" x14ac:dyDescent="0.2">
      <c r="A732" t="s">
        <v>17</v>
      </c>
      <c r="B732" s="3">
        <v>211.33750000000001</v>
      </c>
    </row>
    <row r="733" spans="1:2" x14ac:dyDescent="0.2">
      <c r="A733" t="s">
        <v>13</v>
      </c>
      <c r="B733" s="3">
        <v>18.787500000000001</v>
      </c>
    </row>
    <row r="734" spans="1:2" x14ac:dyDescent="0.2">
      <c r="A734" t="s">
        <v>13</v>
      </c>
      <c r="B734" s="3">
        <v>0</v>
      </c>
    </row>
    <row r="735" spans="1:2" x14ac:dyDescent="0.2">
      <c r="A735" t="s">
        <v>13</v>
      </c>
      <c r="B735" s="3">
        <v>13</v>
      </c>
    </row>
    <row r="736" spans="1:2" x14ac:dyDescent="0.2">
      <c r="A736" t="s">
        <v>13</v>
      </c>
      <c r="B736" s="3">
        <v>13</v>
      </c>
    </row>
    <row r="737" spans="1:2" x14ac:dyDescent="0.2">
      <c r="A737" t="s">
        <v>13</v>
      </c>
      <c r="B737" s="3">
        <v>16.100000000000001</v>
      </c>
    </row>
    <row r="738" spans="1:2" x14ac:dyDescent="0.2">
      <c r="A738" t="s">
        <v>17</v>
      </c>
      <c r="B738" s="3">
        <v>34.375</v>
      </c>
    </row>
    <row r="739" spans="1:2" x14ac:dyDescent="0.2">
      <c r="A739" t="s">
        <v>13</v>
      </c>
      <c r="B739" s="3">
        <v>512.32920000000001</v>
      </c>
    </row>
    <row r="740" spans="1:2" x14ac:dyDescent="0.2">
      <c r="A740" t="s">
        <v>13</v>
      </c>
      <c r="B740" s="3">
        <v>7.8958000000000004</v>
      </c>
    </row>
    <row r="741" spans="1:2" x14ac:dyDescent="0.2">
      <c r="A741" t="s">
        <v>13</v>
      </c>
      <c r="B741" s="3">
        <v>7.8958000000000004</v>
      </c>
    </row>
    <row r="742" spans="1:2" x14ac:dyDescent="0.2">
      <c r="A742" t="s">
        <v>13</v>
      </c>
      <c r="B742" s="3">
        <v>30</v>
      </c>
    </row>
    <row r="743" spans="1:2" x14ac:dyDescent="0.2">
      <c r="A743" t="s">
        <v>13</v>
      </c>
      <c r="B743" s="3">
        <v>78.849999999999994</v>
      </c>
    </row>
    <row r="744" spans="1:2" x14ac:dyDescent="0.2">
      <c r="A744" t="s">
        <v>17</v>
      </c>
      <c r="B744" s="3">
        <v>262.375</v>
      </c>
    </row>
    <row r="745" spans="1:2" x14ac:dyDescent="0.2">
      <c r="A745" t="s">
        <v>13</v>
      </c>
      <c r="B745" s="3">
        <v>16.100000000000001</v>
      </c>
    </row>
    <row r="746" spans="1:2" x14ac:dyDescent="0.2">
      <c r="A746" t="s">
        <v>13</v>
      </c>
      <c r="B746" s="3">
        <v>7.9249999999999998</v>
      </c>
    </row>
    <row r="747" spans="1:2" x14ac:dyDescent="0.2">
      <c r="A747" t="s">
        <v>13</v>
      </c>
      <c r="B747" s="3">
        <v>71</v>
      </c>
    </row>
    <row r="748" spans="1:2" x14ac:dyDescent="0.2">
      <c r="A748" t="s">
        <v>13</v>
      </c>
      <c r="B748" s="3">
        <v>20.25</v>
      </c>
    </row>
    <row r="749" spans="1:2" x14ac:dyDescent="0.2">
      <c r="A749" t="s">
        <v>17</v>
      </c>
      <c r="B749" s="3">
        <v>13</v>
      </c>
    </row>
    <row r="750" spans="1:2" x14ac:dyDescent="0.2">
      <c r="A750" t="s">
        <v>13</v>
      </c>
      <c r="B750" s="3">
        <v>53.1</v>
      </c>
    </row>
    <row r="751" spans="1:2" x14ac:dyDescent="0.2">
      <c r="A751" t="s">
        <v>13</v>
      </c>
      <c r="B751" s="3">
        <v>7.75</v>
      </c>
    </row>
    <row r="752" spans="1:2" x14ac:dyDescent="0.2">
      <c r="A752" t="s">
        <v>17</v>
      </c>
      <c r="B752" s="3">
        <v>23</v>
      </c>
    </row>
    <row r="753" spans="1:2" x14ac:dyDescent="0.2">
      <c r="A753" t="s">
        <v>13</v>
      </c>
      <c r="B753" s="3">
        <v>12.475</v>
      </c>
    </row>
    <row r="754" spans="1:2" x14ac:dyDescent="0.2">
      <c r="A754" t="s">
        <v>13</v>
      </c>
      <c r="B754" s="3">
        <v>9.5</v>
      </c>
    </row>
    <row r="755" spans="1:2" x14ac:dyDescent="0.2">
      <c r="A755" t="s">
        <v>13</v>
      </c>
      <c r="B755" s="3">
        <v>7.8958000000000004</v>
      </c>
    </row>
    <row r="756" spans="1:2" x14ac:dyDescent="0.2">
      <c r="A756" t="s">
        <v>17</v>
      </c>
      <c r="B756" s="3">
        <v>65</v>
      </c>
    </row>
    <row r="757" spans="1:2" x14ac:dyDescent="0.2">
      <c r="A757" t="s">
        <v>13</v>
      </c>
      <c r="B757" s="3">
        <v>14.5</v>
      </c>
    </row>
    <row r="758" spans="1:2" x14ac:dyDescent="0.2">
      <c r="A758" t="s">
        <v>13</v>
      </c>
      <c r="B758" s="3">
        <v>7.7957999999999998</v>
      </c>
    </row>
    <row r="759" spans="1:2" x14ac:dyDescent="0.2">
      <c r="A759" t="s">
        <v>13</v>
      </c>
      <c r="B759" s="3">
        <v>11.5</v>
      </c>
    </row>
    <row r="760" spans="1:2" x14ac:dyDescent="0.2">
      <c r="A760" t="s">
        <v>13</v>
      </c>
      <c r="B760" s="3">
        <v>8.0500000000000007</v>
      </c>
    </row>
    <row r="761" spans="1:2" x14ac:dyDescent="0.2">
      <c r="A761" t="s">
        <v>17</v>
      </c>
      <c r="B761" s="3">
        <v>86.5</v>
      </c>
    </row>
    <row r="762" spans="1:2" x14ac:dyDescent="0.2">
      <c r="A762" t="s">
        <v>13</v>
      </c>
      <c r="B762" s="3">
        <v>14.5</v>
      </c>
    </row>
    <row r="763" spans="1:2" x14ac:dyDescent="0.2">
      <c r="A763" t="s">
        <v>13</v>
      </c>
      <c r="B763" s="3">
        <v>7.125</v>
      </c>
    </row>
    <row r="764" spans="1:2" x14ac:dyDescent="0.2">
      <c r="A764" t="s">
        <v>13</v>
      </c>
      <c r="B764" s="3">
        <v>7.2291999999999996</v>
      </c>
    </row>
    <row r="765" spans="1:2" x14ac:dyDescent="0.2">
      <c r="A765" t="s">
        <v>17</v>
      </c>
      <c r="B765" s="3">
        <v>120</v>
      </c>
    </row>
    <row r="766" spans="1:2" x14ac:dyDescent="0.2">
      <c r="A766" t="s">
        <v>13</v>
      </c>
      <c r="B766" s="3">
        <v>7.7750000000000004</v>
      </c>
    </row>
    <row r="767" spans="1:2" x14ac:dyDescent="0.2">
      <c r="A767" t="s">
        <v>17</v>
      </c>
      <c r="B767" s="3">
        <v>77.958299999999994</v>
      </c>
    </row>
    <row r="768" spans="1:2" x14ac:dyDescent="0.2">
      <c r="A768" t="s">
        <v>13</v>
      </c>
      <c r="B768" s="3">
        <v>39.6</v>
      </c>
    </row>
    <row r="769" spans="1:2" x14ac:dyDescent="0.2">
      <c r="A769" t="s">
        <v>17</v>
      </c>
      <c r="B769" s="3">
        <v>7.75</v>
      </c>
    </row>
    <row r="770" spans="1:2" x14ac:dyDescent="0.2">
      <c r="A770" t="s">
        <v>13</v>
      </c>
      <c r="B770" s="3">
        <v>24.15</v>
      </c>
    </row>
    <row r="771" spans="1:2" x14ac:dyDescent="0.2">
      <c r="A771" t="s">
        <v>13</v>
      </c>
      <c r="B771" s="3">
        <v>8.3625000000000007</v>
      </c>
    </row>
    <row r="772" spans="1:2" x14ac:dyDescent="0.2">
      <c r="A772" t="s">
        <v>13</v>
      </c>
      <c r="B772" s="3">
        <v>9.5</v>
      </c>
    </row>
    <row r="773" spans="1:2" x14ac:dyDescent="0.2">
      <c r="A773" t="s">
        <v>13</v>
      </c>
      <c r="B773" s="3">
        <v>7.8541999999999996</v>
      </c>
    </row>
    <row r="774" spans="1:2" x14ac:dyDescent="0.2">
      <c r="A774" t="s">
        <v>17</v>
      </c>
      <c r="B774" s="3">
        <v>10.5</v>
      </c>
    </row>
    <row r="775" spans="1:2" x14ac:dyDescent="0.2">
      <c r="A775" t="s">
        <v>13</v>
      </c>
      <c r="B775" s="3">
        <v>7.2249999999999996</v>
      </c>
    </row>
    <row r="776" spans="1:2" x14ac:dyDescent="0.2">
      <c r="A776" t="s">
        <v>17</v>
      </c>
      <c r="B776" s="3">
        <v>23</v>
      </c>
    </row>
    <row r="777" spans="1:2" x14ac:dyDescent="0.2">
      <c r="A777" t="s">
        <v>13</v>
      </c>
      <c r="B777" s="3">
        <v>7.75</v>
      </c>
    </row>
    <row r="778" spans="1:2" x14ac:dyDescent="0.2">
      <c r="A778" t="s">
        <v>13</v>
      </c>
      <c r="B778" s="3">
        <v>7.75</v>
      </c>
    </row>
    <row r="779" spans="1:2" x14ac:dyDescent="0.2">
      <c r="A779" t="s">
        <v>17</v>
      </c>
      <c r="B779" s="3">
        <v>12.475</v>
      </c>
    </row>
    <row r="780" spans="1:2" x14ac:dyDescent="0.2">
      <c r="A780" t="s">
        <v>13</v>
      </c>
      <c r="B780" s="3">
        <v>7.7374999999999998</v>
      </c>
    </row>
    <row r="781" spans="1:2" x14ac:dyDescent="0.2">
      <c r="A781" t="s">
        <v>17</v>
      </c>
      <c r="B781" s="3">
        <v>211.33750000000001</v>
      </c>
    </row>
    <row r="782" spans="1:2" x14ac:dyDescent="0.2">
      <c r="A782" t="s">
        <v>17</v>
      </c>
      <c r="B782" s="3">
        <v>7.2291999999999996</v>
      </c>
    </row>
    <row r="783" spans="1:2" x14ac:dyDescent="0.2">
      <c r="A783" t="s">
        <v>17</v>
      </c>
      <c r="B783" s="3">
        <v>57</v>
      </c>
    </row>
    <row r="784" spans="1:2" x14ac:dyDescent="0.2">
      <c r="A784" t="s">
        <v>13</v>
      </c>
      <c r="B784" s="3">
        <v>30</v>
      </c>
    </row>
    <row r="785" spans="1:2" x14ac:dyDescent="0.2">
      <c r="A785" t="s">
        <v>13</v>
      </c>
      <c r="B785" s="3">
        <v>23.45</v>
      </c>
    </row>
    <row r="786" spans="1:2" x14ac:dyDescent="0.2">
      <c r="A786" t="s">
        <v>13</v>
      </c>
      <c r="B786" s="3">
        <v>7.05</v>
      </c>
    </row>
    <row r="787" spans="1:2" x14ac:dyDescent="0.2">
      <c r="A787" t="s">
        <v>13</v>
      </c>
      <c r="B787" s="3">
        <v>7.25</v>
      </c>
    </row>
    <row r="788" spans="1:2" x14ac:dyDescent="0.2">
      <c r="A788" t="s">
        <v>17</v>
      </c>
      <c r="B788" s="3">
        <v>7.4958</v>
      </c>
    </row>
    <row r="789" spans="1:2" x14ac:dyDescent="0.2">
      <c r="A789" t="s">
        <v>13</v>
      </c>
      <c r="B789" s="3">
        <v>29.125</v>
      </c>
    </row>
    <row r="790" spans="1:2" x14ac:dyDescent="0.2">
      <c r="A790" t="s">
        <v>13</v>
      </c>
      <c r="B790" s="3">
        <v>20.574999999999999</v>
      </c>
    </row>
    <row r="791" spans="1:2" x14ac:dyDescent="0.2">
      <c r="A791" t="s">
        <v>13</v>
      </c>
      <c r="B791" s="3">
        <v>79.2</v>
      </c>
    </row>
    <row r="792" spans="1:2" x14ac:dyDescent="0.2">
      <c r="A792" t="s">
        <v>13</v>
      </c>
      <c r="B792" s="3">
        <v>7.75</v>
      </c>
    </row>
    <row r="793" spans="1:2" x14ac:dyDescent="0.2">
      <c r="A793" t="s">
        <v>13</v>
      </c>
      <c r="B793" s="3">
        <v>26</v>
      </c>
    </row>
    <row r="794" spans="1:2" x14ac:dyDescent="0.2">
      <c r="A794" t="s">
        <v>17</v>
      </c>
      <c r="B794" s="3">
        <v>69.55</v>
      </c>
    </row>
    <row r="795" spans="1:2" x14ac:dyDescent="0.2">
      <c r="A795" t="s">
        <v>13</v>
      </c>
      <c r="B795" s="3">
        <v>30.695799999999998</v>
      </c>
    </row>
    <row r="796" spans="1:2" x14ac:dyDescent="0.2">
      <c r="A796" t="s">
        <v>13</v>
      </c>
      <c r="B796" s="3">
        <v>7.8958000000000004</v>
      </c>
    </row>
    <row r="797" spans="1:2" x14ac:dyDescent="0.2">
      <c r="A797" t="s">
        <v>13</v>
      </c>
      <c r="B797" s="3">
        <v>13</v>
      </c>
    </row>
    <row r="798" spans="1:2" x14ac:dyDescent="0.2">
      <c r="A798" t="s">
        <v>17</v>
      </c>
      <c r="B798" s="3">
        <v>25.929200000000002</v>
      </c>
    </row>
    <row r="799" spans="1:2" x14ac:dyDescent="0.2">
      <c r="A799" t="s">
        <v>17</v>
      </c>
      <c r="B799" s="3">
        <v>8.6832999999999991</v>
      </c>
    </row>
    <row r="800" spans="1:2" x14ac:dyDescent="0.2">
      <c r="A800" t="s">
        <v>13</v>
      </c>
      <c r="B800" s="3">
        <v>7.2291999999999996</v>
      </c>
    </row>
    <row r="801" spans="1:2" x14ac:dyDescent="0.2">
      <c r="A801" t="s">
        <v>17</v>
      </c>
      <c r="B801" s="3">
        <v>24.15</v>
      </c>
    </row>
    <row r="802" spans="1:2" x14ac:dyDescent="0.2">
      <c r="A802" t="s">
        <v>13</v>
      </c>
      <c r="B802" s="3">
        <v>13</v>
      </c>
    </row>
    <row r="803" spans="1:2" x14ac:dyDescent="0.2">
      <c r="A803" t="s">
        <v>17</v>
      </c>
      <c r="B803" s="3">
        <v>26.25</v>
      </c>
    </row>
    <row r="804" spans="1:2" x14ac:dyDescent="0.2">
      <c r="A804" t="s">
        <v>13</v>
      </c>
      <c r="B804" s="3">
        <v>120</v>
      </c>
    </row>
    <row r="805" spans="1:2" x14ac:dyDescent="0.2">
      <c r="A805" t="s">
        <v>13</v>
      </c>
      <c r="B805" s="3">
        <v>8.5167000000000002</v>
      </c>
    </row>
    <row r="806" spans="1:2" x14ac:dyDescent="0.2">
      <c r="A806" t="s">
        <v>13</v>
      </c>
      <c r="B806" s="3">
        <v>6.9749999999999996</v>
      </c>
    </row>
    <row r="807" spans="1:2" x14ac:dyDescent="0.2">
      <c r="A807" t="s">
        <v>13</v>
      </c>
      <c r="B807" s="3">
        <v>7.7750000000000004</v>
      </c>
    </row>
    <row r="808" spans="1:2" x14ac:dyDescent="0.2">
      <c r="A808" t="s">
        <v>13</v>
      </c>
      <c r="B808" s="3">
        <v>0</v>
      </c>
    </row>
    <row r="809" spans="1:2" x14ac:dyDescent="0.2">
      <c r="A809" t="s">
        <v>17</v>
      </c>
      <c r="B809" s="3">
        <v>7.7750000000000004</v>
      </c>
    </row>
    <row r="810" spans="1:2" x14ac:dyDescent="0.2">
      <c r="A810" t="s">
        <v>13</v>
      </c>
      <c r="B810" s="3">
        <v>13</v>
      </c>
    </row>
    <row r="811" spans="1:2" x14ac:dyDescent="0.2">
      <c r="A811" t="s">
        <v>17</v>
      </c>
      <c r="B811" s="3">
        <v>53.1</v>
      </c>
    </row>
    <row r="812" spans="1:2" x14ac:dyDescent="0.2">
      <c r="A812" t="s">
        <v>13</v>
      </c>
      <c r="B812" s="3">
        <v>7.8875000000000002</v>
      </c>
    </row>
    <row r="813" spans="1:2" x14ac:dyDescent="0.2">
      <c r="A813" t="s">
        <v>13</v>
      </c>
      <c r="B813" s="3">
        <v>24.15</v>
      </c>
    </row>
    <row r="814" spans="1:2" x14ac:dyDescent="0.2">
      <c r="A814" t="s">
        <v>13</v>
      </c>
      <c r="B814" s="3">
        <v>10.5</v>
      </c>
    </row>
    <row r="815" spans="1:2" x14ac:dyDescent="0.2">
      <c r="A815" t="s">
        <v>17</v>
      </c>
      <c r="B815" s="3">
        <v>31.274999999999999</v>
      </c>
    </row>
    <row r="816" spans="1:2" x14ac:dyDescent="0.2">
      <c r="A816" t="s">
        <v>13</v>
      </c>
      <c r="B816" s="3">
        <v>8.0500000000000007</v>
      </c>
    </row>
    <row r="817" spans="1:2" x14ac:dyDescent="0.2">
      <c r="A817" t="s">
        <v>13</v>
      </c>
      <c r="B817" s="3">
        <v>0</v>
      </c>
    </row>
    <row r="818" spans="1:2" x14ac:dyDescent="0.2">
      <c r="A818" t="s">
        <v>17</v>
      </c>
      <c r="B818" s="3">
        <v>7.9249999999999998</v>
      </c>
    </row>
    <row r="819" spans="1:2" x14ac:dyDescent="0.2">
      <c r="A819" t="s">
        <v>13</v>
      </c>
      <c r="B819" s="3">
        <v>37.004199999999997</v>
      </c>
    </row>
    <row r="820" spans="1:2" x14ac:dyDescent="0.2">
      <c r="A820" t="s">
        <v>13</v>
      </c>
      <c r="B820" s="3">
        <v>6.45</v>
      </c>
    </row>
    <row r="821" spans="1:2" x14ac:dyDescent="0.2">
      <c r="A821" t="s">
        <v>13</v>
      </c>
      <c r="B821" s="3">
        <v>27.9</v>
      </c>
    </row>
    <row r="822" spans="1:2" x14ac:dyDescent="0.2">
      <c r="A822" t="s">
        <v>17</v>
      </c>
      <c r="B822" s="3">
        <v>93.5</v>
      </c>
    </row>
    <row r="823" spans="1:2" x14ac:dyDescent="0.2">
      <c r="A823" t="s">
        <v>13</v>
      </c>
      <c r="B823" s="3">
        <v>8.6624999999999996</v>
      </c>
    </row>
    <row r="824" spans="1:2" x14ac:dyDescent="0.2">
      <c r="A824" t="s">
        <v>13</v>
      </c>
      <c r="B824" s="3">
        <v>0</v>
      </c>
    </row>
    <row r="825" spans="1:2" x14ac:dyDescent="0.2">
      <c r="A825" t="s">
        <v>17</v>
      </c>
      <c r="B825" s="3">
        <v>12.475</v>
      </c>
    </row>
    <row r="826" spans="1:2" x14ac:dyDescent="0.2">
      <c r="A826" t="s">
        <v>13</v>
      </c>
      <c r="B826" s="3">
        <v>39.6875</v>
      </c>
    </row>
    <row r="827" spans="1:2" x14ac:dyDescent="0.2">
      <c r="A827" t="s">
        <v>13</v>
      </c>
      <c r="B827" s="3">
        <v>6.95</v>
      </c>
    </row>
    <row r="828" spans="1:2" x14ac:dyDescent="0.2">
      <c r="A828" t="s">
        <v>13</v>
      </c>
      <c r="B828" s="3">
        <v>56.495800000000003</v>
      </c>
    </row>
    <row r="829" spans="1:2" x14ac:dyDescent="0.2">
      <c r="A829" t="s">
        <v>13</v>
      </c>
      <c r="B829" s="3">
        <v>37.004199999999997</v>
      </c>
    </row>
    <row r="830" spans="1:2" x14ac:dyDescent="0.2">
      <c r="A830" t="s">
        <v>13</v>
      </c>
      <c r="B830" s="3">
        <v>7.75</v>
      </c>
    </row>
    <row r="831" spans="1:2" x14ac:dyDescent="0.2">
      <c r="A831" t="s">
        <v>17</v>
      </c>
      <c r="B831" s="3">
        <v>80</v>
      </c>
    </row>
    <row r="832" spans="1:2" x14ac:dyDescent="0.2">
      <c r="A832" t="s">
        <v>17</v>
      </c>
      <c r="B832" s="3">
        <v>14.4542</v>
      </c>
    </row>
    <row r="833" spans="1:2" x14ac:dyDescent="0.2">
      <c r="A833" t="s">
        <v>13</v>
      </c>
      <c r="B833" s="3">
        <v>18.75</v>
      </c>
    </row>
    <row r="834" spans="1:2" x14ac:dyDescent="0.2">
      <c r="A834" t="s">
        <v>13</v>
      </c>
      <c r="B834" s="3">
        <v>7.2291999999999996</v>
      </c>
    </row>
    <row r="835" spans="1:2" x14ac:dyDescent="0.2">
      <c r="A835" t="s">
        <v>13</v>
      </c>
      <c r="B835" s="3">
        <v>7.8541999999999996</v>
      </c>
    </row>
    <row r="836" spans="1:2" x14ac:dyDescent="0.2">
      <c r="A836" t="s">
        <v>13</v>
      </c>
      <c r="B836" s="3">
        <v>8.3000000000000007</v>
      </c>
    </row>
    <row r="837" spans="1:2" x14ac:dyDescent="0.2">
      <c r="A837" t="s">
        <v>17</v>
      </c>
      <c r="B837" s="3">
        <v>83.158299999999997</v>
      </c>
    </row>
    <row r="838" spans="1:2" x14ac:dyDescent="0.2">
      <c r="A838" t="s">
        <v>13</v>
      </c>
      <c r="B838" s="3">
        <v>8.6624999999999996</v>
      </c>
    </row>
    <row r="839" spans="1:2" x14ac:dyDescent="0.2">
      <c r="A839" t="s">
        <v>13</v>
      </c>
      <c r="B839" s="3">
        <v>8.0500000000000007</v>
      </c>
    </row>
    <row r="840" spans="1:2" x14ac:dyDescent="0.2">
      <c r="A840" t="s">
        <v>13</v>
      </c>
      <c r="B840" s="3">
        <v>56.495800000000003</v>
      </c>
    </row>
    <row r="841" spans="1:2" x14ac:dyDescent="0.2">
      <c r="A841" t="s">
        <v>13</v>
      </c>
      <c r="B841" s="3">
        <v>29.7</v>
      </c>
    </row>
    <row r="842" spans="1:2" x14ac:dyDescent="0.2">
      <c r="A842" t="s">
        <v>13</v>
      </c>
      <c r="B842" s="3">
        <v>7.9249999999999998</v>
      </c>
    </row>
    <row r="843" spans="1:2" x14ac:dyDescent="0.2">
      <c r="A843" t="s">
        <v>13</v>
      </c>
      <c r="B843" s="3">
        <v>10.5</v>
      </c>
    </row>
    <row r="844" spans="1:2" x14ac:dyDescent="0.2">
      <c r="A844" t="s">
        <v>17</v>
      </c>
      <c r="B844" s="3">
        <v>31</v>
      </c>
    </row>
    <row r="845" spans="1:2" x14ac:dyDescent="0.2">
      <c r="A845" t="s">
        <v>13</v>
      </c>
      <c r="B845" s="3">
        <v>6.4375</v>
      </c>
    </row>
    <row r="846" spans="1:2" x14ac:dyDescent="0.2">
      <c r="A846" t="s">
        <v>13</v>
      </c>
      <c r="B846" s="3">
        <v>8.6624999999999996</v>
      </c>
    </row>
    <row r="847" spans="1:2" x14ac:dyDescent="0.2">
      <c r="A847" t="s">
        <v>13</v>
      </c>
      <c r="B847" s="3">
        <v>7.55</v>
      </c>
    </row>
    <row r="848" spans="1:2" x14ac:dyDescent="0.2">
      <c r="A848" t="s">
        <v>13</v>
      </c>
      <c r="B848" s="3">
        <v>69.55</v>
      </c>
    </row>
    <row r="849" spans="1:2" x14ac:dyDescent="0.2">
      <c r="A849" t="s">
        <v>13</v>
      </c>
      <c r="B849" s="3">
        <v>7.8958000000000004</v>
      </c>
    </row>
    <row r="850" spans="1:2" x14ac:dyDescent="0.2">
      <c r="A850" t="s">
        <v>13</v>
      </c>
      <c r="B850" s="3">
        <v>33</v>
      </c>
    </row>
    <row r="851" spans="1:2" x14ac:dyDescent="0.2">
      <c r="A851" t="s">
        <v>17</v>
      </c>
      <c r="B851" s="3">
        <v>89.104200000000006</v>
      </c>
    </row>
    <row r="852" spans="1:2" x14ac:dyDescent="0.2">
      <c r="A852" t="s">
        <v>13</v>
      </c>
      <c r="B852" s="3">
        <v>31.274999999999999</v>
      </c>
    </row>
    <row r="853" spans="1:2" x14ac:dyDescent="0.2">
      <c r="A853" t="s">
        <v>13</v>
      </c>
      <c r="B853" s="3">
        <v>7.7750000000000004</v>
      </c>
    </row>
    <row r="854" spans="1:2" x14ac:dyDescent="0.2">
      <c r="A854" t="s">
        <v>17</v>
      </c>
      <c r="B854" s="3">
        <v>15.245799999999999</v>
      </c>
    </row>
    <row r="855" spans="1:2" x14ac:dyDescent="0.2">
      <c r="A855" t="s">
        <v>17</v>
      </c>
      <c r="B855" s="3">
        <v>39.4</v>
      </c>
    </row>
    <row r="856" spans="1:2" x14ac:dyDescent="0.2">
      <c r="A856" t="s">
        <v>17</v>
      </c>
      <c r="B856" s="3">
        <v>26</v>
      </c>
    </row>
    <row r="857" spans="1:2" x14ac:dyDescent="0.2">
      <c r="A857" t="s">
        <v>17</v>
      </c>
      <c r="B857" s="3">
        <v>9.35</v>
      </c>
    </row>
    <row r="858" spans="1:2" x14ac:dyDescent="0.2">
      <c r="A858" t="s">
        <v>17</v>
      </c>
      <c r="B858" s="3">
        <v>164.86670000000001</v>
      </c>
    </row>
    <row r="859" spans="1:2" x14ac:dyDescent="0.2">
      <c r="A859" t="s">
        <v>13</v>
      </c>
      <c r="B859" s="3">
        <v>26.55</v>
      </c>
    </row>
    <row r="860" spans="1:2" x14ac:dyDescent="0.2">
      <c r="A860" t="s">
        <v>17</v>
      </c>
      <c r="B860" s="3">
        <v>19.258299999999998</v>
      </c>
    </row>
    <row r="861" spans="1:2" x14ac:dyDescent="0.2">
      <c r="A861" t="s">
        <v>13</v>
      </c>
      <c r="B861" s="3">
        <v>7.2291999999999996</v>
      </c>
    </row>
    <row r="862" spans="1:2" x14ac:dyDescent="0.2">
      <c r="A862" t="s">
        <v>13</v>
      </c>
      <c r="B862" s="3">
        <v>14.1083</v>
      </c>
    </row>
    <row r="863" spans="1:2" x14ac:dyDescent="0.2">
      <c r="A863" t="s">
        <v>13</v>
      </c>
      <c r="B863" s="3">
        <v>11.5</v>
      </c>
    </row>
    <row r="864" spans="1:2" x14ac:dyDescent="0.2">
      <c r="A864" t="s">
        <v>17</v>
      </c>
      <c r="B864" s="3">
        <v>25.929200000000002</v>
      </c>
    </row>
    <row r="865" spans="1:2" x14ac:dyDescent="0.2">
      <c r="A865" t="s">
        <v>17</v>
      </c>
      <c r="B865" s="3">
        <v>69.55</v>
      </c>
    </row>
    <row r="866" spans="1:2" x14ac:dyDescent="0.2">
      <c r="A866" t="s">
        <v>13</v>
      </c>
      <c r="B866" s="3">
        <v>13</v>
      </c>
    </row>
    <row r="867" spans="1:2" x14ac:dyDescent="0.2">
      <c r="A867" t="s">
        <v>17</v>
      </c>
      <c r="B867" s="3">
        <v>13</v>
      </c>
    </row>
    <row r="868" spans="1:2" x14ac:dyDescent="0.2">
      <c r="A868" t="s">
        <v>17</v>
      </c>
      <c r="B868" s="3">
        <v>13.8583</v>
      </c>
    </row>
    <row r="869" spans="1:2" x14ac:dyDescent="0.2">
      <c r="A869" t="s">
        <v>13</v>
      </c>
      <c r="B869" s="3">
        <v>50.495800000000003</v>
      </c>
    </row>
    <row r="870" spans="1:2" x14ac:dyDescent="0.2">
      <c r="A870" t="s">
        <v>13</v>
      </c>
      <c r="B870" s="3">
        <v>9.5</v>
      </c>
    </row>
    <row r="871" spans="1:2" x14ac:dyDescent="0.2">
      <c r="A871" t="s">
        <v>13</v>
      </c>
      <c r="B871" s="3">
        <v>11.1333</v>
      </c>
    </row>
    <row r="872" spans="1:2" x14ac:dyDescent="0.2">
      <c r="A872" t="s">
        <v>13</v>
      </c>
      <c r="B872" s="3">
        <v>7.8958000000000004</v>
      </c>
    </row>
    <row r="873" spans="1:2" x14ac:dyDescent="0.2">
      <c r="A873" t="s">
        <v>17</v>
      </c>
      <c r="B873" s="3">
        <v>52.554200000000002</v>
      </c>
    </row>
    <row r="874" spans="1:2" x14ac:dyDescent="0.2">
      <c r="A874" t="s">
        <v>13</v>
      </c>
      <c r="B874" s="3">
        <v>5</v>
      </c>
    </row>
    <row r="875" spans="1:2" x14ac:dyDescent="0.2">
      <c r="A875" t="s">
        <v>13</v>
      </c>
      <c r="B875" s="3">
        <v>9</v>
      </c>
    </row>
    <row r="876" spans="1:2" x14ac:dyDescent="0.2">
      <c r="A876" t="s">
        <v>17</v>
      </c>
      <c r="B876" s="3">
        <v>24</v>
      </c>
    </row>
    <row r="877" spans="1:2" x14ac:dyDescent="0.2">
      <c r="A877" t="s">
        <v>17</v>
      </c>
      <c r="B877" s="3">
        <v>7.2249999999999996</v>
      </c>
    </row>
    <row r="878" spans="1:2" x14ac:dyDescent="0.2">
      <c r="A878" t="s">
        <v>13</v>
      </c>
      <c r="B878" s="3">
        <v>9.8458000000000006</v>
      </c>
    </row>
    <row r="879" spans="1:2" x14ac:dyDescent="0.2">
      <c r="A879" t="s">
        <v>13</v>
      </c>
      <c r="B879" s="3">
        <v>7.8958000000000004</v>
      </c>
    </row>
    <row r="880" spans="1:2" x14ac:dyDescent="0.2">
      <c r="A880" t="s">
        <v>13</v>
      </c>
      <c r="B880" s="3">
        <v>7.8958000000000004</v>
      </c>
    </row>
    <row r="881" spans="1:2" x14ac:dyDescent="0.2">
      <c r="A881" t="s">
        <v>17</v>
      </c>
      <c r="B881" s="3">
        <v>83.158299999999997</v>
      </c>
    </row>
    <row r="882" spans="1:2" x14ac:dyDescent="0.2">
      <c r="A882" t="s">
        <v>17</v>
      </c>
      <c r="B882" s="3">
        <v>26</v>
      </c>
    </row>
    <row r="883" spans="1:2" x14ac:dyDescent="0.2">
      <c r="A883" t="s">
        <v>13</v>
      </c>
      <c r="B883" s="3">
        <v>7.8958000000000004</v>
      </c>
    </row>
    <row r="884" spans="1:2" x14ac:dyDescent="0.2">
      <c r="A884" t="s">
        <v>17</v>
      </c>
      <c r="B884" s="3">
        <v>10.5167</v>
      </c>
    </row>
    <row r="885" spans="1:2" x14ac:dyDescent="0.2">
      <c r="A885" t="s">
        <v>13</v>
      </c>
      <c r="B885" s="3">
        <v>10.5</v>
      </c>
    </row>
    <row r="886" spans="1:2" x14ac:dyDescent="0.2">
      <c r="A886" t="s">
        <v>13</v>
      </c>
      <c r="B886" s="3">
        <v>7.05</v>
      </c>
    </row>
    <row r="887" spans="1:2" x14ac:dyDescent="0.2">
      <c r="A887" t="s">
        <v>17</v>
      </c>
      <c r="B887" s="3">
        <v>29.125</v>
      </c>
    </row>
    <row r="888" spans="1:2" x14ac:dyDescent="0.2">
      <c r="A888" t="s">
        <v>13</v>
      </c>
      <c r="B888" s="3">
        <v>13</v>
      </c>
    </row>
    <row r="889" spans="1:2" x14ac:dyDescent="0.2">
      <c r="A889" t="s">
        <v>17</v>
      </c>
      <c r="B889" s="3">
        <v>30</v>
      </c>
    </row>
    <row r="890" spans="1:2" x14ac:dyDescent="0.2">
      <c r="A890" t="s">
        <v>17</v>
      </c>
      <c r="B890" s="3">
        <v>23.45</v>
      </c>
    </row>
    <row r="891" spans="1:2" x14ac:dyDescent="0.2">
      <c r="A891" t="s">
        <v>13</v>
      </c>
      <c r="B891" s="3">
        <v>30</v>
      </c>
    </row>
    <row r="892" spans="1:2" x14ac:dyDescent="0.2">
      <c r="A892" t="s">
        <v>13</v>
      </c>
      <c r="B892" s="3">
        <v>7.75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2"/>
  <sheetViews>
    <sheetView topLeftCell="A17" workbookViewId="0">
      <selection activeCell="R30" sqref="R30"/>
    </sheetView>
  </sheetViews>
  <sheetFormatPr baseColWidth="10" defaultRowHeight="16" x14ac:dyDescent="0.2"/>
  <sheetData>
    <row r="1" spans="1:9" x14ac:dyDescent="0.2">
      <c r="A1" t="s">
        <v>1222</v>
      </c>
    </row>
    <row r="2" spans="1:9" ht="17" thickBot="1" x14ac:dyDescent="0.25"/>
    <row r="3" spans="1:9" x14ac:dyDescent="0.2">
      <c r="A3" s="4" t="s">
        <v>1223</v>
      </c>
      <c r="B3" s="4"/>
    </row>
    <row r="4" spans="1:9" x14ac:dyDescent="0.2">
      <c r="A4" t="s">
        <v>1224</v>
      </c>
      <c r="B4">
        <v>0.2081911516511859</v>
      </c>
    </row>
    <row r="5" spans="1:9" x14ac:dyDescent="0.2">
      <c r="A5" t="s">
        <v>1225</v>
      </c>
      <c r="B5">
        <v>4.3343555625847081E-2</v>
      </c>
    </row>
    <row r="6" spans="1:9" x14ac:dyDescent="0.2">
      <c r="A6" t="s">
        <v>1226</v>
      </c>
      <c r="B6">
        <v>4.1414812794447579E-2</v>
      </c>
    </row>
    <row r="7" spans="1:9" x14ac:dyDescent="0.2">
      <c r="A7" t="s">
        <v>1227</v>
      </c>
      <c r="B7">
        <v>0.47747547040661981</v>
      </c>
    </row>
    <row r="8" spans="1:9" ht="17" thickBot="1" x14ac:dyDescent="0.25">
      <c r="A8" s="1" t="s">
        <v>1228</v>
      </c>
      <c r="B8" s="1">
        <v>498</v>
      </c>
    </row>
    <row r="10" spans="1:9" ht="17" thickBot="1" x14ac:dyDescent="0.25">
      <c r="A10" t="s">
        <v>1229</v>
      </c>
    </row>
    <row r="11" spans="1:9" x14ac:dyDescent="0.2">
      <c r="A11" s="2"/>
      <c r="B11" s="2" t="s">
        <v>1234</v>
      </c>
      <c r="C11" s="2" t="s">
        <v>1235</v>
      </c>
      <c r="D11" s="2" t="s">
        <v>1236</v>
      </c>
      <c r="E11" s="2" t="s">
        <v>1237</v>
      </c>
      <c r="F11" s="2" t="s">
        <v>1238</v>
      </c>
    </row>
    <row r="12" spans="1:9" x14ac:dyDescent="0.2">
      <c r="A12" t="s">
        <v>1230</v>
      </c>
      <c r="B12">
        <v>1</v>
      </c>
      <c r="C12">
        <v>5.1233301243282767</v>
      </c>
      <c r="D12">
        <v>5.1233301243282767</v>
      </c>
      <c r="E12">
        <v>22.47243900027712</v>
      </c>
      <c r="F12">
        <v>2.7894925309462852E-6</v>
      </c>
    </row>
    <row r="13" spans="1:9" x14ac:dyDescent="0.2">
      <c r="A13" t="s">
        <v>1231</v>
      </c>
      <c r="B13">
        <v>496</v>
      </c>
      <c r="C13">
        <v>113.07948112065134</v>
      </c>
      <c r="D13">
        <v>0.22798282484002286</v>
      </c>
    </row>
    <row r="14" spans="1:9" ht="17" thickBot="1" x14ac:dyDescent="0.25">
      <c r="A14" s="1" t="s">
        <v>1232</v>
      </c>
      <c r="B14" s="1">
        <v>497</v>
      </c>
      <c r="C14" s="1">
        <v>118.20281124497961</v>
      </c>
      <c r="D14" s="1"/>
      <c r="E14" s="1"/>
      <c r="F14" s="1"/>
    </row>
    <row r="15" spans="1:9" ht="17" thickBot="1" x14ac:dyDescent="0.25"/>
    <row r="16" spans="1:9" x14ac:dyDescent="0.2">
      <c r="A16" s="2"/>
      <c r="B16" s="2" t="s">
        <v>1239</v>
      </c>
      <c r="C16" s="2" t="s">
        <v>1227</v>
      </c>
      <c r="D16" s="2" t="s">
        <v>1240</v>
      </c>
      <c r="E16" s="2" t="s">
        <v>1241</v>
      </c>
      <c r="F16" s="2" t="s">
        <v>1242</v>
      </c>
      <c r="G16" s="2" t="s">
        <v>1243</v>
      </c>
      <c r="H16" s="2" t="s">
        <v>1244</v>
      </c>
      <c r="I16" s="2" t="s">
        <v>1245</v>
      </c>
    </row>
    <row r="17" spans="1:9" x14ac:dyDescent="0.2">
      <c r="A17" t="s">
        <v>1233</v>
      </c>
      <c r="B17">
        <v>0.31966005915769935</v>
      </c>
      <c r="C17">
        <v>2.5746760654974294E-2</v>
      </c>
      <c r="D17">
        <v>12.415544753042196</v>
      </c>
      <c r="E17">
        <v>5.2065799320088494E-31</v>
      </c>
      <c r="F17">
        <v>0.26907389789431729</v>
      </c>
      <c r="G17">
        <v>0.37024622042108141</v>
      </c>
      <c r="H17">
        <v>0.26907389789431729</v>
      </c>
      <c r="I17">
        <v>0.37024622042108141</v>
      </c>
    </row>
    <row r="18" spans="1:9" ht="17" thickBot="1" x14ac:dyDescent="0.25">
      <c r="A18" s="1">
        <v>7.25</v>
      </c>
      <c r="B18" s="1">
        <v>2.129568791848275E-3</v>
      </c>
      <c r="C18" s="1">
        <v>4.4922774240652749E-4</v>
      </c>
      <c r="D18" s="1">
        <v>4.7405104155858817</v>
      </c>
      <c r="E18" s="1">
        <v>2.7894925309447767E-6</v>
      </c>
      <c r="F18" s="1">
        <v>1.2469448638951783E-3</v>
      </c>
      <c r="G18" s="1">
        <v>3.0121927198013716E-3</v>
      </c>
      <c r="H18" s="1">
        <v>1.2469448638951783E-3</v>
      </c>
      <c r="I18" s="1">
        <v>3.0121927198013716E-3</v>
      </c>
    </row>
    <row r="22" spans="1:9" x14ac:dyDescent="0.2">
      <c r="A22" t="s">
        <v>1246</v>
      </c>
      <c r="F22" t="s">
        <v>1251</v>
      </c>
    </row>
    <row r="23" spans="1:9" ht="17" thickBot="1" x14ac:dyDescent="0.25"/>
    <row r="24" spans="1:9" x14ac:dyDescent="0.2">
      <c r="A24" s="2" t="s">
        <v>1247</v>
      </c>
      <c r="B24" s="2" t="s">
        <v>1248</v>
      </c>
      <c r="C24" s="2" t="s">
        <v>1249</v>
      </c>
      <c r="D24" s="2" t="s">
        <v>1250</v>
      </c>
      <c r="F24" s="2" t="s">
        <v>1252</v>
      </c>
      <c r="G24" s="2">
        <v>0</v>
      </c>
    </row>
    <row r="25" spans="1:9" x14ac:dyDescent="0.2">
      <c r="A25">
        <v>1</v>
      </c>
      <c r="B25">
        <v>0.47146275021765749</v>
      </c>
      <c r="C25">
        <v>0.52853724978234251</v>
      </c>
      <c r="D25">
        <v>1.1080564635098578</v>
      </c>
      <c r="F25">
        <v>0.10040160642570281</v>
      </c>
      <c r="G25">
        <v>0</v>
      </c>
    </row>
    <row r="26" spans="1:9" x14ac:dyDescent="0.2">
      <c r="A26">
        <v>2</v>
      </c>
      <c r="B26">
        <v>0.33653689183309693</v>
      </c>
      <c r="C26">
        <v>0.66346310816690313</v>
      </c>
      <c r="D26">
        <v>1.3909229398825187</v>
      </c>
      <c r="F26">
        <v>0.3012048192771084</v>
      </c>
      <c r="G26">
        <v>0</v>
      </c>
    </row>
    <row r="27" spans="1:9" x14ac:dyDescent="0.2">
      <c r="A27">
        <v>3</v>
      </c>
      <c r="B27">
        <v>0.43274016200484278</v>
      </c>
      <c r="C27">
        <v>0.56725983799515722</v>
      </c>
      <c r="D27">
        <v>1.1892367666402606</v>
      </c>
      <c r="F27">
        <v>0.50200803212851408</v>
      </c>
      <c r="G27">
        <v>0</v>
      </c>
    </row>
    <row r="28" spans="1:9" x14ac:dyDescent="0.2">
      <c r="A28">
        <v>4</v>
      </c>
      <c r="B28">
        <v>0.33680308793207797</v>
      </c>
      <c r="C28">
        <v>-0.33680308793207797</v>
      </c>
      <c r="D28">
        <v>-0.70609373070091952</v>
      </c>
      <c r="F28">
        <v>0.70281124497991965</v>
      </c>
      <c r="G28">
        <v>0</v>
      </c>
    </row>
    <row r="29" spans="1:9" x14ac:dyDescent="0.2">
      <c r="A29">
        <v>5</v>
      </c>
      <c r="B29">
        <v>0.33767259086978962</v>
      </c>
      <c r="C29">
        <v>-0.33767259086978962</v>
      </c>
      <c r="D29">
        <v>-0.70791660761369901</v>
      </c>
      <c r="F29">
        <v>0.90361445783132532</v>
      </c>
      <c r="G29">
        <v>0</v>
      </c>
    </row>
    <row r="30" spans="1:9" x14ac:dyDescent="0.2">
      <c r="A30">
        <v>6</v>
      </c>
      <c r="B30">
        <v>0.4301048206249305</v>
      </c>
      <c r="C30">
        <v>-0.4301048206249305</v>
      </c>
      <c r="D30">
        <v>-0.90169695073802902</v>
      </c>
      <c r="F30">
        <v>1.1044176706827309</v>
      </c>
      <c r="G30">
        <v>0</v>
      </c>
    </row>
    <row r="31" spans="1:9" x14ac:dyDescent="0.2">
      <c r="A31">
        <v>7</v>
      </c>
      <c r="B31">
        <v>0.36454072144590177</v>
      </c>
      <c r="C31">
        <v>-0.36454072144590177</v>
      </c>
      <c r="D31">
        <v>-0.76424453106573209</v>
      </c>
      <c r="F31">
        <v>1.3052208835341363</v>
      </c>
      <c r="G31">
        <v>0</v>
      </c>
    </row>
    <row r="32" spans="1:9" x14ac:dyDescent="0.2">
      <c r="A32">
        <v>8</v>
      </c>
      <c r="B32">
        <v>0.34336918738798372</v>
      </c>
      <c r="C32">
        <v>0.65663081261201628</v>
      </c>
      <c r="D32">
        <v>1.3765993150986084</v>
      </c>
      <c r="F32">
        <v>1.506024096385542</v>
      </c>
      <c r="G32">
        <v>0</v>
      </c>
    </row>
    <row r="33" spans="1:7" x14ac:dyDescent="0.2">
      <c r="A33">
        <v>9</v>
      </c>
      <c r="B33">
        <v>0.38369789638361046</v>
      </c>
      <c r="C33">
        <v>0.6163021036163896</v>
      </c>
      <c r="D33">
        <v>1.2920518462380606</v>
      </c>
      <c r="F33">
        <v>1.7068273092369477</v>
      </c>
      <c r="G33">
        <v>0</v>
      </c>
    </row>
    <row r="34" spans="1:7" x14ac:dyDescent="0.2">
      <c r="A34">
        <v>10</v>
      </c>
      <c r="B34">
        <v>0.35522385798156553</v>
      </c>
      <c r="C34">
        <v>0.64477614201843447</v>
      </c>
      <c r="D34">
        <v>1.3517464889649575</v>
      </c>
      <c r="F34">
        <v>1.9076305220883534</v>
      </c>
      <c r="G34">
        <v>0</v>
      </c>
    </row>
    <row r="35" spans="1:7" x14ac:dyDescent="0.2">
      <c r="A35">
        <v>11</v>
      </c>
      <c r="B35">
        <v>0.37620011058127106</v>
      </c>
      <c r="C35">
        <v>0.62379988941872888</v>
      </c>
      <c r="D35">
        <v>1.3077706437754446</v>
      </c>
      <c r="F35">
        <v>2.1084337349397591</v>
      </c>
      <c r="G35">
        <v>0</v>
      </c>
    </row>
    <row r="36" spans="1:7" x14ac:dyDescent="0.2">
      <c r="A36">
        <v>12</v>
      </c>
      <c r="B36">
        <v>0.33680308793207797</v>
      </c>
      <c r="C36">
        <v>-0.33680308793207797</v>
      </c>
      <c r="D36">
        <v>-0.70609373070091952</v>
      </c>
      <c r="F36">
        <v>2.3092369477911645</v>
      </c>
      <c r="G36">
        <v>0</v>
      </c>
    </row>
    <row r="37" spans="1:7" x14ac:dyDescent="0.2">
      <c r="A37">
        <v>13</v>
      </c>
      <c r="B37">
        <v>0.38626232312275416</v>
      </c>
      <c r="C37">
        <v>-0.38626232312275416</v>
      </c>
      <c r="D37">
        <v>-0.80978296973913622</v>
      </c>
      <c r="F37">
        <v>2.51004016064257</v>
      </c>
      <c r="G37">
        <v>0</v>
      </c>
    </row>
    <row r="38" spans="1:7" x14ac:dyDescent="0.2">
      <c r="A38">
        <v>14</v>
      </c>
      <c r="B38">
        <v>0.33638611836263405</v>
      </c>
      <c r="C38">
        <v>-0.33638611836263405</v>
      </c>
      <c r="D38">
        <v>-0.7052195712605025</v>
      </c>
      <c r="F38">
        <v>2.7108433734939759</v>
      </c>
      <c r="G38">
        <v>0</v>
      </c>
    </row>
    <row r="39" spans="1:7" x14ac:dyDescent="0.2">
      <c r="A39">
        <v>15</v>
      </c>
      <c r="B39">
        <v>0.35373315982727177</v>
      </c>
      <c r="C39">
        <v>0.64626684017272829</v>
      </c>
      <c r="D39">
        <v>1.3548716759327404</v>
      </c>
      <c r="F39">
        <v>2.9116465863453813</v>
      </c>
      <c r="G39">
        <v>0</v>
      </c>
    </row>
    <row r="40" spans="1:7" x14ac:dyDescent="0.2">
      <c r="A40">
        <v>16</v>
      </c>
      <c r="B40">
        <v>0.38168375022028034</v>
      </c>
      <c r="C40">
        <v>-0.38168375022028034</v>
      </c>
      <c r="D40">
        <v>-0.80018418119523238</v>
      </c>
      <c r="F40">
        <v>3.1124497991967872</v>
      </c>
      <c r="G40">
        <v>0</v>
      </c>
    </row>
    <row r="41" spans="1:7" x14ac:dyDescent="0.2">
      <c r="A41">
        <v>17</v>
      </c>
      <c r="B41">
        <v>0.34734445345172693</v>
      </c>
      <c r="C41">
        <v>0.65265554654827307</v>
      </c>
      <c r="D41">
        <v>1.3682653343660944</v>
      </c>
      <c r="F41">
        <v>3.3132530120481927</v>
      </c>
      <c r="G41">
        <v>0</v>
      </c>
    </row>
    <row r="42" spans="1:7" x14ac:dyDescent="0.2">
      <c r="A42">
        <v>18</v>
      </c>
      <c r="B42">
        <v>0.35799229741096827</v>
      </c>
      <c r="C42">
        <v>-0.35799229741096827</v>
      </c>
      <c r="D42">
        <v>-0.75051603117154397</v>
      </c>
      <c r="F42">
        <v>3.5140562248995981</v>
      </c>
      <c r="G42">
        <v>0</v>
      </c>
    </row>
    <row r="43" spans="1:7" x14ac:dyDescent="0.2">
      <c r="A43">
        <v>19</v>
      </c>
      <c r="B43">
        <v>0.33504619367880312</v>
      </c>
      <c r="C43">
        <v>0.66495380632119683</v>
      </c>
      <c r="D43">
        <v>1.3940481268503011</v>
      </c>
      <c r="F43">
        <v>3.714859437751004</v>
      </c>
      <c r="G43">
        <v>0</v>
      </c>
    </row>
    <row r="44" spans="1:7" x14ac:dyDescent="0.2">
      <c r="A44">
        <v>20</v>
      </c>
      <c r="B44">
        <v>0.37502884774575451</v>
      </c>
      <c r="C44">
        <v>-0.37502884774575451</v>
      </c>
      <c r="D44">
        <v>-0.78623245366048844</v>
      </c>
      <c r="F44">
        <v>3.9156626506024095</v>
      </c>
      <c r="G44">
        <v>0</v>
      </c>
    </row>
    <row r="45" spans="1:7" x14ac:dyDescent="0.2">
      <c r="A45">
        <v>21</v>
      </c>
      <c r="B45">
        <v>0.34734445345172693</v>
      </c>
      <c r="C45">
        <v>0.65265554654827307</v>
      </c>
      <c r="D45">
        <v>1.3682653343660944</v>
      </c>
      <c r="F45">
        <v>4.1164658634538158</v>
      </c>
      <c r="G45">
        <v>0</v>
      </c>
    </row>
    <row r="46" spans="1:7" x14ac:dyDescent="0.2">
      <c r="A46">
        <v>22</v>
      </c>
      <c r="B46">
        <v>0.33675879290120753</v>
      </c>
      <c r="C46">
        <v>0.66324120709879253</v>
      </c>
      <c r="D46">
        <v>1.3904577334796</v>
      </c>
      <c r="F46">
        <v>4.3172690763052213</v>
      </c>
      <c r="G46">
        <v>0</v>
      </c>
    </row>
    <row r="47" spans="1:7" x14ac:dyDescent="0.2">
      <c r="A47">
        <v>23</v>
      </c>
      <c r="B47">
        <v>0.39525975126831314</v>
      </c>
      <c r="C47">
        <v>0.60474024873168686</v>
      </c>
      <c r="D47">
        <v>1.2678128961159383</v>
      </c>
      <c r="F47">
        <v>4.5180722891566267</v>
      </c>
      <c r="G47">
        <v>0</v>
      </c>
    </row>
    <row r="48" spans="1:7" x14ac:dyDescent="0.2">
      <c r="A48">
        <v>24</v>
      </c>
      <c r="B48">
        <v>0.36454072144590177</v>
      </c>
      <c r="C48">
        <v>-0.36454072144590177</v>
      </c>
      <c r="D48">
        <v>-0.76424453106573209</v>
      </c>
      <c r="F48">
        <v>4.7188755020080322</v>
      </c>
      <c r="G48">
        <v>0</v>
      </c>
    </row>
    <row r="49" spans="1:7" x14ac:dyDescent="0.2">
      <c r="A49">
        <v>25</v>
      </c>
      <c r="B49">
        <v>0.38650189961183706</v>
      </c>
      <c r="C49">
        <v>0.61349810038816299</v>
      </c>
      <c r="D49">
        <v>1.2861733695516615</v>
      </c>
      <c r="F49">
        <v>4.9196787148594376</v>
      </c>
      <c r="G49">
        <v>0</v>
      </c>
    </row>
    <row r="50" spans="1:7" x14ac:dyDescent="0.2">
      <c r="A50">
        <v>26</v>
      </c>
      <c r="B50">
        <v>0.33504619367880312</v>
      </c>
      <c r="C50">
        <v>-0.33504619367880312</v>
      </c>
      <c r="D50">
        <v>-0.70241047463174699</v>
      </c>
      <c r="F50">
        <v>5.120481927710844</v>
      </c>
      <c r="G50">
        <v>0</v>
      </c>
    </row>
    <row r="51" spans="1:7" x14ac:dyDescent="0.2">
      <c r="A51">
        <v>27</v>
      </c>
      <c r="B51">
        <v>0.87973665141379565</v>
      </c>
      <c r="C51">
        <v>-0.87973665141379565</v>
      </c>
      <c r="D51">
        <v>-1.8443314698954663</v>
      </c>
      <c r="F51">
        <v>5.3212851405622494</v>
      </c>
      <c r="G51">
        <v>0</v>
      </c>
    </row>
    <row r="52" spans="1:7" x14ac:dyDescent="0.2">
      <c r="A52">
        <v>28</v>
      </c>
      <c r="B52">
        <v>0.33643935758243027</v>
      </c>
      <c r="C52">
        <v>0.66356064241756973</v>
      </c>
      <c r="D52">
        <v>1.3911274164012677</v>
      </c>
      <c r="F52">
        <v>5.5220883534136549</v>
      </c>
      <c r="G52">
        <v>0</v>
      </c>
    </row>
    <row r="53" spans="1:7" x14ac:dyDescent="0.2">
      <c r="A53">
        <v>29</v>
      </c>
      <c r="B53">
        <v>0.33647470842437494</v>
      </c>
      <c r="C53">
        <v>-0.33647470842437494</v>
      </c>
      <c r="D53">
        <v>-0.705405296657445</v>
      </c>
      <c r="F53">
        <v>5.7228915662650603</v>
      </c>
      <c r="G53">
        <v>0</v>
      </c>
    </row>
    <row r="54" spans="1:7" x14ac:dyDescent="0.2">
      <c r="A54">
        <v>30</v>
      </c>
      <c r="B54">
        <v>0.37869340972276699</v>
      </c>
      <c r="C54">
        <v>-0.37869340972276699</v>
      </c>
      <c r="D54">
        <v>-0.7939150561378604</v>
      </c>
      <c r="F54">
        <v>5.9236947791164658</v>
      </c>
      <c r="G54">
        <v>0</v>
      </c>
    </row>
    <row r="55" spans="1:7" x14ac:dyDescent="0.2">
      <c r="A55">
        <v>31</v>
      </c>
      <c r="B55">
        <v>0.63168618219434203</v>
      </c>
      <c r="C55">
        <v>0.36831381780565797</v>
      </c>
      <c r="D55">
        <v>0.77215467138336358</v>
      </c>
      <c r="F55">
        <v>6.1244979919678721</v>
      </c>
      <c r="G55">
        <v>0</v>
      </c>
    </row>
    <row r="56" spans="1:7" x14ac:dyDescent="0.2">
      <c r="A56">
        <v>32</v>
      </c>
      <c r="B56">
        <v>0.3361642172945235</v>
      </c>
      <c r="C56">
        <v>0.6638357827054765</v>
      </c>
      <c r="D56">
        <v>1.3917042366244641</v>
      </c>
      <c r="F56">
        <v>6.3253012048192776</v>
      </c>
      <c r="G56">
        <v>0</v>
      </c>
    </row>
    <row r="57" spans="1:7" x14ac:dyDescent="0.2">
      <c r="A57">
        <v>33</v>
      </c>
      <c r="B57">
        <v>0.34202053147210626</v>
      </c>
      <c r="C57">
        <v>-0.34202053147210626</v>
      </c>
      <c r="D57">
        <v>-0.71703188508815874</v>
      </c>
      <c r="F57">
        <v>6.5261044176706831</v>
      </c>
      <c r="G57">
        <v>0</v>
      </c>
    </row>
    <row r="58" spans="1:7" x14ac:dyDescent="0.2">
      <c r="A58">
        <v>34</v>
      </c>
      <c r="B58">
        <v>0.49464843043890561</v>
      </c>
      <c r="C58">
        <v>-0.49464843043890561</v>
      </c>
      <c r="D58">
        <v>-1.0370099567032383</v>
      </c>
      <c r="F58">
        <v>6.7269076305220885</v>
      </c>
      <c r="G58">
        <v>0</v>
      </c>
    </row>
    <row r="59" spans="1:7" x14ac:dyDescent="0.2">
      <c r="A59">
        <v>35</v>
      </c>
      <c r="B59">
        <v>0.43039763633380967</v>
      </c>
      <c r="C59">
        <v>-0.43039763633380967</v>
      </c>
      <c r="D59">
        <v>-0.90231082674955776</v>
      </c>
      <c r="F59">
        <v>6.927710843373494</v>
      </c>
      <c r="G59">
        <v>0</v>
      </c>
    </row>
    <row r="60" spans="1:7" x14ac:dyDescent="0.2">
      <c r="A60">
        <v>36</v>
      </c>
      <c r="B60">
        <v>0.33505513786772889</v>
      </c>
      <c r="C60">
        <v>0.66494486213227111</v>
      </c>
      <c r="D60">
        <v>1.3940293757284945</v>
      </c>
      <c r="F60">
        <v>7.1285140562249003</v>
      </c>
      <c r="G60">
        <v>0</v>
      </c>
    </row>
    <row r="61" spans="1:7" x14ac:dyDescent="0.2">
      <c r="A61">
        <v>37</v>
      </c>
      <c r="B61">
        <v>0.33680308793207797</v>
      </c>
      <c r="C61">
        <v>-0.33680308793207797</v>
      </c>
      <c r="D61">
        <v>-0.70609373070091952</v>
      </c>
      <c r="F61">
        <v>7.3293172690763058</v>
      </c>
      <c r="G61">
        <v>0</v>
      </c>
    </row>
    <row r="62" spans="1:7" x14ac:dyDescent="0.2">
      <c r="A62">
        <v>38</v>
      </c>
      <c r="B62">
        <v>0.35799229741096827</v>
      </c>
      <c r="C62">
        <v>-0.35799229741096827</v>
      </c>
      <c r="D62">
        <v>-0.75051603117154397</v>
      </c>
      <c r="F62">
        <v>7.5301204819277112</v>
      </c>
      <c r="G62">
        <v>0</v>
      </c>
    </row>
    <row r="63" spans="1:7" x14ac:dyDescent="0.2">
      <c r="A63">
        <v>39</v>
      </c>
      <c r="B63">
        <v>0.34360003264502009</v>
      </c>
      <c r="C63">
        <v>0.65639996735497985</v>
      </c>
      <c r="D63">
        <v>1.3761153575738831</v>
      </c>
      <c r="F63">
        <v>7.7309236947791167</v>
      </c>
      <c r="G63">
        <v>0</v>
      </c>
    </row>
    <row r="64" spans="1:7" x14ac:dyDescent="0.2">
      <c r="A64">
        <v>40</v>
      </c>
      <c r="B64">
        <v>0.33983772346046176</v>
      </c>
      <c r="C64">
        <v>-0.33983772346046176</v>
      </c>
      <c r="D64">
        <v>-0.7124557184567627</v>
      </c>
      <c r="F64">
        <v>7.9317269076305221</v>
      </c>
      <c r="G64">
        <v>0</v>
      </c>
    </row>
    <row r="65" spans="1:7" x14ac:dyDescent="0.2">
      <c r="A65">
        <v>41</v>
      </c>
      <c r="B65">
        <v>0.36438100378651311</v>
      </c>
      <c r="C65">
        <v>-0.36438100378651311</v>
      </c>
      <c r="D65">
        <v>-0.76390968960489825</v>
      </c>
      <c r="F65">
        <v>8.1325301204819276</v>
      </c>
      <c r="G65">
        <v>0</v>
      </c>
    </row>
    <row r="66" spans="1:7" x14ac:dyDescent="0.2">
      <c r="A66">
        <v>42</v>
      </c>
      <c r="B66">
        <v>0.33647470842437494</v>
      </c>
      <c r="C66">
        <v>-0.33647470842437494</v>
      </c>
      <c r="D66">
        <v>-0.705405296657445</v>
      </c>
      <c r="F66">
        <v>8.3333333333333321</v>
      </c>
      <c r="G66">
        <v>0</v>
      </c>
    </row>
    <row r="67" spans="1:7" x14ac:dyDescent="0.2">
      <c r="A67">
        <v>43</v>
      </c>
      <c r="B67">
        <v>0.40820582586771714</v>
      </c>
      <c r="C67">
        <v>0.59179417413228286</v>
      </c>
      <c r="D67">
        <v>1.2406719866665894</v>
      </c>
      <c r="F67">
        <v>8.5341365461847385</v>
      </c>
      <c r="G67">
        <v>0</v>
      </c>
    </row>
    <row r="68" spans="1:7" x14ac:dyDescent="0.2">
      <c r="A68">
        <v>44</v>
      </c>
      <c r="B68">
        <v>0.33643935758243027</v>
      </c>
      <c r="C68">
        <v>0.66356064241756973</v>
      </c>
      <c r="D68">
        <v>1.3911274164012677</v>
      </c>
      <c r="F68">
        <v>8.7349397590361448</v>
      </c>
      <c r="G68">
        <v>0</v>
      </c>
    </row>
    <row r="69" spans="1:7" x14ac:dyDescent="0.2">
      <c r="A69">
        <v>45</v>
      </c>
      <c r="B69">
        <v>0.33680308793207797</v>
      </c>
      <c r="C69">
        <v>-0.33680308793207797</v>
      </c>
      <c r="D69">
        <v>-0.70609373070091952</v>
      </c>
      <c r="F69">
        <v>8.9357429718875494</v>
      </c>
      <c r="G69">
        <v>0</v>
      </c>
    </row>
    <row r="70" spans="1:7" x14ac:dyDescent="0.2">
      <c r="A70">
        <v>46</v>
      </c>
      <c r="B70">
        <v>0.3526683754313476</v>
      </c>
      <c r="C70">
        <v>-0.3526683754313476</v>
      </c>
      <c r="D70">
        <v>-0.73935464914374893</v>
      </c>
      <c r="F70">
        <v>9.1365461847389557</v>
      </c>
      <c r="G70">
        <v>0</v>
      </c>
    </row>
    <row r="71" spans="1:7" x14ac:dyDescent="0.2">
      <c r="A71">
        <v>47</v>
      </c>
      <c r="B71">
        <v>0.3361642172945235</v>
      </c>
      <c r="C71">
        <v>0.6638357827054765</v>
      </c>
      <c r="D71">
        <v>1.3917042366244641</v>
      </c>
      <c r="F71">
        <v>9.3373493975903603</v>
      </c>
      <c r="G71">
        <v>0</v>
      </c>
    </row>
    <row r="72" spans="1:7" x14ac:dyDescent="0.2">
      <c r="A72">
        <v>48</v>
      </c>
      <c r="B72">
        <v>0.36582740690993648</v>
      </c>
      <c r="C72">
        <v>-0.36582740690993648</v>
      </c>
      <c r="D72">
        <v>-0.76694201387420957</v>
      </c>
      <c r="F72">
        <v>9.5381526104417667</v>
      </c>
      <c r="G72">
        <v>0</v>
      </c>
    </row>
    <row r="73" spans="1:7" x14ac:dyDescent="0.2">
      <c r="A73">
        <v>49</v>
      </c>
      <c r="B73">
        <v>0.35756638365259863</v>
      </c>
      <c r="C73">
        <v>-0.35756638365259863</v>
      </c>
      <c r="D73">
        <v>-0.74962312060932046</v>
      </c>
      <c r="F73">
        <v>9.7389558232931712</v>
      </c>
      <c r="G73">
        <v>0</v>
      </c>
    </row>
    <row r="74" spans="1:7" x14ac:dyDescent="0.2">
      <c r="A74">
        <v>50</v>
      </c>
      <c r="B74">
        <v>0.40417732058417777</v>
      </c>
      <c r="C74">
        <v>-0.40417732058417777</v>
      </c>
      <c r="D74">
        <v>-0.84734102026266678</v>
      </c>
      <c r="F74">
        <v>9.9397590361445776</v>
      </c>
      <c r="G74">
        <v>0</v>
      </c>
    </row>
    <row r="75" spans="1:7" x14ac:dyDescent="0.2">
      <c r="A75">
        <v>51</v>
      </c>
      <c r="B75">
        <v>0.33627069573411589</v>
      </c>
      <c r="C75">
        <v>-0.33627069573411589</v>
      </c>
      <c r="D75">
        <v>-0.70497759249813996</v>
      </c>
      <c r="F75">
        <v>10.140562248995984</v>
      </c>
      <c r="G75">
        <v>0</v>
      </c>
    </row>
    <row r="76" spans="1:7" x14ac:dyDescent="0.2">
      <c r="A76">
        <v>52</v>
      </c>
      <c r="B76">
        <v>0.48306016890118403</v>
      </c>
      <c r="C76">
        <v>0.51693983109881603</v>
      </c>
      <c r="D76">
        <v>1.08374295535579</v>
      </c>
      <c r="F76">
        <v>10.341365461847388</v>
      </c>
      <c r="G76">
        <v>0</v>
      </c>
    </row>
    <row r="77" spans="1:7" x14ac:dyDescent="0.2">
      <c r="A77">
        <v>53</v>
      </c>
      <c r="B77">
        <v>0.37502884774575451</v>
      </c>
      <c r="C77">
        <v>0.62497115225424549</v>
      </c>
      <c r="D77">
        <v>1.3102261478215598</v>
      </c>
      <c r="F77">
        <v>10.542168674698795</v>
      </c>
      <c r="G77">
        <v>0</v>
      </c>
    </row>
    <row r="78" spans="1:7" x14ac:dyDescent="0.2">
      <c r="A78">
        <v>54</v>
      </c>
      <c r="B78">
        <v>0.45164902922142192</v>
      </c>
      <c r="C78">
        <v>-0.45164902922142192</v>
      </c>
      <c r="D78">
        <v>-0.94686349216226695</v>
      </c>
      <c r="F78">
        <v>10.742971887550199</v>
      </c>
      <c r="G78">
        <v>0</v>
      </c>
    </row>
    <row r="79" spans="1:7" x14ac:dyDescent="0.2">
      <c r="A79">
        <v>55</v>
      </c>
      <c r="B79">
        <v>0.39525975126831314</v>
      </c>
      <c r="C79">
        <v>0.60474024873168686</v>
      </c>
      <c r="D79">
        <v>1.2678128961159383</v>
      </c>
      <c r="F79">
        <v>10.943775100401606</v>
      </c>
      <c r="G79">
        <v>0</v>
      </c>
    </row>
    <row r="80" spans="1:7" x14ac:dyDescent="0.2">
      <c r="A80">
        <v>56</v>
      </c>
      <c r="B80">
        <v>0.34202053147210626</v>
      </c>
      <c r="C80">
        <v>0.65797946852789368</v>
      </c>
      <c r="D80">
        <v>1.3794267163938894</v>
      </c>
      <c r="F80">
        <v>11.144578313253012</v>
      </c>
      <c r="G80">
        <v>0</v>
      </c>
    </row>
    <row r="81" spans="1:7" x14ac:dyDescent="0.2">
      <c r="A81">
        <v>57</v>
      </c>
      <c r="B81">
        <v>0.33505513786772889</v>
      </c>
      <c r="C81">
        <v>-0.33505513786772889</v>
      </c>
      <c r="D81">
        <v>-0.70242922575355371</v>
      </c>
      <c r="F81">
        <v>11.345381526104417</v>
      </c>
      <c r="G81">
        <v>0</v>
      </c>
    </row>
    <row r="82" spans="1:7" x14ac:dyDescent="0.2">
      <c r="A82">
        <v>58</v>
      </c>
      <c r="B82">
        <v>0.37875559313148899</v>
      </c>
      <c r="C82">
        <v>0.62124440686851101</v>
      </c>
      <c r="D82">
        <v>1.3024131804021031</v>
      </c>
      <c r="F82">
        <v>11.546184738955823</v>
      </c>
      <c r="G82">
        <v>0</v>
      </c>
    </row>
    <row r="83" spans="1:7" x14ac:dyDescent="0.2">
      <c r="A83">
        <v>59</v>
      </c>
      <c r="B83">
        <v>0.41953683549538345</v>
      </c>
      <c r="C83">
        <v>-0.41953683549538345</v>
      </c>
      <c r="D83">
        <v>-0.8795416074128557</v>
      </c>
      <c r="F83">
        <v>11.746987951807228</v>
      </c>
      <c r="G83">
        <v>0</v>
      </c>
    </row>
    <row r="84" spans="1:7" x14ac:dyDescent="0.2">
      <c r="A84">
        <v>60</v>
      </c>
      <c r="B84">
        <v>0.33505513786772889</v>
      </c>
      <c r="C84">
        <v>-0.33505513786772889</v>
      </c>
      <c r="D84">
        <v>-0.70242922575355371</v>
      </c>
      <c r="F84">
        <v>11.947791164658634</v>
      </c>
      <c r="G84">
        <v>0</v>
      </c>
    </row>
    <row r="85" spans="1:7" x14ac:dyDescent="0.2">
      <c r="A85">
        <v>61</v>
      </c>
      <c r="B85">
        <v>0.49002556250556134</v>
      </c>
      <c r="C85">
        <v>0.5099744374944386</v>
      </c>
      <c r="D85">
        <v>1.0691402960211849</v>
      </c>
      <c r="F85">
        <v>12.14859437751004</v>
      </c>
      <c r="G85">
        <v>0</v>
      </c>
    </row>
    <row r="86" spans="1:7" x14ac:dyDescent="0.2">
      <c r="A86">
        <v>62</v>
      </c>
      <c r="B86">
        <v>0.49742581405723407</v>
      </c>
      <c r="C86">
        <v>-0.49742581405723407</v>
      </c>
      <c r="D86">
        <v>-1.0428326264794983</v>
      </c>
      <c r="F86">
        <v>12.349397590361445</v>
      </c>
      <c r="G86">
        <v>0</v>
      </c>
    </row>
    <row r="87" spans="1:7" x14ac:dyDescent="0.2">
      <c r="A87">
        <v>63</v>
      </c>
      <c r="B87">
        <v>0.37907502845026619</v>
      </c>
      <c r="C87">
        <v>-0.37907502845026619</v>
      </c>
      <c r="D87">
        <v>-0.79471510400161272</v>
      </c>
      <c r="F87">
        <v>12.550200803212851</v>
      </c>
      <c r="G87">
        <v>0</v>
      </c>
    </row>
    <row r="88" spans="1:7" x14ac:dyDescent="0.2">
      <c r="A88">
        <v>64</v>
      </c>
      <c r="B88">
        <v>0.37869340972276699</v>
      </c>
      <c r="C88">
        <v>-0.37869340972276699</v>
      </c>
      <c r="D88">
        <v>-0.7939150561378604</v>
      </c>
      <c r="F88">
        <v>12.751004016064256</v>
      </c>
      <c r="G88">
        <v>0</v>
      </c>
    </row>
    <row r="89" spans="1:7" x14ac:dyDescent="0.2">
      <c r="A89">
        <v>65</v>
      </c>
      <c r="B89">
        <v>0.3521270390444598</v>
      </c>
      <c r="C89">
        <v>0.64787296095554026</v>
      </c>
      <c r="D89">
        <v>1.3582388416628854</v>
      </c>
      <c r="F89">
        <v>12.951807228915662</v>
      </c>
      <c r="G89">
        <v>0</v>
      </c>
    </row>
    <row r="90" spans="1:7" x14ac:dyDescent="0.2">
      <c r="A90">
        <v>66</v>
      </c>
      <c r="B90">
        <v>0.34202053147210626</v>
      </c>
      <c r="C90">
        <v>0.65797946852789368</v>
      </c>
      <c r="D90">
        <v>1.3794267163938894</v>
      </c>
      <c r="F90">
        <v>13.152610441767068</v>
      </c>
      <c r="G90">
        <v>0</v>
      </c>
    </row>
    <row r="91" spans="1:7" x14ac:dyDescent="0.2">
      <c r="A91">
        <v>67</v>
      </c>
      <c r="B91">
        <v>0.33703372023223516</v>
      </c>
      <c r="C91">
        <v>-0.33703372023223516</v>
      </c>
      <c r="D91">
        <v>-0.70657724177036363</v>
      </c>
      <c r="F91">
        <v>13.353413654618473</v>
      </c>
      <c r="G91">
        <v>0</v>
      </c>
    </row>
    <row r="92" spans="1:7" x14ac:dyDescent="0.2">
      <c r="A92">
        <v>68</v>
      </c>
      <c r="B92">
        <v>0.33653689183309693</v>
      </c>
      <c r="C92">
        <v>0.66346310816690313</v>
      </c>
      <c r="D92">
        <v>1.3909229398825187</v>
      </c>
      <c r="F92">
        <v>13.554216867469879</v>
      </c>
      <c r="G92">
        <v>0</v>
      </c>
    </row>
    <row r="93" spans="1:7" x14ac:dyDescent="0.2">
      <c r="A93">
        <v>69</v>
      </c>
      <c r="B93">
        <v>0.33810744881708504</v>
      </c>
      <c r="C93">
        <v>-0.33810744881708504</v>
      </c>
      <c r="D93">
        <v>-0.70882826929772935</v>
      </c>
      <c r="F93">
        <v>13.755020080321284</v>
      </c>
      <c r="G93">
        <v>0</v>
      </c>
    </row>
    <row r="94" spans="1:7" x14ac:dyDescent="0.2">
      <c r="A94">
        <v>70</v>
      </c>
      <c r="B94">
        <v>0.34202053147210626</v>
      </c>
      <c r="C94">
        <v>-0.34202053147210626</v>
      </c>
      <c r="D94">
        <v>-0.71703188508815874</v>
      </c>
      <c r="F94">
        <v>13.95582329317269</v>
      </c>
      <c r="G94">
        <v>0</v>
      </c>
    </row>
    <row r="95" spans="1:7" x14ac:dyDescent="0.2">
      <c r="A95">
        <v>71</v>
      </c>
      <c r="B95">
        <v>0.41953683549538345</v>
      </c>
      <c r="C95">
        <v>-0.41953683549538345</v>
      </c>
      <c r="D95">
        <v>-0.8795416074128557</v>
      </c>
      <c r="F95">
        <v>14.156626506024097</v>
      </c>
      <c r="G95">
        <v>0</v>
      </c>
    </row>
    <row r="96" spans="1:7" x14ac:dyDescent="0.2">
      <c r="A96">
        <v>72</v>
      </c>
      <c r="B96">
        <v>0.47618336535854755</v>
      </c>
      <c r="C96">
        <v>-0.47618336535854755</v>
      </c>
      <c r="D96">
        <v>-0.99829871218859578</v>
      </c>
      <c r="F96">
        <v>14.357429718875501</v>
      </c>
      <c r="G96">
        <v>0</v>
      </c>
    </row>
    <row r="97" spans="1:7" x14ac:dyDescent="0.2">
      <c r="A97">
        <v>73</v>
      </c>
      <c r="B97">
        <v>0.35044127238883271</v>
      </c>
      <c r="C97">
        <v>-0.35044127238883271</v>
      </c>
      <c r="D97">
        <v>-0.7346856198138817</v>
      </c>
      <c r="F97">
        <v>14.558232931726907</v>
      </c>
      <c r="G97">
        <v>0</v>
      </c>
    </row>
    <row r="98" spans="1:7" x14ac:dyDescent="0.2">
      <c r="A98">
        <v>74</v>
      </c>
      <c r="B98">
        <v>0.43997175170820113</v>
      </c>
      <c r="C98">
        <v>0.56002824829179887</v>
      </c>
      <c r="D98">
        <v>1.1740760382042659</v>
      </c>
      <c r="F98">
        <v>14.759036144578312</v>
      </c>
      <c r="G98">
        <v>0</v>
      </c>
    </row>
    <row r="99" spans="1:7" x14ac:dyDescent="0.2">
      <c r="A99">
        <v>75</v>
      </c>
      <c r="B99">
        <v>0.33595126041533863</v>
      </c>
      <c r="C99">
        <v>-0.33595126041533863</v>
      </c>
      <c r="D99">
        <v>-0.70430790957647216</v>
      </c>
      <c r="F99">
        <v>14.959839357429718</v>
      </c>
      <c r="G99">
        <v>0</v>
      </c>
    </row>
    <row r="100" spans="1:7" x14ac:dyDescent="0.2">
      <c r="A100">
        <v>76</v>
      </c>
      <c r="B100">
        <v>0.33647470842437494</v>
      </c>
      <c r="C100">
        <v>-0.33647470842437494</v>
      </c>
      <c r="D100">
        <v>-0.705405296657445</v>
      </c>
      <c r="F100">
        <v>15.160642570281125</v>
      </c>
      <c r="G100">
        <v>0</v>
      </c>
    </row>
    <row r="101" spans="1:7" x14ac:dyDescent="0.2">
      <c r="A101">
        <v>77</v>
      </c>
      <c r="B101">
        <v>0.33680308793207797</v>
      </c>
      <c r="C101">
        <v>-0.33680308793207797</v>
      </c>
      <c r="D101">
        <v>-0.70609373070091952</v>
      </c>
      <c r="F101">
        <v>15.361445783132529</v>
      </c>
      <c r="G101">
        <v>0</v>
      </c>
    </row>
    <row r="102" spans="1:7" x14ac:dyDescent="0.2">
      <c r="A102">
        <v>78</v>
      </c>
      <c r="B102">
        <v>0.3814175541212993</v>
      </c>
      <c r="C102">
        <v>0.6185824458787007</v>
      </c>
      <c r="D102">
        <v>1.2968324893882057</v>
      </c>
      <c r="F102">
        <v>15.562248995983936</v>
      </c>
      <c r="G102">
        <v>0</v>
      </c>
    </row>
    <row r="103" spans="1:7" x14ac:dyDescent="0.2">
      <c r="A103">
        <v>79</v>
      </c>
      <c r="B103">
        <v>0.3462264298360066</v>
      </c>
      <c r="C103">
        <v>0.6537735701639934</v>
      </c>
      <c r="D103">
        <v>1.3706092245919312</v>
      </c>
      <c r="F103">
        <v>15.76305220883534</v>
      </c>
      <c r="G103">
        <v>0</v>
      </c>
    </row>
    <row r="104" spans="1:7" x14ac:dyDescent="0.2">
      <c r="A104">
        <v>80</v>
      </c>
      <c r="B104">
        <v>0.33882617828433381</v>
      </c>
      <c r="C104">
        <v>-0.33882617828433381</v>
      </c>
      <c r="D104">
        <v>-0.7103350558714816</v>
      </c>
      <c r="F104">
        <v>15.963855421686747</v>
      </c>
      <c r="G104">
        <v>0</v>
      </c>
    </row>
    <row r="105" spans="1:7" x14ac:dyDescent="0.2">
      <c r="A105">
        <v>81</v>
      </c>
      <c r="B105">
        <v>0.33989096268025798</v>
      </c>
      <c r="C105">
        <v>0.66010903731974202</v>
      </c>
      <c r="D105">
        <v>1.3838912692050076</v>
      </c>
      <c r="F105">
        <v>16.164658634538153</v>
      </c>
      <c r="G105">
        <v>0</v>
      </c>
    </row>
    <row r="106" spans="1:7" x14ac:dyDescent="0.2">
      <c r="A106">
        <v>82</v>
      </c>
      <c r="B106">
        <v>0.33624407612421781</v>
      </c>
      <c r="C106">
        <v>0.66375592387578219</v>
      </c>
      <c r="D106">
        <v>1.3915368158940471</v>
      </c>
      <c r="F106">
        <v>16.365461847389557</v>
      </c>
      <c r="G106">
        <v>0</v>
      </c>
    </row>
    <row r="107" spans="1:7" x14ac:dyDescent="0.2">
      <c r="A107">
        <v>83</v>
      </c>
      <c r="B107">
        <v>0.4199627492537531</v>
      </c>
      <c r="C107">
        <v>-0.4199627492537531</v>
      </c>
      <c r="D107">
        <v>-0.88043451797507932</v>
      </c>
      <c r="F107">
        <v>16.566265060240962</v>
      </c>
      <c r="G107">
        <v>0</v>
      </c>
    </row>
    <row r="108" spans="1:7" x14ac:dyDescent="0.2">
      <c r="A108">
        <v>84</v>
      </c>
      <c r="B108">
        <v>0.34202053147210626</v>
      </c>
      <c r="C108">
        <v>0.65797946852789368</v>
      </c>
      <c r="D108">
        <v>1.3794267163938894</v>
      </c>
      <c r="F108">
        <v>16.76706827309237</v>
      </c>
      <c r="G108">
        <v>0</v>
      </c>
    </row>
    <row r="109" spans="1:7" x14ac:dyDescent="0.2">
      <c r="A109">
        <v>85</v>
      </c>
      <c r="B109">
        <v>0.35341372450849451</v>
      </c>
      <c r="C109">
        <v>0.64658627549150549</v>
      </c>
      <c r="D109">
        <v>1.3555413588544079</v>
      </c>
      <c r="F109">
        <v>16.967871485943775</v>
      </c>
      <c r="G109">
        <v>0</v>
      </c>
    </row>
    <row r="110" spans="1:7" x14ac:dyDescent="0.2">
      <c r="A110">
        <v>86</v>
      </c>
      <c r="B110">
        <v>0.39286398637748382</v>
      </c>
      <c r="C110">
        <v>-0.39286398637748382</v>
      </c>
      <c r="D110">
        <v>-0.82362308345360213</v>
      </c>
      <c r="F110">
        <v>17.168674698795179</v>
      </c>
      <c r="G110">
        <v>0</v>
      </c>
    </row>
    <row r="111" spans="1:7" x14ac:dyDescent="0.2">
      <c r="A111">
        <v>87</v>
      </c>
      <c r="B111">
        <v>0.33680308793207797</v>
      </c>
      <c r="C111">
        <v>-0.33680308793207797</v>
      </c>
      <c r="D111">
        <v>-0.70609373070091952</v>
      </c>
      <c r="F111">
        <v>17.369477911646587</v>
      </c>
      <c r="G111">
        <v>0</v>
      </c>
    </row>
    <row r="112" spans="1:7" x14ac:dyDescent="0.2">
      <c r="A112">
        <v>88</v>
      </c>
      <c r="B112">
        <v>0.87973665141379565</v>
      </c>
      <c r="C112">
        <v>0.12026334858620435</v>
      </c>
      <c r="D112">
        <v>0.25212713158658207</v>
      </c>
      <c r="F112">
        <v>17.570281124497992</v>
      </c>
      <c r="G112">
        <v>0</v>
      </c>
    </row>
    <row r="113" spans="1:7" x14ac:dyDescent="0.2">
      <c r="A113">
        <v>89</v>
      </c>
      <c r="B113">
        <v>0.33680308793207797</v>
      </c>
      <c r="C113">
        <v>-0.33680308793207797</v>
      </c>
      <c r="D113">
        <v>-0.70609373070091952</v>
      </c>
      <c r="F113">
        <v>17.771084337349397</v>
      </c>
      <c r="G113">
        <v>0</v>
      </c>
    </row>
    <row r="114" spans="1:7" x14ac:dyDescent="0.2">
      <c r="A114">
        <v>90</v>
      </c>
      <c r="B114">
        <v>0.33680308793207797</v>
      </c>
      <c r="C114">
        <v>-0.33680308793207797</v>
      </c>
      <c r="D114">
        <v>-0.70609373070091952</v>
      </c>
      <c r="F114">
        <v>17.971887550200801</v>
      </c>
      <c r="G114">
        <v>0</v>
      </c>
    </row>
    <row r="115" spans="1:7" x14ac:dyDescent="0.2">
      <c r="A115">
        <v>91</v>
      </c>
      <c r="B115">
        <v>0.33638611836263405</v>
      </c>
      <c r="C115">
        <v>-0.33638611836263405</v>
      </c>
      <c r="D115">
        <v>-0.7052195712605025</v>
      </c>
      <c r="F115">
        <v>18.172690763052209</v>
      </c>
      <c r="G115">
        <v>0</v>
      </c>
    </row>
    <row r="116" spans="1:7" x14ac:dyDescent="0.2">
      <c r="A116">
        <v>92</v>
      </c>
      <c r="B116">
        <v>0.44993642999901756</v>
      </c>
      <c r="C116">
        <v>-0.44993642999901756</v>
      </c>
      <c r="D116">
        <v>-0.94327309879156584</v>
      </c>
      <c r="F116">
        <v>18.373493975903614</v>
      </c>
      <c r="G116">
        <v>0</v>
      </c>
    </row>
    <row r="117" spans="1:7" x14ac:dyDescent="0.2">
      <c r="A117">
        <v>93</v>
      </c>
      <c r="B117">
        <v>0.3634759370499776</v>
      </c>
      <c r="C117">
        <v>-0.3634759370499776</v>
      </c>
      <c r="D117">
        <v>-0.76201225466017308</v>
      </c>
      <c r="F117">
        <v>18.574297188755018</v>
      </c>
      <c r="G117">
        <v>0</v>
      </c>
    </row>
    <row r="118" spans="1:7" x14ac:dyDescent="0.2">
      <c r="A118">
        <v>94</v>
      </c>
      <c r="B118">
        <v>0.33509943289859934</v>
      </c>
      <c r="C118">
        <v>-0.33509943289859934</v>
      </c>
      <c r="D118">
        <v>-0.70252208845202502</v>
      </c>
      <c r="F118">
        <v>18.775100401606426</v>
      </c>
      <c r="G118">
        <v>0</v>
      </c>
    </row>
    <row r="119" spans="1:7" x14ac:dyDescent="0.2">
      <c r="A119">
        <v>95</v>
      </c>
      <c r="B119">
        <v>0.33680308793207797</v>
      </c>
      <c r="C119">
        <v>-0.33680308793207797</v>
      </c>
      <c r="D119">
        <v>-0.70609373070091952</v>
      </c>
      <c r="F119">
        <v>18.975903614457831</v>
      </c>
      <c r="G119">
        <v>0</v>
      </c>
    </row>
    <row r="120" spans="1:7" x14ac:dyDescent="0.2">
      <c r="A120">
        <v>96</v>
      </c>
      <c r="B120">
        <v>0.39345856198416784</v>
      </c>
      <c r="C120">
        <v>-0.39345856198416784</v>
      </c>
      <c r="D120">
        <v>-0.82486958659846632</v>
      </c>
      <c r="F120">
        <v>19.176706827309236</v>
      </c>
      <c r="G120">
        <v>0</v>
      </c>
    </row>
    <row r="121" spans="1:7" x14ac:dyDescent="0.2">
      <c r="A121">
        <v>97</v>
      </c>
      <c r="B121">
        <v>0.45458591754225991</v>
      </c>
      <c r="C121">
        <v>0.54541408245774003</v>
      </c>
      <c r="D121">
        <v>1.1434380445379682</v>
      </c>
      <c r="F121">
        <v>19.37751004016064</v>
      </c>
      <c r="G121">
        <v>0</v>
      </c>
    </row>
    <row r="122" spans="1:7" x14ac:dyDescent="0.2">
      <c r="A122">
        <v>98</v>
      </c>
      <c r="B122">
        <v>0.36864014137020967</v>
      </c>
      <c r="C122">
        <v>0.63135985862979038</v>
      </c>
      <c r="D122">
        <v>1.323619806254914</v>
      </c>
      <c r="F122">
        <v>19.578313253012048</v>
      </c>
      <c r="G122">
        <v>0</v>
      </c>
    </row>
    <row r="123" spans="1:7" x14ac:dyDescent="0.2">
      <c r="A123">
        <v>99</v>
      </c>
      <c r="B123">
        <v>0.37502884774575451</v>
      </c>
      <c r="C123">
        <v>-0.37502884774575451</v>
      </c>
      <c r="D123">
        <v>-0.78623245366048844</v>
      </c>
      <c r="F123">
        <v>19.779116465863453</v>
      </c>
      <c r="G123">
        <v>0</v>
      </c>
    </row>
    <row r="124" spans="1:7" x14ac:dyDescent="0.2">
      <c r="A124">
        <v>100</v>
      </c>
      <c r="B124">
        <v>0.33647470842437494</v>
      </c>
      <c r="C124">
        <v>-0.33647470842437494</v>
      </c>
      <c r="D124">
        <v>-0.705405296657445</v>
      </c>
      <c r="F124">
        <v>19.979919678714857</v>
      </c>
      <c r="G124">
        <v>0</v>
      </c>
    </row>
    <row r="125" spans="1:7" x14ac:dyDescent="0.2">
      <c r="A125">
        <v>101</v>
      </c>
      <c r="B125">
        <v>0.33647470842437494</v>
      </c>
      <c r="C125">
        <v>-0.33647470842437494</v>
      </c>
      <c r="D125">
        <v>-0.705405296657445</v>
      </c>
      <c r="F125">
        <v>20.180722891566266</v>
      </c>
      <c r="G125">
        <v>0</v>
      </c>
    </row>
    <row r="126" spans="1:7" x14ac:dyDescent="0.2">
      <c r="A126">
        <v>102</v>
      </c>
      <c r="B126">
        <v>0.48424910715767289</v>
      </c>
      <c r="C126">
        <v>-0.48424910715767289</v>
      </c>
      <c r="D126">
        <v>-1.0152082059607055</v>
      </c>
      <c r="F126">
        <v>20.38152610441767</v>
      </c>
      <c r="G126">
        <v>0</v>
      </c>
    </row>
    <row r="127" spans="1:7" x14ac:dyDescent="0.2">
      <c r="A127">
        <v>103</v>
      </c>
      <c r="B127">
        <v>0.33808977339611268</v>
      </c>
      <c r="C127">
        <v>-0.33808977339611268</v>
      </c>
      <c r="D127">
        <v>-0.708791213509397</v>
      </c>
      <c r="F127">
        <v>20.582329317269075</v>
      </c>
      <c r="G127">
        <v>0</v>
      </c>
    </row>
    <row r="128" spans="1:7" x14ac:dyDescent="0.2">
      <c r="A128">
        <v>104</v>
      </c>
      <c r="B128">
        <v>0.33653689183309693</v>
      </c>
      <c r="C128">
        <v>-0.33653689183309693</v>
      </c>
      <c r="D128">
        <v>-0.70553566159952974</v>
      </c>
      <c r="F128">
        <v>20.783132530120483</v>
      </c>
      <c r="G128">
        <v>0</v>
      </c>
    </row>
    <row r="129" spans="1:7" x14ac:dyDescent="0.2">
      <c r="A129">
        <v>105</v>
      </c>
      <c r="B129">
        <v>0.33647470842437494</v>
      </c>
      <c r="C129">
        <v>-0.33647470842437494</v>
      </c>
      <c r="D129">
        <v>-0.705405296657445</v>
      </c>
      <c r="F129">
        <v>20.983935742971887</v>
      </c>
      <c r="G129">
        <v>0</v>
      </c>
    </row>
    <row r="130" spans="1:7" x14ac:dyDescent="0.2">
      <c r="A130">
        <v>106</v>
      </c>
      <c r="B130">
        <v>0.33595126041533863</v>
      </c>
      <c r="C130">
        <v>0.66404873958466137</v>
      </c>
      <c r="D130">
        <v>1.3921506919055759</v>
      </c>
      <c r="F130">
        <v>21.184738955823292</v>
      </c>
      <c r="G130">
        <v>0</v>
      </c>
    </row>
    <row r="131" spans="1:7" x14ac:dyDescent="0.2">
      <c r="A131">
        <v>107</v>
      </c>
      <c r="B131">
        <v>0.33621745651431967</v>
      </c>
      <c r="C131">
        <v>0.66378254348568033</v>
      </c>
      <c r="D131">
        <v>1.3915926228041862</v>
      </c>
      <c r="F131">
        <v>21.385542168674696</v>
      </c>
      <c r="G131">
        <v>0</v>
      </c>
    </row>
    <row r="132" spans="1:7" x14ac:dyDescent="0.2">
      <c r="A132">
        <v>108</v>
      </c>
      <c r="B132">
        <v>0.33647470842437494</v>
      </c>
      <c r="C132">
        <v>-0.33647470842437494</v>
      </c>
      <c r="D132">
        <v>-0.705405296657445</v>
      </c>
      <c r="F132">
        <v>21.586345381526105</v>
      </c>
      <c r="G132">
        <v>0</v>
      </c>
    </row>
    <row r="133" spans="1:7" x14ac:dyDescent="0.2">
      <c r="A133">
        <v>109</v>
      </c>
      <c r="B133">
        <v>0.37108914548083516</v>
      </c>
      <c r="C133">
        <v>0.62891085451916484</v>
      </c>
      <c r="D133">
        <v>1.3184855705221281</v>
      </c>
      <c r="F133">
        <v>21.787148594377509</v>
      </c>
      <c r="G133">
        <v>0</v>
      </c>
    </row>
    <row r="134" spans="1:7" x14ac:dyDescent="0.2">
      <c r="A134">
        <v>110</v>
      </c>
      <c r="B134">
        <v>0.43039763633380967</v>
      </c>
      <c r="C134">
        <v>-0.43039763633380967</v>
      </c>
      <c r="D134">
        <v>-0.90231082674955776</v>
      </c>
      <c r="F134">
        <v>21.987951807228914</v>
      </c>
      <c r="G134">
        <v>0</v>
      </c>
    </row>
    <row r="135" spans="1:7" x14ac:dyDescent="0.2">
      <c r="A135">
        <v>111</v>
      </c>
      <c r="B135">
        <v>0.35044127238883271</v>
      </c>
      <c r="C135">
        <v>-0.35044127238883271</v>
      </c>
      <c r="D135">
        <v>-0.7346856198138817</v>
      </c>
      <c r="F135">
        <v>22.188755020080322</v>
      </c>
      <c r="G135">
        <v>0</v>
      </c>
    </row>
    <row r="136" spans="1:7" x14ac:dyDescent="0.2">
      <c r="A136">
        <v>112</v>
      </c>
      <c r="B136">
        <v>0.33680308793207797</v>
      </c>
      <c r="C136">
        <v>-0.33680308793207797</v>
      </c>
      <c r="D136">
        <v>-0.70609373070091952</v>
      </c>
      <c r="F136">
        <v>22.389558232931726</v>
      </c>
      <c r="G136">
        <v>0</v>
      </c>
    </row>
    <row r="137" spans="1:7" x14ac:dyDescent="0.2">
      <c r="A137">
        <v>113</v>
      </c>
      <c r="B137">
        <v>0.34058307253760867</v>
      </c>
      <c r="C137">
        <v>-0.34058307253760867</v>
      </c>
      <c r="D137">
        <v>-0.71401831194065402</v>
      </c>
      <c r="F137">
        <v>22.590361445783131</v>
      </c>
      <c r="G137">
        <v>0</v>
      </c>
    </row>
    <row r="138" spans="1:7" x14ac:dyDescent="0.2">
      <c r="A138">
        <v>114</v>
      </c>
      <c r="B138">
        <v>0.35045000362087925</v>
      </c>
      <c r="C138">
        <v>-0.35045000362087925</v>
      </c>
      <c r="D138">
        <v>-0.73470392448040722</v>
      </c>
      <c r="F138">
        <v>22.791164658634539</v>
      </c>
      <c r="G138">
        <v>0</v>
      </c>
    </row>
    <row r="139" spans="1:7" x14ac:dyDescent="0.2">
      <c r="A139">
        <v>115</v>
      </c>
      <c r="B139">
        <v>0.33653689183309693</v>
      </c>
      <c r="C139">
        <v>-0.33653689183309693</v>
      </c>
      <c r="D139">
        <v>-0.70553566159952974</v>
      </c>
      <c r="F139">
        <v>22.991967871485944</v>
      </c>
      <c r="G139">
        <v>0</v>
      </c>
    </row>
    <row r="140" spans="1:7" x14ac:dyDescent="0.2">
      <c r="A140">
        <v>116</v>
      </c>
      <c r="B140">
        <v>0.3361642172945235</v>
      </c>
      <c r="C140">
        <v>-0.3361642172945235</v>
      </c>
      <c r="D140">
        <v>-0.70475436485758414</v>
      </c>
      <c r="F140">
        <v>23.192771084337348</v>
      </c>
      <c r="G140">
        <v>0</v>
      </c>
    </row>
    <row r="141" spans="1:7" x14ac:dyDescent="0.2">
      <c r="A141">
        <v>117</v>
      </c>
      <c r="B141">
        <v>0.36438100378651311</v>
      </c>
      <c r="C141">
        <v>-0.36438100378651311</v>
      </c>
      <c r="D141">
        <v>-0.76390968960489825</v>
      </c>
      <c r="F141">
        <v>23.393574297188753</v>
      </c>
      <c r="G141">
        <v>0</v>
      </c>
    </row>
    <row r="142" spans="1:7" x14ac:dyDescent="0.2">
      <c r="A142">
        <v>118</v>
      </c>
      <c r="B142">
        <v>0.84677263017101789</v>
      </c>
      <c r="C142">
        <v>-0.84677263017101789</v>
      </c>
      <c r="D142">
        <v>-1.7752237640216078</v>
      </c>
      <c r="F142">
        <v>23.594377510040161</v>
      </c>
      <c r="G142">
        <v>0</v>
      </c>
    </row>
    <row r="143" spans="1:7" x14ac:dyDescent="0.2">
      <c r="A143">
        <v>119</v>
      </c>
      <c r="B143">
        <v>0.38626232312275416</v>
      </c>
      <c r="C143">
        <v>-0.38626232312275416</v>
      </c>
      <c r="D143">
        <v>-0.80978296973913622</v>
      </c>
      <c r="F143">
        <v>23.795180722891565</v>
      </c>
      <c r="G143">
        <v>0</v>
      </c>
    </row>
    <row r="144" spans="1:7" x14ac:dyDescent="0.2">
      <c r="A144">
        <v>120</v>
      </c>
      <c r="B144">
        <v>0.47618336535854755</v>
      </c>
      <c r="C144">
        <v>-0.47618336535854755</v>
      </c>
      <c r="D144">
        <v>-0.99829871218859578</v>
      </c>
      <c r="F144">
        <v>23.99598393574297</v>
      </c>
      <c r="G144">
        <v>0</v>
      </c>
    </row>
    <row r="145" spans="1:7" x14ac:dyDescent="0.2">
      <c r="A145">
        <v>121</v>
      </c>
      <c r="B145">
        <v>0.33680308793207797</v>
      </c>
      <c r="C145">
        <v>-0.33680308793207797</v>
      </c>
      <c r="D145">
        <v>-0.70609373070091952</v>
      </c>
      <c r="F145">
        <v>24.196787148594378</v>
      </c>
      <c r="G145">
        <v>0</v>
      </c>
    </row>
    <row r="146" spans="1:7" x14ac:dyDescent="0.2">
      <c r="A146">
        <v>122</v>
      </c>
      <c r="B146">
        <v>0.38369789638361046</v>
      </c>
      <c r="C146">
        <v>-0.38369789638361046</v>
      </c>
      <c r="D146">
        <v>-0.80440675524398786</v>
      </c>
      <c r="F146">
        <v>24.397590361445783</v>
      </c>
      <c r="G146">
        <v>0</v>
      </c>
    </row>
    <row r="147" spans="1:7" x14ac:dyDescent="0.2">
      <c r="A147">
        <v>123</v>
      </c>
      <c r="B147">
        <v>0.34734445345172693</v>
      </c>
      <c r="C147">
        <v>0.65265554654827307</v>
      </c>
      <c r="D147">
        <v>1.3682653343660944</v>
      </c>
      <c r="F147">
        <v>24.598393574297187</v>
      </c>
      <c r="G147">
        <v>0</v>
      </c>
    </row>
    <row r="148" spans="1:7" x14ac:dyDescent="0.2">
      <c r="A148">
        <v>124</v>
      </c>
      <c r="B148">
        <v>0.48424910715767289</v>
      </c>
      <c r="C148">
        <v>-0.48424910715767289</v>
      </c>
      <c r="D148">
        <v>-1.0152082059607055</v>
      </c>
      <c r="F148">
        <v>24.799196787148595</v>
      </c>
      <c r="G148">
        <v>0</v>
      </c>
    </row>
    <row r="149" spans="1:7" x14ac:dyDescent="0.2">
      <c r="A149">
        <v>125</v>
      </c>
      <c r="B149">
        <v>0.34360003264502009</v>
      </c>
      <c r="C149">
        <v>0.65639996735497985</v>
      </c>
      <c r="D149">
        <v>1.3761153575738831</v>
      </c>
      <c r="F149">
        <v>25</v>
      </c>
      <c r="G149">
        <v>0</v>
      </c>
    </row>
    <row r="150" spans="1:7" x14ac:dyDescent="0.2">
      <c r="A150">
        <v>126</v>
      </c>
      <c r="B150">
        <v>0.3361642172945235</v>
      </c>
      <c r="C150">
        <v>-0.3361642172945235</v>
      </c>
      <c r="D150">
        <v>-0.70475436485758414</v>
      </c>
      <c r="F150">
        <v>25.200803212851405</v>
      </c>
      <c r="G150">
        <v>0</v>
      </c>
    </row>
    <row r="151" spans="1:7" x14ac:dyDescent="0.2">
      <c r="A151">
        <v>127</v>
      </c>
      <c r="B151">
        <v>0.33486880059844215</v>
      </c>
      <c r="C151">
        <v>0.66513119940155785</v>
      </c>
      <c r="D151">
        <v>1.3944200240994673</v>
      </c>
      <c r="F151">
        <v>25.401606425702809</v>
      </c>
      <c r="G151">
        <v>0</v>
      </c>
    </row>
    <row r="152" spans="1:7" x14ac:dyDescent="0.2">
      <c r="A152">
        <v>128</v>
      </c>
      <c r="B152">
        <v>0.36727359707648066</v>
      </c>
      <c r="C152">
        <v>0.63272640292351934</v>
      </c>
      <c r="D152">
        <v>1.3264847097938084</v>
      </c>
      <c r="F152">
        <v>25.602409638554217</v>
      </c>
      <c r="G152">
        <v>0</v>
      </c>
    </row>
    <row r="153" spans="1:7" x14ac:dyDescent="0.2">
      <c r="A153">
        <v>129</v>
      </c>
      <c r="B153">
        <v>0.33451380148084109</v>
      </c>
      <c r="C153">
        <v>-0.33451380148084109</v>
      </c>
      <c r="D153">
        <v>-0.70129433642896766</v>
      </c>
      <c r="F153">
        <v>25.803212851405622</v>
      </c>
      <c r="G153">
        <v>0</v>
      </c>
    </row>
    <row r="154" spans="1:7" x14ac:dyDescent="0.2">
      <c r="A154">
        <v>130</v>
      </c>
      <c r="B154">
        <v>0.33647470842437494</v>
      </c>
      <c r="C154">
        <v>-0.33647470842437494</v>
      </c>
      <c r="D154">
        <v>-0.705405296657445</v>
      </c>
      <c r="F154">
        <v>26.004016064257026</v>
      </c>
      <c r="G154">
        <v>0</v>
      </c>
    </row>
    <row r="155" spans="1:7" x14ac:dyDescent="0.2">
      <c r="A155">
        <v>131</v>
      </c>
      <c r="B155">
        <v>0.33467351914022969</v>
      </c>
      <c r="C155">
        <v>-0.33467351914022969</v>
      </c>
      <c r="D155">
        <v>-0.70162917788980139</v>
      </c>
      <c r="F155">
        <v>26.204819277108435</v>
      </c>
      <c r="G155">
        <v>0</v>
      </c>
    </row>
    <row r="156" spans="1:7" x14ac:dyDescent="0.2">
      <c r="A156">
        <v>132</v>
      </c>
      <c r="B156">
        <v>0.35053880663949932</v>
      </c>
      <c r="C156">
        <v>-0.35053880663949932</v>
      </c>
      <c r="D156">
        <v>-0.73489009633263092</v>
      </c>
      <c r="F156">
        <v>26.405622489959839</v>
      </c>
      <c r="G156">
        <v>0</v>
      </c>
    </row>
    <row r="157" spans="1:7" x14ac:dyDescent="0.2">
      <c r="A157">
        <v>133</v>
      </c>
      <c r="B157">
        <v>0.37502884774575451</v>
      </c>
      <c r="C157">
        <v>0.62497115225424549</v>
      </c>
      <c r="D157">
        <v>1.3102261478215598</v>
      </c>
      <c r="F157">
        <v>26.606425702811244</v>
      </c>
      <c r="G157">
        <v>0</v>
      </c>
    </row>
    <row r="158" spans="1:7" x14ac:dyDescent="0.2">
      <c r="A158">
        <v>134</v>
      </c>
      <c r="B158">
        <v>0.34734445345172693</v>
      </c>
      <c r="C158">
        <v>-0.34734445345172693</v>
      </c>
      <c r="D158">
        <v>-0.72819326711595378</v>
      </c>
      <c r="F158">
        <v>26.807228915662648</v>
      </c>
      <c r="G158">
        <v>0</v>
      </c>
    </row>
    <row r="159" spans="1:7" x14ac:dyDescent="0.2">
      <c r="A159">
        <v>135</v>
      </c>
      <c r="B159">
        <v>0.3517011252860901</v>
      </c>
      <c r="C159">
        <v>-0.3517011252860901</v>
      </c>
      <c r="D159">
        <v>-0.73732684925693903</v>
      </c>
      <c r="F159">
        <v>27.008032128514056</v>
      </c>
      <c r="G159">
        <v>0</v>
      </c>
    </row>
    <row r="160" spans="1:7" x14ac:dyDescent="0.2">
      <c r="A160">
        <v>136</v>
      </c>
      <c r="B160">
        <v>0.37563215458448512</v>
      </c>
      <c r="C160">
        <v>0.62436784541551482</v>
      </c>
      <c r="D160">
        <v>1.3089613400101698</v>
      </c>
      <c r="F160">
        <v>27.208835341365461</v>
      </c>
      <c r="G160">
        <v>0</v>
      </c>
    </row>
    <row r="161" spans="1:7" x14ac:dyDescent="0.2">
      <c r="A161">
        <v>137</v>
      </c>
      <c r="B161">
        <v>0.43274016200484278</v>
      </c>
      <c r="C161">
        <v>-0.43274016200484278</v>
      </c>
      <c r="D161">
        <v>-0.90722183484178764</v>
      </c>
      <c r="F161">
        <v>27.409638554216865</v>
      </c>
      <c r="G161">
        <v>0</v>
      </c>
    </row>
    <row r="162" spans="1:7" x14ac:dyDescent="0.2">
      <c r="A162">
        <v>138</v>
      </c>
      <c r="B162">
        <v>0.33928765584152737</v>
      </c>
      <c r="C162">
        <v>-0.33928765584152737</v>
      </c>
      <c r="D162">
        <v>-0.7113025244656509</v>
      </c>
      <c r="F162">
        <v>27.610441767068274</v>
      </c>
      <c r="G162">
        <v>0</v>
      </c>
    </row>
    <row r="163" spans="1:7" x14ac:dyDescent="0.2">
      <c r="A163">
        <v>139</v>
      </c>
      <c r="B163">
        <v>0.48832190747208271</v>
      </c>
      <c r="C163">
        <v>-0.48832190747208271</v>
      </c>
      <c r="D163">
        <v>-1.0237466632119687</v>
      </c>
      <c r="F163">
        <v>27.811244979919678</v>
      </c>
      <c r="G163">
        <v>0</v>
      </c>
    </row>
    <row r="164" spans="1:7" x14ac:dyDescent="0.2">
      <c r="A164">
        <v>140</v>
      </c>
      <c r="B164">
        <v>0.3521270390444598</v>
      </c>
      <c r="C164">
        <v>-0.3521270390444598</v>
      </c>
      <c r="D164">
        <v>-0.73821975981916277</v>
      </c>
      <c r="F164">
        <v>28.012048192771083</v>
      </c>
      <c r="G164">
        <v>0</v>
      </c>
    </row>
    <row r="165" spans="1:7" x14ac:dyDescent="0.2">
      <c r="A165">
        <v>141</v>
      </c>
      <c r="B165">
        <v>0.3361642172945235</v>
      </c>
      <c r="C165">
        <v>0.6638357827054765</v>
      </c>
      <c r="D165">
        <v>1.3917042366244641</v>
      </c>
      <c r="F165">
        <v>28.212851405622491</v>
      </c>
      <c r="G165">
        <v>0</v>
      </c>
    </row>
    <row r="166" spans="1:7" x14ac:dyDescent="0.2">
      <c r="A166">
        <v>142</v>
      </c>
      <c r="B166">
        <v>0.35341372450849451</v>
      </c>
      <c r="C166">
        <v>0.64658627549150549</v>
      </c>
      <c r="D166">
        <v>1.3555413588544079</v>
      </c>
      <c r="F166">
        <v>28.413654618473895</v>
      </c>
      <c r="G166">
        <v>0</v>
      </c>
    </row>
    <row r="167" spans="1:7" x14ac:dyDescent="0.2">
      <c r="A167">
        <v>143</v>
      </c>
      <c r="B167">
        <v>0.33403464850267522</v>
      </c>
      <c r="C167">
        <v>-0.33403464850267522</v>
      </c>
      <c r="D167">
        <v>-0.70028981204646601</v>
      </c>
      <c r="F167">
        <v>28.6144578313253</v>
      </c>
      <c r="G167">
        <v>0</v>
      </c>
    </row>
    <row r="168" spans="1:7" x14ac:dyDescent="0.2">
      <c r="A168">
        <v>144</v>
      </c>
      <c r="B168">
        <v>0.34415010026395454</v>
      </c>
      <c r="C168">
        <v>-0.34415010026395454</v>
      </c>
      <c r="D168">
        <v>-0.72149643789927675</v>
      </c>
      <c r="F168">
        <v>28.815261044176705</v>
      </c>
      <c r="G168">
        <v>0</v>
      </c>
    </row>
    <row r="169" spans="1:7" x14ac:dyDescent="0.2">
      <c r="A169">
        <v>145</v>
      </c>
      <c r="B169">
        <v>0.39792171225812345</v>
      </c>
      <c r="C169">
        <v>-0.39792171225812345</v>
      </c>
      <c r="D169">
        <v>-0.83422639638000751</v>
      </c>
      <c r="F169">
        <v>29.016064257028113</v>
      </c>
      <c r="G169">
        <v>0</v>
      </c>
    </row>
    <row r="170" spans="1:7" x14ac:dyDescent="0.2">
      <c r="A170">
        <v>146</v>
      </c>
      <c r="B170">
        <v>0.33626175154519011</v>
      </c>
      <c r="C170">
        <v>0.66373824845480989</v>
      </c>
      <c r="D170">
        <v>1.3914997601057151</v>
      </c>
      <c r="F170">
        <v>29.216867469879517</v>
      </c>
      <c r="G170">
        <v>0</v>
      </c>
    </row>
    <row r="171" spans="1:7" x14ac:dyDescent="0.2">
      <c r="A171">
        <v>147</v>
      </c>
      <c r="B171">
        <v>0.39286398637748382</v>
      </c>
      <c r="C171">
        <v>-0.39286398637748382</v>
      </c>
      <c r="D171">
        <v>-0.82362308345360213</v>
      </c>
      <c r="F171">
        <v>29.417670682730922</v>
      </c>
      <c r="G171">
        <v>0</v>
      </c>
    </row>
    <row r="172" spans="1:7" x14ac:dyDescent="0.2">
      <c r="A172">
        <v>148</v>
      </c>
      <c r="B172">
        <v>0.37502884774575451</v>
      </c>
      <c r="C172">
        <v>-0.37502884774575451</v>
      </c>
      <c r="D172">
        <v>-0.78623245366048844</v>
      </c>
      <c r="F172">
        <v>29.61847389558233</v>
      </c>
      <c r="G172">
        <v>0</v>
      </c>
    </row>
    <row r="173" spans="1:7" x14ac:dyDescent="0.2">
      <c r="A173">
        <v>149</v>
      </c>
      <c r="B173">
        <v>0.34734445345172693</v>
      </c>
      <c r="C173">
        <v>-0.34734445345172693</v>
      </c>
      <c r="D173">
        <v>-0.72819326711595378</v>
      </c>
      <c r="F173">
        <v>29.819277108433734</v>
      </c>
      <c r="G173">
        <v>0</v>
      </c>
    </row>
    <row r="174" spans="1:7" x14ac:dyDescent="0.2">
      <c r="A174">
        <v>150</v>
      </c>
      <c r="B174">
        <v>0.34633290827559898</v>
      </c>
      <c r="C174">
        <v>-0.34633290827559898</v>
      </c>
      <c r="D174">
        <v>-0.72607260453067268</v>
      </c>
      <c r="F174">
        <v>30.020080321285139</v>
      </c>
      <c r="G174">
        <v>0</v>
      </c>
    </row>
    <row r="175" spans="1:7" x14ac:dyDescent="0.2">
      <c r="A175">
        <v>151</v>
      </c>
      <c r="B175">
        <v>0.46148934069479441</v>
      </c>
      <c r="C175">
        <v>0.53851065930520559</v>
      </c>
      <c r="D175">
        <v>1.128965303690167</v>
      </c>
      <c r="F175">
        <v>30.220883534136547</v>
      </c>
      <c r="G175">
        <v>0</v>
      </c>
    </row>
    <row r="176" spans="1:7" x14ac:dyDescent="0.2">
      <c r="A176">
        <v>152</v>
      </c>
      <c r="B176">
        <v>0.33680308793207797</v>
      </c>
      <c r="C176">
        <v>-0.33680308793207797</v>
      </c>
      <c r="D176">
        <v>-0.70609373070091952</v>
      </c>
      <c r="F176">
        <v>30.421686746987952</v>
      </c>
      <c r="G176">
        <v>0</v>
      </c>
    </row>
    <row r="177" spans="1:7" x14ac:dyDescent="0.2">
      <c r="A177">
        <v>153</v>
      </c>
      <c r="B177">
        <v>0.35053880663949932</v>
      </c>
      <c r="C177">
        <v>-0.35053880663949932</v>
      </c>
      <c r="D177">
        <v>-0.73489009633263092</v>
      </c>
      <c r="F177">
        <v>30.622489959839356</v>
      </c>
      <c r="G177">
        <v>0</v>
      </c>
    </row>
    <row r="178" spans="1:7" x14ac:dyDescent="0.2">
      <c r="A178">
        <v>154</v>
      </c>
      <c r="B178">
        <v>0.33523253094808986</v>
      </c>
      <c r="C178">
        <v>-0.33523253094808986</v>
      </c>
      <c r="D178">
        <v>-0.70280112300271991</v>
      </c>
      <c r="F178">
        <v>30.823293172690761</v>
      </c>
      <c r="G178">
        <v>0</v>
      </c>
    </row>
    <row r="179" spans="1:7" x14ac:dyDescent="0.2">
      <c r="A179">
        <v>155</v>
      </c>
      <c r="B179">
        <v>0.45037128794631298</v>
      </c>
      <c r="C179">
        <v>-0.45037128794631298</v>
      </c>
      <c r="D179">
        <v>-0.94418476047559619</v>
      </c>
      <c r="F179">
        <v>31.024096385542169</v>
      </c>
      <c r="G179">
        <v>0</v>
      </c>
    </row>
    <row r="180" spans="1:7" x14ac:dyDescent="0.2">
      <c r="A180">
        <v>156</v>
      </c>
      <c r="B180">
        <v>0.33612865349569959</v>
      </c>
      <c r="C180">
        <v>0.66387134650430046</v>
      </c>
      <c r="D180">
        <v>1.39177879465641</v>
      </c>
      <c r="F180">
        <v>31.224899598393574</v>
      </c>
      <c r="G180">
        <v>0</v>
      </c>
    </row>
    <row r="181" spans="1:7" x14ac:dyDescent="0.2">
      <c r="A181">
        <v>157</v>
      </c>
      <c r="B181">
        <v>0.33680308793207797</v>
      </c>
      <c r="C181">
        <v>-0.33680308793207797</v>
      </c>
      <c r="D181">
        <v>-0.70609373070091952</v>
      </c>
      <c r="F181">
        <v>31.425702811244978</v>
      </c>
      <c r="G181">
        <v>0</v>
      </c>
    </row>
    <row r="182" spans="1:7" x14ac:dyDescent="0.2">
      <c r="A182">
        <v>158</v>
      </c>
      <c r="B182">
        <v>0.33810744881708504</v>
      </c>
      <c r="C182">
        <v>-0.33810744881708504</v>
      </c>
      <c r="D182">
        <v>-0.70882826929772935</v>
      </c>
      <c r="F182">
        <v>31.626506024096386</v>
      </c>
      <c r="G182">
        <v>0</v>
      </c>
    </row>
    <row r="183" spans="1:7" x14ac:dyDescent="0.2">
      <c r="A183">
        <v>159</v>
      </c>
      <c r="B183">
        <v>0.46777156863074687</v>
      </c>
      <c r="C183">
        <v>-0.46777156863074687</v>
      </c>
      <c r="D183">
        <v>-0.98066372858467954</v>
      </c>
      <c r="F183">
        <v>31.827309236947791</v>
      </c>
      <c r="G183">
        <v>0</v>
      </c>
    </row>
    <row r="184" spans="1:7" x14ac:dyDescent="0.2">
      <c r="A184">
        <v>160</v>
      </c>
      <c r="B184">
        <v>0.35394611670645659</v>
      </c>
      <c r="C184">
        <v>-0.35394611670645659</v>
      </c>
      <c r="D184">
        <v>-0.74203338083041981</v>
      </c>
      <c r="F184">
        <v>32.028112449799195</v>
      </c>
      <c r="G184">
        <v>0</v>
      </c>
    </row>
    <row r="185" spans="1:7" x14ac:dyDescent="0.2">
      <c r="A185">
        <v>161</v>
      </c>
      <c r="B185">
        <v>0.35320076762930969</v>
      </c>
      <c r="C185">
        <v>0.64679923237069037</v>
      </c>
      <c r="D185">
        <v>1.3559878141355199</v>
      </c>
      <c r="F185">
        <v>32.228915662650607</v>
      </c>
      <c r="G185">
        <v>0</v>
      </c>
    </row>
    <row r="186" spans="1:7" x14ac:dyDescent="0.2">
      <c r="A186">
        <v>162</v>
      </c>
      <c r="B186">
        <v>0.33621745651431967</v>
      </c>
      <c r="C186">
        <v>-0.33621745651431967</v>
      </c>
      <c r="D186">
        <v>-0.70486597867786194</v>
      </c>
      <c r="F186">
        <v>32.429718875502012</v>
      </c>
      <c r="G186">
        <v>0</v>
      </c>
    </row>
    <row r="187" spans="1:7" x14ac:dyDescent="0.2">
      <c r="A187">
        <v>163</v>
      </c>
      <c r="B187">
        <v>0.33810744881708504</v>
      </c>
      <c r="C187">
        <v>-0.33810744881708504</v>
      </c>
      <c r="D187">
        <v>-0.70882826929772935</v>
      </c>
      <c r="F187">
        <v>32.630522088353416</v>
      </c>
      <c r="G187">
        <v>0</v>
      </c>
    </row>
    <row r="188" spans="1:7" x14ac:dyDescent="0.2">
      <c r="A188">
        <v>164</v>
      </c>
      <c r="B188">
        <v>0.40417732058417777</v>
      </c>
      <c r="C188">
        <v>-0.40417732058417777</v>
      </c>
      <c r="D188">
        <v>-0.84734102026266678</v>
      </c>
      <c r="F188">
        <v>32.831325301204821</v>
      </c>
      <c r="G188">
        <v>0</v>
      </c>
    </row>
    <row r="189" spans="1:7" x14ac:dyDescent="0.2">
      <c r="A189">
        <v>165</v>
      </c>
      <c r="B189">
        <v>0.36336945861038517</v>
      </c>
      <c r="C189">
        <v>0.63663054138961483</v>
      </c>
      <c r="D189">
        <v>1.3346695744624311</v>
      </c>
      <c r="F189">
        <v>33.032128514056225</v>
      </c>
      <c r="G189">
        <v>0</v>
      </c>
    </row>
    <row r="190" spans="1:7" x14ac:dyDescent="0.2">
      <c r="A190">
        <v>166</v>
      </c>
      <c r="B190">
        <v>0.43678634270935446</v>
      </c>
      <c r="C190">
        <v>0.56321365729064554</v>
      </c>
      <c r="D190">
        <v>1.1807541162991364</v>
      </c>
      <c r="F190">
        <v>33.23293172690763</v>
      </c>
      <c r="G190">
        <v>0</v>
      </c>
    </row>
    <row r="191" spans="1:7" x14ac:dyDescent="0.2">
      <c r="A191">
        <v>167</v>
      </c>
      <c r="B191">
        <v>0.37907502845026619</v>
      </c>
      <c r="C191">
        <v>-0.37907502845026619</v>
      </c>
      <c r="D191">
        <v>-0.79471510400161272</v>
      </c>
      <c r="F191">
        <v>33.433734939759042</v>
      </c>
      <c r="G191">
        <v>0</v>
      </c>
    </row>
    <row r="192" spans="1:7" x14ac:dyDescent="0.2">
      <c r="A192">
        <v>168</v>
      </c>
      <c r="B192">
        <v>0.37486913008636591</v>
      </c>
      <c r="C192">
        <v>-0.37486913008636591</v>
      </c>
      <c r="D192">
        <v>-0.7858976121996547</v>
      </c>
      <c r="F192">
        <v>33.634538152610446</v>
      </c>
      <c r="G192">
        <v>0</v>
      </c>
    </row>
    <row r="193" spans="1:7" x14ac:dyDescent="0.2">
      <c r="A193">
        <v>169</v>
      </c>
      <c r="B193">
        <v>0.43997175170820113</v>
      </c>
      <c r="C193">
        <v>-0.43997175170820113</v>
      </c>
      <c r="D193">
        <v>-0.92238256327778234</v>
      </c>
      <c r="F193">
        <v>33.835341365461851</v>
      </c>
      <c r="G193">
        <v>0</v>
      </c>
    </row>
    <row r="194" spans="1:7" x14ac:dyDescent="0.2">
      <c r="A194">
        <v>170</v>
      </c>
      <c r="B194">
        <v>0.39100061368461658</v>
      </c>
      <c r="C194">
        <v>-0.39100061368461658</v>
      </c>
      <c r="D194">
        <v>-0.8197165997438739</v>
      </c>
      <c r="F194">
        <v>34.036144578313255</v>
      </c>
      <c r="G194">
        <v>0</v>
      </c>
    </row>
    <row r="195" spans="1:7" x14ac:dyDescent="0.2">
      <c r="A195">
        <v>171</v>
      </c>
      <c r="B195">
        <v>0.38168375022028034</v>
      </c>
      <c r="C195">
        <v>-0.38168375022028034</v>
      </c>
      <c r="D195">
        <v>-0.80018418119523238</v>
      </c>
      <c r="F195">
        <v>34.23694779116466</v>
      </c>
      <c r="G195">
        <v>0</v>
      </c>
    </row>
    <row r="196" spans="1:7" x14ac:dyDescent="0.2">
      <c r="A196">
        <v>172</v>
      </c>
      <c r="B196">
        <v>0.34336918738798372</v>
      </c>
      <c r="C196">
        <v>0.65663081261201628</v>
      </c>
      <c r="D196">
        <v>1.3765993150986084</v>
      </c>
      <c r="F196">
        <v>34.437751004016064</v>
      </c>
      <c r="G196">
        <v>0</v>
      </c>
    </row>
    <row r="197" spans="1:7" x14ac:dyDescent="0.2">
      <c r="A197">
        <v>173</v>
      </c>
      <c r="B197">
        <v>0.33653689183309693</v>
      </c>
      <c r="C197">
        <v>-0.33653689183309693</v>
      </c>
      <c r="D197">
        <v>-0.70553566159952974</v>
      </c>
      <c r="F197">
        <v>34.638554216867476</v>
      </c>
      <c r="G197">
        <v>0</v>
      </c>
    </row>
    <row r="198" spans="1:7" x14ac:dyDescent="0.2">
      <c r="A198">
        <v>174</v>
      </c>
      <c r="B198">
        <v>0.38502887687851561</v>
      </c>
      <c r="C198">
        <v>-0.38502887687851561</v>
      </c>
      <c r="D198">
        <v>-0.80719710075093654</v>
      </c>
      <c r="F198">
        <v>34.839357429718881</v>
      </c>
      <c r="G198">
        <v>0</v>
      </c>
    </row>
    <row r="199" spans="1:7" x14ac:dyDescent="0.2">
      <c r="A199">
        <v>175</v>
      </c>
      <c r="B199">
        <v>0.33638611836263405</v>
      </c>
      <c r="C199">
        <v>-0.33638611836263405</v>
      </c>
      <c r="D199">
        <v>-0.7052195712605025</v>
      </c>
      <c r="F199">
        <v>35.040160642570285</v>
      </c>
      <c r="G199">
        <v>0</v>
      </c>
    </row>
    <row r="200" spans="1:7" x14ac:dyDescent="0.2">
      <c r="A200">
        <v>176</v>
      </c>
      <c r="B200">
        <v>0.37389314870906182</v>
      </c>
      <c r="C200">
        <v>-0.37389314870906182</v>
      </c>
      <c r="D200">
        <v>-0.78385150764631917</v>
      </c>
      <c r="F200">
        <v>35.24096385542169</v>
      </c>
      <c r="G200">
        <v>0</v>
      </c>
    </row>
    <row r="201" spans="1:7" x14ac:dyDescent="0.2">
      <c r="A201">
        <v>177</v>
      </c>
      <c r="B201">
        <v>0.38080530309364297</v>
      </c>
      <c r="C201">
        <v>-0.38080530309364297</v>
      </c>
      <c r="D201">
        <v>-0.79834255316064617</v>
      </c>
      <c r="F201">
        <v>35.441767068273094</v>
      </c>
      <c r="G201">
        <v>0</v>
      </c>
    </row>
    <row r="202" spans="1:7" x14ac:dyDescent="0.2">
      <c r="A202">
        <v>178</v>
      </c>
      <c r="B202">
        <v>0.34734445345172693</v>
      </c>
      <c r="C202">
        <v>-0.34734445345172693</v>
      </c>
      <c r="D202">
        <v>-0.72819326711595378</v>
      </c>
      <c r="F202">
        <v>35.642570281124499</v>
      </c>
      <c r="G202">
        <v>0</v>
      </c>
    </row>
    <row r="203" spans="1:7" x14ac:dyDescent="0.2">
      <c r="A203">
        <v>179</v>
      </c>
      <c r="B203">
        <v>0.31966005915769935</v>
      </c>
      <c r="C203">
        <v>-0.31966005915769935</v>
      </c>
      <c r="D203">
        <v>-0.67015408057141912</v>
      </c>
      <c r="F203">
        <v>35.843373493975903</v>
      </c>
      <c r="G203">
        <v>0</v>
      </c>
    </row>
    <row r="204" spans="1:7" x14ac:dyDescent="0.2">
      <c r="A204">
        <v>180</v>
      </c>
      <c r="B204">
        <v>0.46777156863074687</v>
      </c>
      <c r="C204">
        <v>-0.46777156863074687</v>
      </c>
      <c r="D204">
        <v>-0.98066372858467954</v>
      </c>
      <c r="F204">
        <v>36.044176706827315</v>
      </c>
      <c r="G204">
        <v>0</v>
      </c>
    </row>
    <row r="205" spans="1:7" x14ac:dyDescent="0.2">
      <c r="A205">
        <v>181</v>
      </c>
      <c r="B205">
        <v>0.35171006947501587</v>
      </c>
      <c r="C205">
        <v>-0.35171006947501587</v>
      </c>
      <c r="D205">
        <v>-0.73734560037874575</v>
      </c>
      <c r="F205">
        <v>36.24497991967872</v>
      </c>
      <c r="G205">
        <v>0</v>
      </c>
    </row>
    <row r="206" spans="1:7" x14ac:dyDescent="0.2">
      <c r="A206">
        <v>182</v>
      </c>
      <c r="B206">
        <v>0.38650189961183706</v>
      </c>
      <c r="C206">
        <v>-0.38650189961183706</v>
      </c>
      <c r="D206">
        <v>-0.81028523193038693</v>
      </c>
      <c r="F206">
        <v>36.445783132530124</v>
      </c>
      <c r="G206">
        <v>0</v>
      </c>
    </row>
    <row r="207" spans="1:7" x14ac:dyDescent="0.2">
      <c r="A207">
        <v>183</v>
      </c>
      <c r="B207">
        <v>0.40271324203978209</v>
      </c>
      <c r="C207">
        <v>0.59728675796021791</v>
      </c>
      <c r="D207">
        <v>1.2521869612770251</v>
      </c>
      <c r="F207">
        <v>36.646586345381529</v>
      </c>
      <c r="G207">
        <v>0</v>
      </c>
    </row>
    <row r="208" spans="1:7" x14ac:dyDescent="0.2">
      <c r="A208">
        <v>184</v>
      </c>
      <c r="B208">
        <v>0.36656381179815761</v>
      </c>
      <c r="C208">
        <v>0.63343618820184244</v>
      </c>
      <c r="D208">
        <v>1.3279727452457541</v>
      </c>
      <c r="F208">
        <v>36.847389558232933</v>
      </c>
      <c r="G208">
        <v>0</v>
      </c>
    </row>
    <row r="209" spans="1:7" x14ac:dyDescent="0.2">
      <c r="A209">
        <v>185</v>
      </c>
      <c r="B209">
        <v>0.42613849875011311</v>
      </c>
      <c r="C209">
        <v>-0.42613849875011311</v>
      </c>
      <c r="D209">
        <v>-0.89338172112732173</v>
      </c>
      <c r="F209">
        <v>37.048192771084338</v>
      </c>
      <c r="G209">
        <v>0</v>
      </c>
    </row>
    <row r="210" spans="1:7" x14ac:dyDescent="0.2">
      <c r="A210">
        <v>186</v>
      </c>
      <c r="B210">
        <v>0.3526683754313476</v>
      </c>
      <c r="C210">
        <v>0.64733162456865245</v>
      </c>
      <c r="D210">
        <v>1.3571039523382995</v>
      </c>
      <c r="F210">
        <v>37.248995983935743</v>
      </c>
      <c r="G210">
        <v>0</v>
      </c>
    </row>
    <row r="211" spans="1:7" x14ac:dyDescent="0.2">
      <c r="A211">
        <v>187</v>
      </c>
      <c r="B211">
        <v>0.37620011058127106</v>
      </c>
      <c r="C211">
        <v>0.62379988941872888</v>
      </c>
      <c r="D211">
        <v>1.3077706437754446</v>
      </c>
      <c r="F211">
        <v>37.449799196787154</v>
      </c>
      <c r="G211">
        <v>0</v>
      </c>
    </row>
    <row r="212" spans="1:7" x14ac:dyDescent="0.2">
      <c r="A212">
        <v>188</v>
      </c>
      <c r="B212">
        <v>0.3526683754313476</v>
      </c>
      <c r="C212">
        <v>-0.3526683754313476</v>
      </c>
      <c r="D212">
        <v>-0.73935464914374893</v>
      </c>
      <c r="F212">
        <v>37.650602409638559</v>
      </c>
      <c r="G212">
        <v>0</v>
      </c>
    </row>
    <row r="213" spans="1:7" x14ac:dyDescent="0.2">
      <c r="A213">
        <v>189</v>
      </c>
      <c r="B213">
        <v>0.33647470842437494</v>
      </c>
      <c r="C213">
        <v>-0.33647470842437494</v>
      </c>
      <c r="D213">
        <v>-0.705405296657445</v>
      </c>
      <c r="F213">
        <v>37.851405622489963</v>
      </c>
      <c r="G213">
        <v>0</v>
      </c>
    </row>
    <row r="214" spans="1:7" x14ac:dyDescent="0.2">
      <c r="A214">
        <v>190</v>
      </c>
      <c r="B214">
        <v>0.34734445345172693</v>
      </c>
      <c r="C214">
        <v>0.65265554654827307</v>
      </c>
      <c r="D214">
        <v>1.3682653343660944</v>
      </c>
      <c r="F214">
        <v>38.052208835341368</v>
      </c>
      <c r="G214">
        <v>0</v>
      </c>
    </row>
    <row r="215" spans="1:7" x14ac:dyDescent="0.2">
      <c r="A215">
        <v>191</v>
      </c>
      <c r="B215">
        <v>0.34734445345172693</v>
      </c>
      <c r="C215">
        <v>-0.34734445345172693</v>
      </c>
      <c r="D215">
        <v>-0.72819326711595378</v>
      </c>
      <c r="F215">
        <v>38.253012048192772</v>
      </c>
      <c r="G215">
        <v>0</v>
      </c>
    </row>
    <row r="216" spans="1:7" x14ac:dyDescent="0.2">
      <c r="A216">
        <v>192</v>
      </c>
      <c r="B216">
        <v>0.33638611836263405</v>
      </c>
      <c r="C216">
        <v>0.66361388163736601</v>
      </c>
      <c r="D216">
        <v>1.3912390302215458</v>
      </c>
      <c r="F216">
        <v>38.453815261044177</v>
      </c>
      <c r="G216">
        <v>0</v>
      </c>
    </row>
    <row r="217" spans="1:7" x14ac:dyDescent="0.2">
      <c r="A217">
        <v>193</v>
      </c>
      <c r="B217">
        <v>0.37502884774575451</v>
      </c>
      <c r="C217">
        <v>0.62497115225424549</v>
      </c>
      <c r="D217">
        <v>1.3102261478215598</v>
      </c>
      <c r="F217">
        <v>38.654618473895582</v>
      </c>
      <c r="G217">
        <v>0</v>
      </c>
    </row>
    <row r="218" spans="1:7" x14ac:dyDescent="0.2">
      <c r="A218">
        <v>194</v>
      </c>
      <c r="B218">
        <v>0.37869340972276699</v>
      </c>
      <c r="C218">
        <v>0.62130659027723301</v>
      </c>
      <c r="D218">
        <v>1.3025435453441878</v>
      </c>
      <c r="F218">
        <v>38.855421686746993</v>
      </c>
      <c r="G218">
        <v>0</v>
      </c>
    </row>
    <row r="219" spans="1:7" x14ac:dyDescent="0.2">
      <c r="A219">
        <v>195</v>
      </c>
      <c r="B219">
        <v>0.63168618219434203</v>
      </c>
      <c r="C219">
        <v>0.36831381780565797</v>
      </c>
      <c r="D219">
        <v>0.77215467138336358</v>
      </c>
      <c r="F219">
        <v>39.056224899598398</v>
      </c>
      <c r="G219">
        <v>0</v>
      </c>
    </row>
    <row r="220" spans="1:7" x14ac:dyDescent="0.2">
      <c r="A220">
        <v>196</v>
      </c>
      <c r="B220">
        <v>0.3361642172945235</v>
      </c>
      <c r="C220">
        <v>-0.3361642172945235</v>
      </c>
      <c r="D220">
        <v>-0.70475436485758414</v>
      </c>
      <c r="F220">
        <v>39.257028112449802</v>
      </c>
      <c r="G220">
        <v>0</v>
      </c>
    </row>
    <row r="221" spans="1:7" x14ac:dyDescent="0.2">
      <c r="A221">
        <v>197</v>
      </c>
      <c r="B221">
        <v>0.3375573811981506</v>
      </c>
      <c r="C221">
        <v>-0.3375573811981506</v>
      </c>
      <c r="D221">
        <v>-0.70767507530661744</v>
      </c>
      <c r="F221">
        <v>39.457831325301207</v>
      </c>
      <c r="G221">
        <v>0</v>
      </c>
    </row>
    <row r="222" spans="1:7" x14ac:dyDescent="0.2">
      <c r="A222">
        <v>198</v>
      </c>
      <c r="B222">
        <v>0.3361642172945235</v>
      </c>
      <c r="C222">
        <v>0.6638357827054765</v>
      </c>
      <c r="D222">
        <v>1.3917042366244641</v>
      </c>
      <c r="F222">
        <v>39.658634538152612</v>
      </c>
      <c r="G222">
        <v>0</v>
      </c>
    </row>
    <row r="223" spans="1:7" x14ac:dyDescent="0.2">
      <c r="A223">
        <v>199</v>
      </c>
      <c r="B223">
        <v>0.34734445345172693</v>
      </c>
      <c r="C223">
        <v>-0.34734445345172693</v>
      </c>
      <c r="D223">
        <v>-0.72819326711595378</v>
      </c>
      <c r="F223">
        <v>39.859437751004016</v>
      </c>
      <c r="G223">
        <v>0</v>
      </c>
    </row>
    <row r="224" spans="1:7" x14ac:dyDescent="0.2">
      <c r="A224">
        <v>200</v>
      </c>
      <c r="B224">
        <v>0.33989096268025798</v>
      </c>
      <c r="C224">
        <v>-0.33989096268025798</v>
      </c>
      <c r="D224">
        <v>-0.71256733227704072</v>
      </c>
      <c r="F224">
        <v>40.060240963855428</v>
      </c>
      <c r="G224">
        <v>0</v>
      </c>
    </row>
    <row r="225" spans="1:7" x14ac:dyDescent="0.2">
      <c r="A225">
        <v>201</v>
      </c>
      <c r="B225">
        <v>0.46777156863074687</v>
      </c>
      <c r="C225">
        <v>-0.46777156863074687</v>
      </c>
      <c r="D225">
        <v>-0.98066372858467954</v>
      </c>
      <c r="F225">
        <v>40.261044176706832</v>
      </c>
      <c r="G225">
        <v>0</v>
      </c>
    </row>
    <row r="226" spans="1:7" x14ac:dyDescent="0.2">
      <c r="A226">
        <v>202</v>
      </c>
      <c r="B226">
        <v>0.33349331211578737</v>
      </c>
      <c r="C226">
        <v>-0.33349331211578737</v>
      </c>
      <c r="D226">
        <v>-0.69915492272187973</v>
      </c>
      <c r="F226">
        <v>40.461847389558237</v>
      </c>
      <c r="G226">
        <v>0</v>
      </c>
    </row>
    <row r="227" spans="1:7" x14ac:dyDescent="0.2">
      <c r="A227">
        <v>203</v>
      </c>
      <c r="B227">
        <v>0.33504619367880312</v>
      </c>
      <c r="C227">
        <v>-0.33504619367880312</v>
      </c>
      <c r="D227">
        <v>-0.70241047463174699</v>
      </c>
      <c r="F227">
        <v>40.662650602409641</v>
      </c>
      <c r="G227">
        <v>0</v>
      </c>
    </row>
    <row r="228" spans="1:7" x14ac:dyDescent="0.2">
      <c r="A228">
        <v>204</v>
      </c>
      <c r="B228">
        <v>0.33680308793207797</v>
      </c>
      <c r="C228">
        <v>0.66319691206792197</v>
      </c>
      <c r="D228">
        <v>1.3903648707811287</v>
      </c>
      <c r="F228">
        <v>40.863453815261046</v>
      </c>
      <c r="G228">
        <v>0</v>
      </c>
    </row>
    <row r="229" spans="1:7" x14ac:dyDescent="0.2">
      <c r="A229">
        <v>205</v>
      </c>
      <c r="B229">
        <v>0.3419406726424119</v>
      </c>
      <c r="C229">
        <v>-0.3419406726424119</v>
      </c>
      <c r="D229">
        <v>-0.71686446435774176</v>
      </c>
      <c r="F229">
        <v>41.064257028112451</v>
      </c>
      <c r="G229">
        <v>0</v>
      </c>
    </row>
    <row r="230" spans="1:7" x14ac:dyDescent="0.2">
      <c r="A230">
        <v>206</v>
      </c>
      <c r="B230">
        <v>0.35341372450849451</v>
      </c>
      <c r="C230">
        <v>-0.35341372450849451</v>
      </c>
      <c r="D230">
        <v>-0.74091724262764025</v>
      </c>
      <c r="F230">
        <v>41.265060240963855</v>
      </c>
      <c r="G230">
        <v>0</v>
      </c>
    </row>
    <row r="231" spans="1:7" x14ac:dyDescent="0.2">
      <c r="A231">
        <v>207</v>
      </c>
      <c r="B231">
        <v>0.35966933283454883</v>
      </c>
      <c r="C231">
        <v>0.64033066716545117</v>
      </c>
      <c r="D231">
        <v>1.3424267349717487</v>
      </c>
      <c r="F231">
        <v>41.465863453815267</v>
      </c>
      <c r="G231">
        <v>0</v>
      </c>
    </row>
    <row r="232" spans="1:7" x14ac:dyDescent="0.2">
      <c r="A232">
        <v>208</v>
      </c>
      <c r="B232">
        <v>0.3361642172945235</v>
      </c>
      <c r="C232">
        <v>0.6638357827054765</v>
      </c>
      <c r="D232">
        <v>1.3917042366244641</v>
      </c>
      <c r="F232">
        <v>41.666666666666671</v>
      </c>
      <c r="G232">
        <v>0</v>
      </c>
    </row>
    <row r="233" spans="1:7" x14ac:dyDescent="0.2">
      <c r="A233">
        <v>209</v>
      </c>
      <c r="B233">
        <v>0.38567669170499586</v>
      </c>
      <c r="C233">
        <v>0.61432330829500414</v>
      </c>
      <c r="D233">
        <v>1.2879033837659695</v>
      </c>
      <c r="F233">
        <v>41.867469879518076</v>
      </c>
      <c r="G233">
        <v>0</v>
      </c>
    </row>
    <row r="234" spans="1:7" x14ac:dyDescent="0.2">
      <c r="A234">
        <v>210</v>
      </c>
      <c r="B234">
        <v>0.33467351914022969</v>
      </c>
      <c r="C234">
        <v>-0.33467351914022969</v>
      </c>
      <c r="D234">
        <v>-0.70162917788980139</v>
      </c>
      <c r="F234">
        <v>42.068273092369481</v>
      </c>
      <c r="G234">
        <v>0</v>
      </c>
    </row>
    <row r="235" spans="1:7" x14ac:dyDescent="0.2">
      <c r="A235">
        <v>211</v>
      </c>
      <c r="B235">
        <v>0.36438100378651311</v>
      </c>
      <c r="C235">
        <v>0.63561899621348683</v>
      </c>
      <c r="D235">
        <v>1.3325489118771499</v>
      </c>
      <c r="F235">
        <v>42.269076305220885</v>
      </c>
      <c r="G235">
        <v>0</v>
      </c>
    </row>
    <row r="236" spans="1:7" x14ac:dyDescent="0.2">
      <c r="A236">
        <v>212</v>
      </c>
      <c r="B236">
        <v>0.33509943289859934</v>
      </c>
      <c r="C236">
        <v>-0.33509943289859934</v>
      </c>
      <c r="D236">
        <v>-0.70252208845202502</v>
      </c>
      <c r="F236">
        <v>42.46987951807229</v>
      </c>
      <c r="G236">
        <v>0</v>
      </c>
    </row>
    <row r="237" spans="1:7" x14ac:dyDescent="0.2">
      <c r="A237">
        <v>213</v>
      </c>
      <c r="B237">
        <v>0.34734445345172693</v>
      </c>
      <c r="C237">
        <v>-0.34734445345172693</v>
      </c>
      <c r="D237">
        <v>-0.72819326711595378</v>
      </c>
      <c r="F237">
        <v>42.670682730923694</v>
      </c>
      <c r="G237">
        <v>0</v>
      </c>
    </row>
    <row r="238" spans="1:7" x14ac:dyDescent="0.2">
      <c r="A238">
        <v>214</v>
      </c>
      <c r="B238">
        <v>0.3361642172945235</v>
      </c>
      <c r="C238">
        <v>-0.3361642172945235</v>
      </c>
      <c r="D238">
        <v>-0.70475436485758414</v>
      </c>
      <c r="F238">
        <v>42.871485943775106</v>
      </c>
      <c r="G238">
        <v>0</v>
      </c>
    </row>
    <row r="239" spans="1:7" x14ac:dyDescent="0.2">
      <c r="A239">
        <v>215</v>
      </c>
      <c r="B239">
        <v>0.56088696405431271</v>
      </c>
      <c r="C239">
        <v>0.43911303594568729</v>
      </c>
      <c r="D239">
        <v>0.92058230123123197</v>
      </c>
      <c r="F239">
        <v>43.07228915662651</v>
      </c>
      <c r="G239">
        <v>0</v>
      </c>
    </row>
    <row r="240" spans="1:7" x14ac:dyDescent="0.2">
      <c r="A240">
        <v>216</v>
      </c>
      <c r="B240">
        <v>0.33653689183309693</v>
      </c>
      <c r="C240">
        <v>0.66346310816690313</v>
      </c>
      <c r="D240">
        <v>1.3909229398825187</v>
      </c>
      <c r="F240">
        <v>43.273092369477915</v>
      </c>
      <c r="G240">
        <v>0</v>
      </c>
    </row>
    <row r="241" spans="1:7" x14ac:dyDescent="0.2">
      <c r="A241">
        <v>217</v>
      </c>
      <c r="B241">
        <v>0.37715841653760279</v>
      </c>
      <c r="C241">
        <v>-0.37715841653760279</v>
      </c>
      <c r="D241">
        <v>-0.79069700647160657</v>
      </c>
      <c r="F241">
        <v>43.47389558232932</v>
      </c>
      <c r="G241">
        <v>0</v>
      </c>
    </row>
    <row r="242" spans="1:7" x14ac:dyDescent="0.2">
      <c r="A242">
        <v>218</v>
      </c>
      <c r="B242">
        <v>0.48212848255475038</v>
      </c>
      <c r="C242">
        <v>0.51787151744524962</v>
      </c>
      <c r="D242">
        <v>1.0856961972106542</v>
      </c>
      <c r="F242">
        <v>43.674698795180724</v>
      </c>
      <c r="G242">
        <v>0</v>
      </c>
    </row>
    <row r="243" spans="1:7" x14ac:dyDescent="0.2">
      <c r="A243">
        <v>219</v>
      </c>
      <c r="B243">
        <v>0.34202053147210626</v>
      </c>
      <c r="C243">
        <v>-0.34202053147210626</v>
      </c>
      <c r="D243">
        <v>-0.71703188508815874</v>
      </c>
      <c r="F243">
        <v>43.875502008032129</v>
      </c>
      <c r="G243">
        <v>0</v>
      </c>
    </row>
    <row r="244" spans="1:7" x14ac:dyDescent="0.2">
      <c r="A244">
        <v>220</v>
      </c>
      <c r="B244">
        <v>0.33680308793207797</v>
      </c>
      <c r="C244">
        <v>0.66319691206792197</v>
      </c>
      <c r="D244">
        <v>1.3903648707811287</v>
      </c>
      <c r="F244">
        <v>44.07630522088354</v>
      </c>
      <c r="G244">
        <v>0</v>
      </c>
    </row>
    <row r="245" spans="1:7" x14ac:dyDescent="0.2">
      <c r="A245">
        <v>221</v>
      </c>
      <c r="B245">
        <v>0.34734445345172693</v>
      </c>
      <c r="C245">
        <v>-0.34734445345172693</v>
      </c>
      <c r="D245">
        <v>-0.72819326711595378</v>
      </c>
      <c r="F245">
        <v>44.277108433734945</v>
      </c>
      <c r="G245">
        <v>0</v>
      </c>
    </row>
    <row r="246" spans="1:7" x14ac:dyDescent="0.2">
      <c r="A246">
        <v>222</v>
      </c>
      <c r="B246">
        <v>0.33680308793207797</v>
      </c>
      <c r="C246">
        <v>-0.33680308793207797</v>
      </c>
      <c r="D246">
        <v>-0.70609373070091952</v>
      </c>
      <c r="F246">
        <v>44.47791164658635</v>
      </c>
      <c r="G246">
        <v>0</v>
      </c>
    </row>
    <row r="247" spans="1:7" x14ac:dyDescent="0.2">
      <c r="A247">
        <v>223</v>
      </c>
      <c r="B247">
        <v>0.33647470842437494</v>
      </c>
      <c r="C247">
        <v>-0.33647470842437494</v>
      </c>
      <c r="D247">
        <v>-0.705405296657445</v>
      </c>
      <c r="F247">
        <v>44.678714859437754</v>
      </c>
      <c r="G247">
        <v>0</v>
      </c>
    </row>
    <row r="248" spans="1:7" x14ac:dyDescent="0.2">
      <c r="A248">
        <v>224</v>
      </c>
      <c r="B248">
        <v>0.51132125042404408</v>
      </c>
      <c r="C248">
        <v>0.48867874957595592</v>
      </c>
      <c r="D248">
        <v>1.0244947679100045</v>
      </c>
      <c r="F248">
        <v>44.879518072289159</v>
      </c>
      <c r="G248">
        <v>0</v>
      </c>
    </row>
    <row r="249" spans="1:7" x14ac:dyDescent="0.2">
      <c r="A249">
        <v>225</v>
      </c>
      <c r="B249">
        <v>0.33957152736148072</v>
      </c>
      <c r="C249">
        <v>-0.33957152736148072</v>
      </c>
      <c r="D249">
        <v>-0.71189764935537292</v>
      </c>
      <c r="F249">
        <v>45.080321285140563</v>
      </c>
      <c r="G249">
        <v>0</v>
      </c>
    </row>
    <row r="250" spans="1:7" x14ac:dyDescent="0.2">
      <c r="A250">
        <v>226</v>
      </c>
      <c r="B250">
        <v>0.34202053147210626</v>
      </c>
      <c r="C250">
        <v>0.65797946852789368</v>
      </c>
      <c r="D250">
        <v>1.3794267163938894</v>
      </c>
      <c r="F250">
        <v>45.281124497991968</v>
      </c>
      <c r="G250">
        <v>0</v>
      </c>
    </row>
    <row r="251" spans="1:7" x14ac:dyDescent="0.2">
      <c r="A251">
        <v>227</v>
      </c>
      <c r="B251">
        <v>0.33509943289859934</v>
      </c>
      <c r="C251">
        <v>-0.33509943289859934</v>
      </c>
      <c r="D251">
        <v>-0.70252208845202502</v>
      </c>
      <c r="F251">
        <v>45.481927710843379</v>
      </c>
      <c r="G251">
        <v>0</v>
      </c>
    </row>
    <row r="252" spans="1:7" x14ac:dyDescent="0.2">
      <c r="A252">
        <v>228</v>
      </c>
      <c r="B252">
        <v>0.34734445345172693</v>
      </c>
      <c r="C252">
        <v>-0.34734445345172693</v>
      </c>
      <c r="D252">
        <v>-0.72819326711595378</v>
      </c>
      <c r="F252">
        <v>45.682730923694784</v>
      </c>
      <c r="G252">
        <v>0</v>
      </c>
    </row>
    <row r="253" spans="1:7" x14ac:dyDescent="0.2">
      <c r="A253">
        <v>229</v>
      </c>
      <c r="B253">
        <v>0.37389314870906182</v>
      </c>
      <c r="C253">
        <v>-0.37389314870906182</v>
      </c>
      <c r="D253">
        <v>-0.78385150764631917</v>
      </c>
      <c r="F253">
        <v>45.883534136546189</v>
      </c>
      <c r="G253">
        <v>0</v>
      </c>
    </row>
    <row r="254" spans="1:7" x14ac:dyDescent="0.2">
      <c r="A254">
        <v>230</v>
      </c>
      <c r="B254">
        <v>0.49742581405723407</v>
      </c>
      <c r="C254">
        <v>0.50257418594276593</v>
      </c>
      <c r="D254">
        <v>1.0536259750025498</v>
      </c>
      <c r="F254">
        <v>46.084337349397593</v>
      </c>
      <c r="G254">
        <v>0</v>
      </c>
    </row>
    <row r="255" spans="1:7" x14ac:dyDescent="0.2">
      <c r="A255">
        <v>231</v>
      </c>
      <c r="B255">
        <v>0.33621745651431967</v>
      </c>
      <c r="C255">
        <v>-0.33621745651431967</v>
      </c>
      <c r="D255">
        <v>-0.70486597867786194</v>
      </c>
      <c r="F255">
        <v>46.285140562248998</v>
      </c>
      <c r="G255">
        <v>0</v>
      </c>
    </row>
    <row r="256" spans="1:7" x14ac:dyDescent="0.2">
      <c r="A256">
        <v>232</v>
      </c>
      <c r="B256">
        <v>0.34840923784765104</v>
      </c>
      <c r="C256">
        <v>-0.34840923784765104</v>
      </c>
      <c r="D256">
        <v>-0.73042554352151279</v>
      </c>
      <c r="F256">
        <v>46.485943775100402</v>
      </c>
      <c r="G256">
        <v>0</v>
      </c>
    </row>
    <row r="257" spans="1:7" x14ac:dyDescent="0.2">
      <c r="A257">
        <v>233</v>
      </c>
      <c r="B257">
        <v>0.38650189961183706</v>
      </c>
      <c r="C257">
        <v>0.61349810038816299</v>
      </c>
      <c r="D257">
        <v>1.2861733695516615</v>
      </c>
      <c r="F257">
        <v>46.686746987951807</v>
      </c>
      <c r="G257">
        <v>0</v>
      </c>
    </row>
    <row r="258" spans="1:7" x14ac:dyDescent="0.2">
      <c r="A258">
        <v>234</v>
      </c>
      <c r="B258">
        <v>0.34202053147210626</v>
      </c>
      <c r="C258">
        <v>-0.34202053147210626</v>
      </c>
      <c r="D258">
        <v>-0.71703188508815874</v>
      </c>
      <c r="F258">
        <v>46.887550200803219</v>
      </c>
      <c r="G258">
        <v>0</v>
      </c>
    </row>
    <row r="259" spans="1:7" x14ac:dyDescent="0.2">
      <c r="A259">
        <v>235</v>
      </c>
      <c r="B259">
        <v>0.3357383035361538</v>
      </c>
      <c r="C259">
        <v>-0.3357383035361538</v>
      </c>
      <c r="D259">
        <v>-0.7038614542953604</v>
      </c>
      <c r="F259">
        <v>47.088353413654623</v>
      </c>
      <c r="G259">
        <v>0</v>
      </c>
    </row>
    <row r="260" spans="1:7" x14ac:dyDescent="0.2">
      <c r="A260">
        <v>236</v>
      </c>
      <c r="B260">
        <v>0.37502884774575451</v>
      </c>
      <c r="C260">
        <v>-0.37502884774575451</v>
      </c>
      <c r="D260">
        <v>-0.78623245366048844</v>
      </c>
      <c r="F260">
        <v>47.289156626506028</v>
      </c>
      <c r="G260">
        <v>0</v>
      </c>
    </row>
    <row r="261" spans="1:7" x14ac:dyDescent="0.2">
      <c r="A261">
        <v>237</v>
      </c>
      <c r="B261">
        <v>0.3755612399437166</v>
      </c>
      <c r="C261">
        <v>0.6244387600562834</v>
      </c>
      <c r="D261">
        <v>1.3091100096187802</v>
      </c>
      <c r="F261">
        <v>47.489959839357432</v>
      </c>
      <c r="G261">
        <v>0</v>
      </c>
    </row>
    <row r="262" spans="1:7" x14ac:dyDescent="0.2">
      <c r="A262">
        <v>238</v>
      </c>
      <c r="B262">
        <v>0.34202053147210626</v>
      </c>
      <c r="C262">
        <v>-0.34202053147210626</v>
      </c>
      <c r="D262">
        <v>-0.71703188508815874</v>
      </c>
      <c r="F262">
        <v>47.690763052208837</v>
      </c>
      <c r="G262">
        <v>0</v>
      </c>
    </row>
    <row r="263" spans="1:7" x14ac:dyDescent="0.2">
      <c r="A263">
        <v>239</v>
      </c>
      <c r="B263">
        <v>0.34580051607763695</v>
      </c>
      <c r="C263">
        <v>-0.34580051607763695</v>
      </c>
      <c r="D263">
        <v>-0.72495646632789335</v>
      </c>
      <c r="F263">
        <v>47.891566265060241</v>
      </c>
      <c r="G263">
        <v>0</v>
      </c>
    </row>
    <row r="264" spans="1:7" x14ac:dyDescent="0.2">
      <c r="A264">
        <v>240</v>
      </c>
      <c r="B264">
        <v>0.35044127238883271</v>
      </c>
      <c r="C264">
        <v>-0.35044127238883271</v>
      </c>
      <c r="D264">
        <v>-0.7346856198138817</v>
      </c>
      <c r="F264">
        <v>48.092369477911646</v>
      </c>
      <c r="G264">
        <v>0</v>
      </c>
    </row>
    <row r="265" spans="1:7" x14ac:dyDescent="0.2">
      <c r="A265">
        <v>241</v>
      </c>
      <c r="B265">
        <v>0.3526683754313476</v>
      </c>
      <c r="C265">
        <v>0.64733162456865245</v>
      </c>
      <c r="D265">
        <v>1.3571039523382995</v>
      </c>
      <c r="F265">
        <v>48.293172690763058</v>
      </c>
      <c r="G265">
        <v>0</v>
      </c>
    </row>
    <row r="266" spans="1:7" x14ac:dyDescent="0.2">
      <c r="A266">
        <v>242</v>
      </c>
      <c r="B266">
        <v>0.34202053147210626</v>
      </c>
      <c r="C266">
        <v>-0.34202053147210626</v>
      </c>
      <c r="D266">
        <v>-0.71703188508815874</v>
      </c>
      <c r="F266">
        <v>48.493975903614462</v>
      </c>
      <c r="G266">
        <v>0</v>
      </c>
    </row>
    <row r="267" spans="1:7" x14ac:dyDescent="0.2">
      <c r="A267">
        <v>243</v>
      </c>
      <c r="B267">
        <v>0.33483323679961829</v>
      </c>
      <c r="C267">
        <v>-0.33483323679961829</v>
      </c>
      <c r="D267">
        <v>-0.70196401935063524</v>
      </c>
      <c r="F267">
        <v>48.694779116465867</v>
      </c>
      <c r="G267">
        <v>0</v>
      </c>
    </row>
    <row r="268" spans="1:7" x14ac:dyDescent="0.2">
      <c r="A268">
        <v>244</v>
      </c>
      <c r="B268">
        <v>0.33504619367880312</v>
      </c>
      <c r="C268">
        <v>-0.33504619367880312</v>
      </c>
      <c r="D268">
        <v>-0.70241047463174699</v>
      </c>
      <c r="F268">
        <v>48.895582329317271</v>
      </c>
      <c r="G268">
        <v>0</v>
      </c>
    </row>
    <row r="269" spans="1:7" x14ac:dyDescent="0.2">
      <c r="A269">
        <v>245</v>
      </c>
      <c r="B269">
        <v>0.51132125042404408</v>
      </c>
      <c r="C269">
        <v>-0.51132125042404408</v>
      </c>
      <c r="D269">
        <v>-1.0719638335720436</v>
      </c>
      <c r="F269">
        <v>49.096385542168676</v>
      </c>
      <c r="G269">
        <v>0</v>
      </c>
    </row>
    <row r="270" spans="1:7" x14ac:dyDescent="0.2">
      <c r="A270">
        <v>246</v>
      </c>
      <c r="B270">
        <v>0.33621745651431967</v>
      </c>
      <c r="C270">
        <v>-0.33621745651431967</v>
      </c>
      <c r="D270">
        <v>-0.70486597867786194</v>
      </c>
      <c r="F270">
        <v>49.29718875502008</v>
      </c>
      <c r="G270">
        <v>0</v>
      </c>
    </row>
    <row r="271" spans="1:7" x14ac:dyDescent="0.2">
      <c r="A271">
        <v>247</v>
      </c>
      <c r="B271">
        <v>0.35053880663949932</v>
      </c>
      <c r="C271">
        <v>0.64946119336050068</v>
      </c>
      <c r="D271">
        <v>1.3615685051494173</v>
      </c>
      <c r="F271">
        <v>49.497991967871492</v>
      </c>
      <c r="G271">
        <v>0</v>
      </c>
    </row>
    <row r="272" spans="1:7" x14ac:dyDescent="0.2">
      <c r="A272">
        <v>248</v>
      </c>
      <c r="B272">
        <v>0.431577843358252</v>
      </c>
      <c r="C272">
        <v>0.568422156641748</v>
      </c>
      <c r="D272">
        <v>1.1916735195645687</v>
      </c>
      <c r="F272">
        <v>49.698795180722897</v>
      </c>
      <c r="G272">
        <v>0</v>
      </c>
    </row>
    <row r="273" spans="1:7" x14ac:dyDescent="0.2">
      <c r="A273">
        <v>249</v>
      </c>
      <c r="B273">
        <v>0.37502884774575451</v>
      </c>
      <c r="C273">
        <v>-0.37502884774575451</v>
      </c>
      <c r="D273">
        <v>-0.78623245366048844</v>
      </c>
      <c r="F273">
        <v>49.899598393574301</v>
      </c>
      <c r="G273">
        <v>0</v>
      </c>
    </row>
    <row r="274" spans="1:7" x14ac:dyDescent="0.2">
      <c r="A274">
        <v>250</v>
      </c>
      <c r="B274">
        <v>0.33509943289859934</v>
      </c>
      <c r="C274">
        <v>-0.33509943289859934</v>
      </c>
      <c r="D274">
        <v>-0.70252208845202502</v>
      </c>
      <c r="F274">
        <v>50.100401606425706</v>
      </c>
      <c r="G274">
        <v>0</v>
      </c>
    </row>
    <row r="275" spans="1:7" x14ac:dyDescent="0.2">
      <c r="A275">
        <v>251</v>
      </c>
      <c r="B275">
        <v>0.3419406726424119</v>
      </c>
      <c r="C275">
        <v>-0.3419406726424119</v>
      </c>
      <c r="D275">
        <v>-0.71686446435774176</v>
      </c>
      <c r="F275">
        <v>50.30120481927711</v>
      </c>
      <c r="G275">
        <v>0</v>
      </c>
    </row>
    <row r="276" spans="1:7" x14ac:dyDescent="0.2">
      <c r="A276">
        <v>252</v>
      </c>
      <c r="B276">
        <v>0.37620011058127106</v>
      </c>
      <c r="C276">
        <v>-0.37620011058127106</v>
      </c>
      <c r="D276">
        <v>-0.78868795770660338</v>
      </c>
      <c r="F276">
        <v>50.502008032128515</v>
      </c>
      <c r="G276">
        <v>0</v>
      </c>
    </row>
    <row r="277" spans="1:7" x14ac:dyDescent="0.2">
      <c r="A277">
        <v>253</v>
      </c>
      <c r="B277">
        <v>0.35394611670645659</v>
      </c>
      <c r="C277">
        <v>-0.35394611670645659</v>
      </c>
      <c r="D277">
        <v>-0.74203338083041981</v>
      </c>
      <c r="F277">
        <v>50.70281124497992</v>
      </c>
      <c r="G277">
        <v>0</v>
      </c>
    </row>
    <row r="278" spans="1:7" x14ac:dyDescent="0.2">
      <c r="A278">
        <v>254</v>
      </c>
      <c r="B278">
        <v>0.36270396836293262</v>
      </c>
      <c r="C278">
        <v>-0.36270396836293262</v>
      </c>
      <c r="D278">
        <v>-0.76039385426614281</v>
      </c>
      <c r="F278">
        <v>50.903614457831331</v>
      </c>
      <c r="G278">
        <v>0</v>
      </c>
    </row>
    <row r="279" spans="1:7" x14ac:dyDescent="0.2">
      <c r="A279">
        <v>255</v>
      </c>
      <c r="B279">
        <v>0.3521270390444598</v>
      </c>
      <c r="C279">
        <v>0.64787296095554026</v>
      </c>
      <c r="D279">
        <v>1.3582388416628854</v>
      </c>
      <c r="F279">
        <v>51.104417670682736</v>
      </c>
      <c r="G279">
        <v>0</v>
      </c>
    </row>
    <row r="280" spans="1:7" x14ac:dyDescent="0.2">
      <c r="A280">
        <v>256</v>
      </c>
      <c r="B280">
        <v>0.48832190747208271</v>
      </c>
      <c r="C280">
        <v>0.51167809252791729</v>
      </c>
      <c r="D280">
        <v>1.0727119382700796</v>
      </c>
      <c r="F280">
        <v>51.30522088353414</v>
      </c>
      <c r="G280">
        <v>0</v>
      </c>
    </row>
    <row r="281" spans="1:7" x14ac:dyDescent="0.2">
      <c r="A281">
        <v>257</v>
      </c>
      <c r="B281">
        <v>0.50386775965257513</v>
      </c>
      <c r="C281">
        <v>0.49613224034742487</v>
      </c>
      <c r="D281">
        <v>1.0401207027489177</v>
      </c>
      <c r="F281">
        <v>51.506024096385545</v>
      </c>
      <c r="G281">
        <v>0</v>
      </c>
    </row>
    <row r="282" spans="1:7" x14ac:dyDescent="0.2">
      <c r="A282">
        <v>258</v>
      </c>
      <c r="B282">
        <v>1.4107003346302927</v>
      </c>
      <c r="C282">
        <v>-0.41070033463029265</v>
      </c>
      <c r="D282">
        <v>-0.86101624916723252</v>
      </c>
      <c r="F282">
        <v>51.706827309236949</v>
      </c>
      <c r="G282">
        <v>0</v>
      </c>
    </row>
    <row r="283" spans="1:7" x14ac:dyDescent="0.2">
      <c r="A283">
        <v>259</v>
      </c>
      <c r="B283">
        <v>0.37502884774575451</v>
      </c>
      <c r="C283">
        <v>0.62497115225424549</v>
      </c>
      <c r="D283">
        <v>1.3102261478215598</v>
      </c>
      <c r="F283">
        <v>51.907630522088354</v>
      </c>
      <c r="G283">
        <v>0</v>
      </c>
    </row>
    <row r="284" spans="1:7" x14ac:dyDescent="0.2">
      <c r="A284">
        <v>260</v>
      </c>
      <c r="B284">
        <v>0.3361642172945235</v>
      </c>
      <c r="C284">
        <v>-0.3361642172945235</v>
      </c>
      <c r="D284">
        <v>-0.70475436485758414</v>
      </c>
      <c r="F284">
        <v>52.108433734939759</v>
      </c>
      <c r="G284">
        <v>0</v>
      </c>
    </row>
    <row r="285" spans="1:7" x14ac:dyDescent="0.2">
      <c r="A285">
        <v>261</v>
      </c>
      <c r="B285">
        <v>0.38650189961183706</v>
      </c>
      <c r="C285">
        <v>0.61349810038816299</v>
      </c>
      <c r="D285">
        <v>1.2861733695516615</v>
      </c>
      <c r="F285">
        <v>52.30923694779117</v>
      </c>
      <c r="G285">
        <v>0</v>
      </c>
    </row>
    <row r="286" spans="1:7" x14ac:dyDescent="0.2">
      <c r="A286">
        <v>262</v>
      </c>
      <c r="B286">
        <v>0.48928021342841443</v>
      </c>
      <c r="C286">
        <v>-0.48928021342841443</v>
      </c>
      <c r="D286">
        <v>-1.0257557119769718</v>
      </c>
      <c r="F286">
        <v>52.510040160642575</v>
      </c>
      <c r="G286">
        <v>0</v>
      </c>
    </row>
    <row r="287" spans="1:7" x14ac:dyDescent="0.2">
      <c r="A287">
        <v>263</v>
      </c>
      <c r="B287">
        <v>0.31966005915769935</v>
      </c>
      <c r="C287">
        <v>-0.31966005915769935</v>
      </c>
      <c r="D287">
        <v>-0.67015408057141912</v>
      </c>
      <c r="F287">
        <v>52.710843373493979</v>
      </c>
      <c r="G287">
        <v>0</v>
      </c>
    </row>
    <row r="288" spans="1:7" x14ac:dyDescent="0.2">
      <c r="A288">
        <v>264</v>
      </c>
      <c r="B288">
        <v>0.3361642172945235</v>
      </c>
      <c r="C288">
        <v>-0.3361642172945235</v>
      </c>
      <c r="D288">
        <v>-0.70475436485758414</v>
      </c>
      <c r="F288">
        <v>52.911646586345384</v>
      </c>
      <c r="G288">
        <v>0</v>
      </c>
    </row>
    <row r="289" spans="1:7" x14ac:dyDescent="0.2">
      <c r="A289">
        <v>265</v>
      </c>
      <c r="B289">
        <v>0.34202053147210626</v>
      </c>
      <c r="C289">
        <v>-0.34202053147210626</v>
      </c>
      <c r="D289">
        <v>-0.71703188508815874</v>
      </c>
      <c r="F289">
        <v>53.112449799196789</v>
      </c>
      <c r="G289">
        <v>0</v>
      </c>
    </row>
    <row r="290" spans="1:7" x14ac:dyDescent="0.2">
      <c r="A290">
        <v>266</v>
      </c>
      <c r="B290">
        <v>0.40417732058417777</v>
      </c>
      <c r="C290">
        <v>-0.40417732058417777</v>
      </c>
      <c r="D290">
        <v>-0.84734102026266678</v>
      </c>
      <c r="F290">
        <v>53.313253012048193</v>
      </c>
      <c r="G290">
        <v>0</v>
      </c>
    </row>
    <row r="291" spans="1:7" x14ac:dyDescent="0.2">
      <c r="A291">
        <v>267</v>
      </c>
      <c r="B291">
        <v>0.33621745651431967</v>
      </c>
      <c r="C291">
        <v>0.66378254348568033</v>
      </c>
      <c r="D291">
        <v>1.3915926228041862</v>
      </c>
      <c r="F291">
        <v>53.514056224899598</v>
      </c>
      <c r="G291">
        <v>0</v>
      </c>
    </row>
    <row r="292" spans="1:7" x14ac:dyDescent="0.2">
      <c r="A292">
        <v>268</v>
      </c>
      <c r="B292">
        <v>0.64646900987671518</v>
      </c>
      <c r="C292">
        <v>0.35353099012328482</v>
      </c>
      <c r="D292">
        <v>0.74116308513442553</v>
      </c>
      <c r="F292">
        <v>53.714859437751009</v>
      </c>
      <c r="G292">
        <v>0</v>
      </c>
    </row>
    <row r="293" spans="1:7" x14ac:dyDescent="0.2">
      <c r="A293">
        <v>269</v>
      </c>
      <c r="B293">
        <v>0.60850050197309402</v>
      </c>
      <c r="C293">
        <v>0.39149949802690598</v>
      </c>
      <c r="D293">
        <v>0.82076249011441116</v>
      </c>
      <c r="F293">
        <v>53.915662650602414</v>
      </c>
      <c r="G293">
        <v>0</v>
      </c>
    </row>
    <row r="294" spans="1:7" x14ac:dyDescent="0.2">
      <c r="A294">
        <v>270</v>
      </c>
      <c r="B294">
        <v>0.38567669170499586</v>
      </c>
      <c r="C294">
        <v>-0.38567669170499586</v>
      </c>
      <c r="D294">
        <v>-0.80855521771607863</v>
      </c>
      <c r="F294">
        <v>54.116465863453818</v>
      </c>
      <c r="G294">
        <v>0</v>
      </c>
    </row>
    <row r="295" spans="1:7" x14ac:dyDescent="0.2">
      <c r="A295">
        <v>271</v>
      </c>
      <c r="B295">
        <v>0.31966005915769935</v>
      </c>
      <c r="C295">
        <v>0.68033994084230065</v>
      </c>
      <c r="D295">
        <v>1.4263045209106291</v>
      </c>
      <c r="F295">
        <v>54.317269076305223</v>
      </c>
      <c r="G295">
        <v>0</v>
      </c>
    </row>
    <row r="296" spans="1:7" x14ac:dyDescent="0.2">
      <c r="A296">
        <v>272</v>
      </c>
      <c r="B296">
        <v>0.36118665059874072</v>
      </c>
      <c r="C296">
        <v>0.63881334940125933</v>
      </c>
      <c r="D296">
        <v>1.3392457410938272</v>
      </c>
      <c r="F296">
        <v>54.518072289156628</v>
      </c>
      <c r="G296">
        <v>0</v>
      </c>
    </row>
    <row r="297" spans="1:7" x14ac:dyDescent="0.2">
      <c r="A297">
        <v>273</v>
      </c>
      <c r="B297">
        <v>0.38290825227559311</v>
      </c>
      <c r="C297">
        <v>-0.38290825227559311</v>
      </c>
      <c r="D297">
        <v>-0.80275129906162523</v>
      </c>
      <c r="F297">
        <v>54.718875502008032</v>
      </c>
      <c r="G297">
        <v>0</v>
      </c>
    </row>
    <row r="298" spans="1:7" x14ac:dyDescent="0.2">
      <c r="A298">
        <v>274</v>
      </c>
      <c r="B298">
        <v>0.3361642172945235</v>
      </c>
      <c r="C298">
        <v>0.6638357827054765</v>
      </c>
      <c r="D298">
        <v>1.3917042366244641</v>
      </c>
      <c r="F298">
        <v>54.919678714859444</v>
      </c>
      <c r="G298">
        <v>0</v>
      </c>
    </row>
    <row r="299" spans="1:7" x14ac:dyDescent="0.2">
      <c r="A299">
        <v>275</v>
      </c>
      <c r="B299">
        <v>0.48567762190324471</v>
      </c>
      <c r="C299">
        <v>0.51432237809675529</v>
      </c>
      <c r="D299">
        <v>1.0782555734956449</v>
      </c>
      <c r="F299">
        <v>55.120481927710848</v>
      </c>
      <c r="G299">
        <v>0</v>
      </c>
    </row>
    <row r="300" spans="1:7" x14ac:dyDescent="0.2">
      <c r="A300">
        <v>276</v>
      </c>
      <c r="B300">
        <v>0.3361642172945235</v>
      </c>
      <c r="C300">
        <v>-0.3361642172945235</v>
      </c>
      <c r="D300">
        <v>-0.70475436485758414</v>
      </c>
      <c r="F300">
        <v>55.321285140562253</v>
      </c>
      <c r="G300">
        <v>0</v>
      </c>
    </row>
    <row r="301" spans="1:7" x14ac:dyDescent="0.2">
      <c r="A301">
        <v>277</v>
      </c>
      <c r="B301">
        <v>0.31966005915769935</v>
      </c>
      <c r="C301">
        <v>-0.31966005915769935</v>
      </c>
      <c r="D301">
        <v>-0.67015408057141912</v>
      </c>
      <c r="F301">
        <v>55.522088353413658</v>
      </c>
      <c r="G301">
        <v>0</v>
      </c>
    </row>
    <row r="302" spans="1:7" x14ac:dyDescent="0.2">
      <c r="A302">
        <v>278</v>
      </c>
      <c r="B302">
        <v>0.38168375022028034</v>
      </c>
      <c r="C302">
        <v>-0.38168375022028034</v>
      </c>
      <c r="D302">
        <v>-0.80018418119523238</v>
      </c>
      <c r="F302">
        <v>55.722891566265062</v>
      </c>
      <c r="G302">
        <v>0</v>
      </c>
    </row>
    <row r="303" spans="1:7" x14ac:dyDescent="0.2">
      <c r="A303">
        <v>279</v>
      </c>
      <c r="B303">
        <v>0.36278382719262692</v>
      </c>
      <c r="C303">
        <v>0.63721617280737308</v>
      </c>
      <c r="D303">
        <v>1.3358973264854885</v>
      </c>
      <c r="F303">
        <v>55.923694779116467</v>
      </c>
      <c r="G303">
        <v>0</v>
      </c>
    </row>
    <row r="304" spans="1:7" x14ac:dyDescent="0.2">
      <c r="A304">
        <v>280</v>
      </c>
      <c r="B304">
        <v>0.3361642172945235</v>
      </c>
      <c r="C304">
        <v>-0.3361642172945235</v>
      </c>
      <c r="D304">
        <v>-0.70475436485758414</v>
      </c>
      <c r="F304">
        <v>56.124497991967871</v>
      </c>
      <c r="G304">
        <v>0</v>
      </c>
    </row>
    <row r="305" spans="1:7" x14ac:dyDescent="0.2">
      <c r="A305">
        <v>281</v>
      </c>
      <c r="B305">
        <v>0.33638611836263405</v>
      </c>
      <c r="C305">
        <v>-0.33638611836263405</v>
      </c>
      <c r="D305">
        <v>-0.7052195712605025</v>
      </c>
      <c r="F305">
        <v>56.325301204819283</v>
      </c>
      <c r="G305">
        <v>0</v>
      </c>
    </row>
    <row r="306" spans="1:7" x14ac:dyDescent="0.2">
      <c r="A306">
        <v>282</v>
      </c>
      <c r="B306">
        <v>0.33989096268025798</v>
      </c>
      <c r="C306">
        <v>-0.33989096268025798</v>
      </c>
      <c r="D306">
        <v>-0.71256733227704072</v>
      </c>
      <c r="F306">
        <v>56.526104417670687</v>
      </c>
      <c r="G306">
        <v>0</v>
      </c>
    </row>
    <row r="307" spans="1:7" x14ac:dyDescent="0.2">
      <c r="A307">
        <v>283</v>
      </c>
      <c r="B307">
        <v>0.33680308793207797</v>
      </c>
      <c r="C307">
        <v>0.66319691206792197</v>
      </c>
      <c r="D307">
        <v>1.3903648707811287</v>
      </c>
      <c r="F307">
        <v>56.726907630522092</v>
      </c>
      <c r="G307">
        <v>0</v>
      </c>
    </row>
    <row r="308" spans="1:7" x14ac:dyDescent="0.2">
      <c r="A308">
        <v>284</v>
      </c>
      <c r="B308">
        <v>0.37502884774575451</v>
      </c>
      <c r="C308">
        <v>-0.37502884774575451</v>
      </c>
      <c r="D308">
        <v>-0.78623245366048844</v>
      </c>
      <c r="F308">
        <v>56.927710843373497</v>
      </c>
      <c r="G308">
        <v>0</v>
      </c>
    </row>
    <row r="309" spans="1:7" x14ac:dyDescent="0.2">
      <c r="A309">
        <v>285</v>
      </c>
      <c r="B309">
        <v>0.33810744881708504</v>
      </c>
      <c r="C309">
        <v>-0.33810744881708504</v>
      </c>
      <c r="D309">
        <v>-0.70882826929772935</v>
      </c>
      <c r="F309">
        <v>57.128514056224901</v>
      </c>
      <c r="G309">
        <v>0</v>
      </c>
    </row>
    <row r="310" spans="1:7" x14ac:dyDescent="0.2">
      <c r="A310">
        <v>286</v>
      </c>
      <c r="B310">
        <v>0.33989096268025798</v>
      </c>
      <c r="C310">
        <v>0.66010903731974202</v>
      </c>
      <c r="D310">
        <v>1.3838912692050076</v>
      </c>
      <c r="F310">
        <v>57.329317269076306</v>
      </c>
      <c r="G310">
        <v>0</v>
      </c>
    </row>
    <row r="311" spans="1:7" x14ac:dyDescent="0.2">
      <c r="A311">
        <v>287</v>
      </c>
      <c r="B311">
        <v>0.33647470842437494</v>
      </c>
      <c r="C311">
        <v>-0.33647470842437494</v>
      </c>
      <c r="D311">
        <v>-0.705405296657445</v>
      </c>
      <c r="F311">
        <v>57.53012048192771</v>
      </c>
      <c r="G311">
        <v>0</v>
      </c>
    </row>
    <row r="312" spans="1:7" x14ac:dyDescent="0.2">
      <c r="A312">
        <v>288</v>
      </c>
      <c r="B312">
        <v>0.34734445345172693</v>
      </c>
      <c r="C312">
        <v>0.65265554654827307</v>
      </c>
      <c r="D312">
        <v>1.3682653343660944</v>
      </c>
      <c r="F312">
        <v>57.730923694779122</v>
      </c>
      <c r="G312">
        <v>0</v>
      </c>
    </row>
    <row r="313" spans="1:7" x14ac:dyDescent="0.2">
      <c r="A313">
        <v>289</v>
      </c>
      <c r="B313">
        <v>0.3361642172945235</v>
      </c>
      <c r="C313">
        <v>0.6638357827054765</v>
      </c>
      <c r="D313">
        <v>1.3917042366244641</v>
      </c>
      <c r="F313">
        <v>57.931726907630527</v>
      </c>
      <c r="G313">
        <v>0</v>
      </c>
    </row>
    <row r="314" spans="1:7" x14ac:dyDescent="0.2">
      <c r="A314">
        <v>290</v>
      </c>
      <c r="B314">
        <v>0.48757655839493586</v>
      </c>
      <c r="C314">
        <v>0.51242344160506414</v>
      </c>
      <c r="D314">
        <v>1.0742745317539708</v>
      </c>
      <c r="F314">
        <v>58.132530120481931</v>
      </c>
      <c r="G314">
        <v>0</v>
      </c>
    </row>
    <row r="315" spans="1:7" x14ac:dyDescent="0.2">
      <c r="A315">
        <v>291</v>
      </c>
      <c r="B315">
        <v>0.51361948106420674</v>
      </c>
      <c r="C315">
        <v>0.48638051893579326</v>
      </c>
      <c r="D315">
        <v>1.0196766225162459</v>
      </c>
      <c r="F315">
        <v>58.333333333333336</v>
      </c>
      <c r="G315">
        <v>0</v>
      </c>
    </row>
    <row r="316" spans="1:7" x14ac:dyDescent="0.2">
      <c r="A316">
        <v>292</v>
      </c>
      <c r="B316">
        <v>0.34707825735274589</v>
      </c>
      <c r="C316">
        <v>-0.34707825735274589</v>
      </c>
      <c r="D316">
        <v>-0.72763519801456411</v>
      </c>
      <c r="F316">
        <v>58.53413654618474</v>
      </c>
      <c r="G316">
        <v>0</v>
      </c>
    </row>
    <row r="317" spans="1:7" x14ac:dyDescent="0.2">
      <c r="A317">
        <v>293</v>
      </c>
      <c r="B317">
        <v>0.33850674296555661</v>
      </c>
      <c r="C317">
        <v>-0.33850674296555661</v>
      </c>
      <c r="D317">
        <v>-0.70966537294981391</v>
      </c>
      <c r="F317">
        <v>58.734939759036145</v>
      </c>
      <c r="G317">
        <v>0</v>
      </c>
    </row>
    <row r="318" spans="1:7" x14ac:dyDescent="0.2">
      <c r="A318">
        <v>294</v>
      </c>
      <c r="B318">
        <v>0.33647470842437494</v>
      </c>
      <c r="C318">
        <v>-0.33647470842437494</v>
      </c>
      <c r="D318">
        <v>-0.705405296657445</v>
      </c>
      <c r="F318">
        <v>58.935742971887549</v>
      </c>
      <c r="G318">
        <v>0</v>
      </c>
    </row>
    <row r="319" spans="1:7" x14ac:dyDescent="0.2">
      <c r="A319">
        <v>295</v>
      </c>
      <c r="B319">
        <v>0.37869340972276699</v>
      </c>
      <c r="C319">
        <v>-0.37869340972276699</v>
      </c>
      <c r="D319">
        <v>-0.7939150561378604</v>
      </c>
      <c r="F319">
        <v>59.136546184738961</v>
      </c>
      <c r="G319">
        <v>0</v>
      </c>
    </row>
    <row r="320" spans="1:7" x14ac:dyDescent="0.2">
      <c r="A320">
        <v>296</v>
      </c>
      <c r="B320">
        <v>0.33505513786772889</v>
      </c>
      <c r="C320">
        <v>-0.33505513786772889</v>
      </c>
      <c r="D320">
        <v>-0.70242922575355371</v>
      </c>
      <c r="F320">
        <v>59.337349397590366</v>
      </c>
      <c r="G320">
        <v>0</v>
      </c>
    </row>
    <row r="321" spans="1:7" x14ac:dyDescent="0.2">
      <c r="A321">
        <v>297</v>
      </c>
      <c r="B321">
        <v>0.64239620956230548</v>
      </c>
      <c r="C321">
        <v>-0.64239620956230548</v>
      </c>
      <c r="D321">
        <v>-1.3467570590963598</v>
      </c>
      <c r="F321">
        <v>59.53815261044177</v>
      </c>
      <c r="G321">
        <v>0</v>
      </c>
    </row>
    <row r="322" spans="1:7" x14ac:dyDescent="0.2">
      <c r="A322">
        <v>298</v>
      </c>
      <c r="B322">
        <v>0.38461190730907174</v>
      </c>
      <c r="C322">
        <v>0.61538809269092831</v>
      </c>
      <c r="D322">
        <v>1.2901356601715286</v>
      </c>
      <c r="F322">
        <v>59.738955823293175</v>
      </c>
      <c r="G322">
        <v>0</v>
      </c>
    </row>
    <row r="323" spans="1:7" x14ac:dyDescent="0.2">
      <c r="A323">
        <v>299</v>
      </c>
      <c r="B323">
        <v>0.84677263017101789</v>
      </c>
      <c r="C323">
        <v>0.15322736982898211</v>
      </c>
      <c r="D323">
        <v>0.3212348374604404</v>
      </c>
      <c r="F323">
        <v>59.939759036144579</v>
      </c>
      <c r="G323">
        <v>0</v>
      </c>
    </row>
    <row r="324" spans="1:7" x14ac:dyDescent="0.2">
      <c r="A324">
        <v>300</v>
      </c>
      <c r="B324">
        <v>0.3361642172945235</v>
      </c>
      <c r="C324">
        <v>0.6638357827054765</v>
      </c>
      <c r="D324">
        <v>1.3917042366244641</v>
      </c>
      <c r="F324">
        <v>60.140562248995984</v>
      </c>
      <c r="G324">
        <v>0</v>
      </c>
    </row>
    <row r="325" spans="1:7" x14ac:dyDescent="0.2">
      <c r="A325">
        <v>301</v>
      </c>
      <c r="B325">
        <v>0.36917253356817176</v>
      </c>
      <c r="C325">
        <v>0.6308274664318283</v>
      </c>
      <c r="D325">
        <v>1.3225036680521345</v>
      </c>
      <c r="F325">
        <v>60.341365461847396</v>
      </c>
      <c r="G325">
        <v>0</v>
      </c>
    </row>
    <row r="326" spans="1:7" x14ac:dyDescent="0.2">
      <c r="A326">
        <v>302</v>
      </c>
      <c r="B326">
        <v>0.31966005915769935</v>
      </c>
      <c r="C326">
        <v>-0.31966005915769935</v>
      </c>
      <c r="D326">
        <v>-0.67015408057141912</v>
      </c>
      <c r="F326">
        <v>60.5421686746988</v>
      </c>
      <c r="G326">
        <v>0</v>
      </c>
    </row>
    <row r="327" spans="1:7" x14ac:dyDescent="0.2">
      <c r="A327">
        <v>303</v>
      </c>
      <c r="B327">
        <v>0.34596023373702556</v>
      </c>
      <c r="C327">
        <v>0.65403976626297444</v>
      </c>
      <c r="D327">
        <v>1.371167293693321</v>
      </c>
      <c r="F327">
        <v>60.742971887550205</v>
      </c>
      <c r="G327">
        <v>0</v>
      </c>
    </row>
    <row r="328" spans="1:7" x14ac:dyDescent="0.2">
      <c r="A328">
        <v>304</v>
      </c>
      <c r="B328">
        <v>0.33680308793207797</v>
      </c>
      <c r="C328">
        <v>-0.33680308793207797</v>
      </c>
      <c r="D328">
        <v>-0.70609373070091952</v>
      </c>
      <c r="F328">
        <v>60.943775100401609</v>
      </c>
      <c r="G328">
        <v>0</v>
      </c>
    </row>
    <row r="329" spans="1:7" x14ac:dyDescent="0.2">
      <c r="A329">
        <v>305</v>
      </c>
      <c r="B329">
        <v>0.64239620956230548</v>
      </c>
      <c r="C329">
        <v>0.35760379043769452</v>
      </c>
      <c r="D329">
        <v>0.74970154238568854</v>
      </c>
      <c r="F329">
        <v>61.144578313253014</v>
      </c>
      <c r="G329">
        <v>0</v>
      </c>
    </row>
    <row r="330" spans="1:7" x14ac:dyDescent="0.2">
      <c r="A330">
        <v>306</v>
      </c>
      <c r="B330">
        <v>0.55579367437484917</v>
      </c>
      <c r="C330">
        <v>0.44420632562515083</v>
      </c>
      <c r="D330">
        <v>0.93126017218958301</v>
      </c>
      <c r="F330">
        <v>61.345381526104418</v>
      </c>
      <c r="G330">
        <v>1</v>
      </c>
    </row>
    <row r="331" spans="1:7" x14ac:dyDescent="0.2">
      <c r="A331">
        <v>307</v>
      </c>
      <c r="B331">
        <v>0.55157010058997646</v>
      </c>
      <c r="C331">
        <v>0.44842989941002354</v>
      </c>
      <c r="D331">
        <v>0.94011471977987349</v>
      </c>
      <c r="F331">
        <v>61.546184738955823</v>
      </c>
      <c r="G331">
        <v>1</v>
      </c>
    </row>
    <row r="332" spans="1:7" x14ac:dyDescent="0.2">
      <c r="A332">
        <v>308</v>
      </c>
      <c r="B332">
        <v>0.37076971016205795</v>
      </c>
      <c r="C332">
        <v>-0.37076971016205795</v>
      </c>
      <c r="D332">
        <v>-0.77730334803825241</v>
      </c>
      <c r="F332">
        <v>61.746987951807235</v>
      </c>
      <c r="G332">
        <v>1</v>
      </c>
    </row>
    <row r="333" spans="1:7" x14ac:dyDescent="0.2">
      <c r="A333">
        <v>309</v>
      </c>
      <c r="B333">
        <v>0.44089470682258819</v>
      </c>
      <c r="C333">
        <v>0.55910529317741187</v>
      </c>
      <c r="D333">
        <v>1.1721411010159275</v>
      </c>
      <c r="F333">
        <v>61.947791164658639</v>
      </c>
      <c r="G333">
        <v>1</v>
      </c>
    </row>
    <row r="334" spans="1:7" x14ac:dyDescent="0.2">
      <c r="A334">
        <v>310</v>
      </c>
      <c r="B334">
        <v>0.49675137962085575</v>
      </c>
      <c r="C334">
        <v>0.5032486203791442</v>
      </c>
      <c r="D334">
        <v>1.0550398988778309</v>
      </c>
      <c r="F334">
        <v>62.148594377510044</v>
      </c>
      <c r="G334">
        <v>1</v>
      </c>
    </row>
    <row r="335" spans="1:7" x14ac:dyDescent="0.2">
      <c r="A335">
        <v>311</v>
      </c>
      <c r="B335">
        <v>0.87840567091889055</v>
      </c>
      <c r="C335">
        <v>0.12159432908110945</v>
      </c>
      <c r="D335">
        <v>0.25491747709353069</v>
      </c>
      <c r="F335">
        <v>62.349397590361448</v>
      </c>
      <c r="G335">
        <v>1</v>
      </c>
    </row>
    <row r="336" spans="1:7" x14ac:dyDescent="0.2">
      <c r="A336">
        <v>312</v>
      </c>
      <c r="B336">
        <v>0.37502884774575451</v>
      </c>
      <c r="C336">
        <v>-0.37502884774575451</v>
      </c>
      <c r="D336">
        <v>-0.78623245366048844</v>
      </c>
      <c r="F336">
        <v>62.550200803212853</v>
      </c>
      <c r="G336">
        <v>1</v>
      </c>
    </row>
    <row r="337" spans="1:7" x14ac:dyDescent="0.2">
      <c r="A337">
        <v>313</v>
      </c>
      <c r="B337">
        <v>0.33647470842437494</v>
      </c>
      <c r="C337">
        <v>-0.33647470842437494</v>
      </c>
      <c r="D337">
        <v>-0.705405296657445</v>
      </c>
      <c r="F337">
        <v>62.751004016064257</v>
      </c>
      <c r="G337">
        <v>1</v>
      </c>
    </row>
    <row r="338" spans="1:7" x14ac:dyDescent="0.2">
      <c r="A338">
        <v>314</v>
      </c>
      <c r="B338">
        <v>0.3755612399437166</v>
      </c>
      <c r="C338">
        <v>-0.3755612399437166</v>
      </c>
      <c r="D338">
        <v>-0.787348591863268</v>
      </c>
      <c r="F338">
        <v>62.951807228915662</v>
      </c>
      <c r="G338">
        <v>1</v>
      </c>
    </row>
    <row r="339" spans="1:7" x14ac:dyDescent="0.2">
      <c r="A339">
        <v>315</v>
      </c>
      <c r="B339">
        <v>0.33638611836263405</v>
      </c>
      <c r="C339">
        <v>0.66361388163736601</v>
      </c>
      <c r="D339">
        <v>1.3912390302215458</v>
      </c>
      <c r="F339">
        <v>63.152610441767074</v>
      </c>
      <c r="G339">
        <v>1</v>
      </c>
    </row>
    <row r="340" spans="1:7" x14ac:dyDescent="0.2">
      <c r="A340">
        <v>316</v>
      </c>
      <c r="B340">
        <v>0.37502884774575451</v>
      </c>
      <c r="C340">
        <v>0.62497115225424549</v>
      </c>
      <c r="D340">
        <v>1.3102261478215598</v>
      </c>
      <c r="F340">
        <v>63.353413654618478</v>
      </c>
      <c r="G340">
        <v>1</v>
      </c>
    </row>
    <row r="341" spans="1:7" x14ac:dyDescent="0.2">
      <c r="A341">
        <v>317</v>
      </c>
      <c r="B341">
        <v>0.34947402224357521</v>
      </c>
      <c r="C341">
        <v>-0.34947402224357521</v>
      </c>
      <c r="D341">
        <v>-0.73265781992707191</v>
      </c>
      <c r="F341">
        <v>63.554216867469883</v>
      </c>
      <c r="G341">
        <v>1</v>
      </c>
    </row>
    <row r="342" spans="1:7" x14ac:dyDescent="0.2">
      <c r="A342">
        <v>318</v>
      </c>
      <c r="B342">
        <v>0.67075503829271144</v>
      </c>
      <c r="C342">
        <v>0.32924496170728856</v>
      </c>
      <c r="D342">
        <v>0.69024843196587271</v>
      </c>
      <c r="F342">
        <v>63.755020080321287</v>
      </c>
      <c r="G342">
        <v>1</v>
      </c>
    </row>
    <row r="343" spans="1:7" x14ac:dyDescent="0.2">
      <c r="A343">
        <v>319</v>
      </c>
      <c r="B343">
        <v>0.60608706166129234</v>
      </c>
      <c r="C343">
        <v>0.39391293833870766</v>
      </c>
      <c r="D343">
        <v>0.82582216781525131</v>
      </c>
      <c r="F343">
        <v>63.955823293172692</v>
      </c>
      <c r="G343">
        <v>1</v>
      </c>
    </row>
    <row r="344" spans="1:7" x14ac:dyDescent="0.2">
      <c r="A344">
        <v>320</v>
      </c>
      <c r="B344">
        <v>0.33509943289859934</v>
      </c>
      <c r="C344">
        <v>-0.33509943289859934</v>
      </c>
      <c r="D344">
        <v>-0.70252208845202502</v>
      </c>
      <c r="F344">
        <v>64.156626506024097</v>
      </c>
      <c r="G344">
        <v>1</v>
      </c>
    </row>
    <row r="345" spans="1:7" x14ac:dyDescent="0.2">
      <c r="A345">
        <v>321</v>
      </c>
      <c r="B345">
        <v>0.33647470842437494</v>
      </c>
      <c r="C345">
        <v>-0.33647470842437494</v>
      </c>
      <c r="D345">
        <v>-0.705405296657445</v>
      </c>
      <c r="F345">
        <v>64.357429718875508</v>
      </c>
      <c r="G345">
        <v>1</v>
      </c>
    </row>
    <row r="346" spans="1:7" x14ac:dyDescent="0.2">
      <c r="A346">
        <v>322</v>
      </c>
      <c r="B346">
        <v>0.34596023373702556</v>
      </c>
      <c r="C346">
        <v>0.65403976626297444</v>
      </c>
      <c r="D346">
        <v>1.371167293693321</v>
      </c>
      <c r="F346">
        <v>64.558232931726906</v>
      </c>
      <c r="G346">
        <v>1</v>
      </c>
    </row>
    <row r="347" spans="1:7" x14ac:dyDescent="0.2">
      <c r="A347">
        <v>323</v>
      </c>
      <c r="B347">
        <v>0.3814175541212993</v>
      </c>
      <c r="C347">
        <v>0.6185824458787007</v>
      </c>
      <c r="D347">
        <v>1.2968324893882057</v>
      </c>
      <c r="F347">
        <v>64.759036144578317</v>
      </c>
      <c r="G347">
        <v>1</v>
      </c>
    </row>
    <row r="348" spans="1:7" x14ac:dyDescent="0.2">
      <c r="A348">
        <v>324</v>
      </c>
      <c r="B348">
        <v>0.46777156863074687</v>
      </c>
      <c r="C348">
        <v>-0.46777156863074687</v>
      </c>
      <c r="D348">
        <v>-0.98066372858467954</v>
      </c>
      <c r="F348">
        <v>64.959839357429715</v>
      </c>
      <c r="G348">
        <v>1</v>
      </c>
    </row>
    <row r="349" spans="1:7" x14ac:dyDescent="0.2">
      <c r="A349">
        <v>325</v>
      </c>
      <c r="B349">
        <v>0.60850050197309402</v>
      </c>
      <c r="C349">
        <v>0.39149949802690598</v>
      </c>
      <c r="D349">
        <v>0.82076249011441116</v>
      </c>
      <c r="F349">
        <v>65.160642570281126</v>
      </c>
      <c r="G349">
        <v>1</v>
      </c>
    </row>
    <row r="350" spans="1:7" x14ac:dyDescent="0.2">
      <c r="A350">
        <v>326</v>
      </c>
      <c r="B350">
        <v>0.33294324449685297</v>
      </c>
      <c r="C350">
        <v>-0.33294324449685297</v>
      </c>
      <c r="D350">
        <v>-0.69800172873076805</v>
      </c>
      <c r="F350">
        <v>65.361445783132538</v>
      </c>
      <c r="G350">
        <v>1</v>
      </c>
    </row>
    <row r="351" spans="1:7" x14ac:dyDescent="0.2">
      <c r="A351">
        <v>327</v>
      </c>
      <c r="B351">
        <v>0.34734445345172693</v>
      </c>
      <c r="C351">
        <v>0.65265554654827307</v>
      </c>
      <c r="D351">
        <v>1.3682653343660944</v>
      </c>
      <c r="F351">
        <v>65.562248995983936</v>
      </c>
      <c r="G351">
        <v>1</v>
      </c>
    </row>
    <row r="352" spans="1:7" x14ac:dyDescent="0.2">
      <c r="A352">
        <v>328</v>
      </c>
      <c r="B352">
        <v>0.36336945861038517</v>
      </c>
      <c r="C352">
        <v>0.63663054138961483</v>
      </c>
      <c r="D352">
        <v>1.3346695744624311</v>
      </c>
      <c r="F352">
        <v>65.763052208835347</v>
      </c>
      <c r="G352">
        <v>1</v>
      </c>
    </row>
    <row r="353" spans="1:7" x14ac:dyDescent="0.2">
      <c r="A353">
        <v>329</v>
      </c>
      <c r="B353">
        <v>0.44313075405402885</v>
      </c>
      <c r="C353">
        <v>0.5568692459459712</v>
      </c>
      <c r="D353">
        <v>1.1674533205642534</v>
      </c>
      <c r="F353">
        <v>65.963855421686745</v>
      </c>
      <c r="G353">
        <v>1</v>
      </c>
    </row>
    <row r="354" spans="1:7" x14ac:dyDescent="0.2">
      <c r="A354">
        <v>330</v>
      </c>
      <c r="B354">
        <v>0.36917253356817176</v>
      </c>
      <c r="C354">
        <v>0.6308274664318283</v>
      </c>
      <c r="D354">
        <v>1.3225036680521345</v>
      </c>
      <c r="F354">
        <v>66.164658634538156</v>
      </c>
      <c r="G354">
        <v>1</v>
      </c>
    </row>
    <row r="355" spans="1:7" x14ac:dyDescent="0.2">
      <c r="A355">
        <v>331</v>
      </c>
      <c r="B355">
        <v>0.38035276972537518</v>
      </c>
      <c r="C355">
        <v>-0.38035276972537518</v>
      </c>
      <c r="D355">
        <v>-0.79739383568828359</v>
      </c>
      <c r="F355">
        <v>66.365461847389554</v>
      </c>
      <c r="G355">
        <v>1</v>
      </c>
    </row>
    <row r="356" spans="1:7" x14ac:dyDescent="0.2">
      <c r="A356">
        <v>332</v>
      </c>
      <c r="B356">
        <v>0.64646900987671518</v>
      </c>
      <c r="C356">
        <v>-0.64646900987671518</v>
      </c>
      <c r="D356">
        <v>-1.3552955163476228</v>
      </c>
      <c r="F356">
        <v>66.566265060240966</v>
      </c>
      <c r="G356">
        <v>1</v>
      </c>
    </row>
    <row r="357" spans="1:7" x14ac:dyDescent="0.2">
      <c r="A357">
        <v>333</v>
      </c>
      <c r="B357">
        <v>0.35799229741096827</v>
      </c>
      <c r="C357">
        <v>-0.35799229741096827</v>
      </c>
      <c r="D357">
        <v>-0.75051603117154397</v>
      </c>
      <c r="F357">
        <v>66.767068273092377</v>
      </c>
      <c r="G357">
        <v>1</v>
      </c>
    </row>
    <row r="358" spans="1:7" x14ac:dyDescent="0.2">
      <c r="A358">
        <v>334</v>
      </c>
      <c r="B358">
        <v>0.60427692818822132</v>
      </c>
      <c r="C358">
        <v>0.39572307181177868</v>
      </c>
      <c r="D358">
        <v>0.82961703770470163</v>
      </c>
      <c r="F358">
        <v>66.967871485943775</v>
      </c>
      <c r="G358">
        <v>1</v>
      </c>
    </row>
    <row r="359" spans="1:7" x14ac:dyDescent="0.2">
      <c r="A359">
        <v>335</v>
      </c>
      <c r="B359">
        <v>0.33647470842437494</v>
      </c>
      <c r="C359">
        <v>-0.33647470842437494</v>
      </c>
      <c r="D359">
        <v>-0.705405296657445</v>
      </c>
      <c r="F359">
        <v>67.168674698795186</v>
      </c>
      <c r="G359">
        <v>1</v>
      </c>
    </row>
    <row r="360" spans="1:7" x14ac:dyDescent="0.2">
      <c r="A360">
        <v>336</v>
      </c>
      <c r="B360">
        <v>0.46148934069479441</v>
      </c>
      <c r="C360">
        <v>-0.46148934069479441</v>
      </c>
      <c r="D360">
        <v>-0.9674932977918812</v>
      </c>
      <c r="F360">
        <v>67.369477911646584</v>
      </c>
      <c r="G360">
        <v>1</v>
      </c>
    </row>
    <row r="361" spans="1:7" x14ac:dyDescent="0.2">
      <c r="A361">
        <v>337</v>
      </c>
      <c r="B361">
        <v>0.60608706166129234</v>
      </c>
      <c r="C361">
        <v>0.39391293833870766</v>
      </c>
      <c r="D361">
        <v>0.82582216781525131</v>
      </c>
      <c r="F361">
        <v>67.570281124497996</v>
      </c>
      <c r="G361">
        <v>1</v>
      </c>
    </row>
    <row r="362" spans="1:7" x14ac:dyDescent="0.2">
      <c r="A362">
        <v>338</v>
      </c>
      <c r="B362">
        <v>0.33680308793207797</v>
      </c>
      <c r="C362">
        <v>0.66319691206792197</v>
      </c>
      <c r="D362">
        <v>1.3903648707811287</v>
      </c>
      <c r="F362">
        <v>67.771084337349407</v>
      </c>
      <c r="G362">
        <v>1</v>
      </c>
    </row>
    <row r="363" spans="1:7" x14ac:dyDescent="0.2">
      <c r="A363">
        <v>339</v>
      </c>
      <c r="B363">
        <v>0.39525975126831314</v>
      </c>
      <c r="C363">
        <v>-0.39525975126831314</v>
      </c>
      <c r="D363">
        <v>-0.82864570536611004</v>
      </c>
      <c r="F363">
        <v>67.971887550200805</v>
      </c>
      <c r="G363">
        <v>1</v>
      </c>
    </row>
    <row r="364" spans="1:7" x14ac:dyDescent="0.2">
      <c r="A364">
        <v>340</v>
      </c>
      <c r="B364">
        <v>0.37502884774575451</v>
      </c>
      <c r="C364">
        <v>0.62497115225424549</v>
      </c>
      <c r="D364">
        <v>1.3102261478215598</v>
      </c>
      <c r="F364">
        <v>68.172690763052216</v>
      </c>
      <c r="G364">
        <v>1</v>
      </c>
    </row>
    <row r="365" spans="1:7" x14ac:dyDescent="0.2">
      <c r="A365">
        <v>341</v>
      </c>
      <c r="B365">
        <v>0.87973665141379565</v>
      </c>
      <c r="C365">
        <v>0.12026334858620435</v>
      </c>
      <c r="D365">
        <v>0.25212713158658207</v>
      </c>
      <c r="F365">
        <v>68.373493975903614</v>
      </c>
      <c r="G365">
        <v>1</v>
      </c>
    </row>
    <row r="366" spans="1:7" x14ac:dyDescent="0.2">
      <c r="A366">
        <v>342</v>
      </c>
      <c r="B366">
        <v>0.34734445345172693</v>
      </c>
      <c r="C366">
        <v>-0.34734445345172693</v>
      </c>
      <c r="D366">
        <v>-0.72819326711595378</v>
      </c>
      <c r="F366">
        <v>68.574297188755025</v>
      </c>
      <c r="G366">
        <v>1</v>
      </c>
    </row>
    <row r="367" spans="1:7" x14ac:dyDescent="0.2">
      <c r="A367">
        <v>343</v>
      </c>
      <c r="B367">
        <v>0.34734445345172693</v>
      </c>
      <c r="C367">
        <v>-0.34734445345172693</v>
      </c>
      <c r="D367">
        <v>-0.72819326711595378</v>
      </c>
      <c r="F367">
        <v>68.775100401606423</v>
      </c>
      <c r="G367">
        <v>1</v>
      </c>
    </row>
    <row r="368" spans="1:7" x14ac:dyDescent="0.2">
      <c r="A368">
        <v>344</v>
      </c>
      <c r="B368">
        <v>0.34734445345172693</v>
      </c>
      <c r="C368">
        <v>-0.34734445345172693</v>
      </c>
      <c r="D368">
        <v>-0.72819326711595378</v>
      </c>
      <c r="F368">
        <v>68.975903614457835</v>
      </c>
      <c r="G368">
        <v>1</v>
      </c>
    </row>
    <row r="369" spans="1:7" x14ac:dyDescent="0.2">
      <c r="A369">
        <v>345</v>
      </c>
      <c r="B369">
        <v>0.34734445345172693</v>
      </c>
      <c r="C369">
        <v>0.65265554654827307</v>
      </c>
      <c r="D369">
        <v>1.3682653343660944</v>
      </c>
      <c r="F369">
        <v>69.176706827309246</v>
      </c>
      <c r="G369">
        <v>1</v>
      </c>
    </row>
    <row r="370" spans="1:7" x14ac:dyDescent="0.2">
      <c r="A370">
        <v>346</v>
      </c>
      <c r="B370">
        <v>0.34734445345172693</v>
      </c>
      <c r="C370">
        <v>0.65265554654827307</v>
      </c>
      <c r="D370">
        <v>1.3682653343660944</v>
      </c>
      <c r="F370">
        <v>69.377510040160644</v>
      </c>
      <c r="G370">
        <v>1</v>
      </c>
    </row>
    <row r="371" spans="1:7" x14ac:dyDescent="0.2">
      <c r="A371">
        <v>347</v>
      </c>
      <c r="B371">
        <v>0.35394611670645659</v>
      </c>
      <c r="C371">
        <v>0.64605388329354341</v>
      </c>
      <c r="D371">
        <v>1.3544252206516283</v>
      </c>
      <c r="F371">
        <v>69.578313253012055</v>
      </c>
      <c r="G371">
        <v>1</v>
      </c>
    </row>
    <row r="372" spans="1:7" x14ac:dyDescent="0.2">
      <c r="A372">
        <v>348</v>
      </c>
      <c r="B372">
        <v>0.35352020294808695</v>
      </c>
      <c r="C372">
        <v>0.64647979705191305</v>
      </c>
      <c r="D372">
        <v>1.355318131213852</v>
      </c>
      <c r="F372">
        <v>69.779116465863453</v>
      </c>
      <c r="G372">
        <v>1</v>
      </c>
    </row>
    <row r="373" spans="1:7" x14ac:dyDescent="0.2">
      <c r="A373">
        <v>349</v>
      </c>
      <c r="B373">
        <v>0.33810744881708504</v>
      </c>
      <c r="C373">
        <v>-0.33810744881708504</v>
      </c>
      <c r="D373">
        <v>-0.70882826929772935</v>
      </c>
      <c r="F373">
        <v>69.979919678714865</v>
      </c>
      <c r="G373">
        <v>1</v>
      </c>
    </row>
    <row r="374" spans="1:7" x14ac:dyDescent="0.2">
      <c r="A374">
        <v>350</v>
      </c>
      <c r="B374">
        <v>0.33930533126249968</v>
      </c>
      <c r="C374">
        <v>-0.33930533126249968</v>
      </c>
      <c r="D374">
        <v>-0.71133958025398314</v>
      </c>
      <c r="F374">
        <v>70.180722891566262</v>
      </c>
      <c r="G374">
        <v>1</v>
      </c>
    </row>
    <row r="375" spans="1:7" x14ac:dyDescent="0.2">
      <c r="A375">
        <v>351</v>
      </c>
      <c r="B375">
        <v>0.39419496687238897</v>
      </c>
      <c r="C375">
        <v>-0.39419496687238897</v>
      </c>
      <c r="D375">
        <v>-0.82641342896055092</v>
      </c>
      <c r="F375">
        <v>70.381526104417674</v>
      </c>
      <c r="G375">
        <v>1</v>
      </c>
    </row>
    <row r="376" spans="1:7" x14ac:dyDescent="0.2">
      <c r="A376">
        <v>352</v>
      </c>
      <c r="B376">
        <v>0.33505513786772889</v>
      </c>
      <c r="C376">
        <v>-0.33505513786772889</v>
      </c>
      <c r="D376">
        <v>-0.70242922575355371</v>
      </c>
      <c r="F376">
        <v>70.582329317269085</v>
      </c>
      <c r="G376">
        <v>1</v>
      </c>
    </row>
    <row r="377" spans="1:7" x14ac:dyDescent="0.2">
      <c r="A377">
        <v>353</v>
      </c>
      <c r="B377">
        <v>0.35756638365259863</v>
      </c>
      <c r="C377">
        <v>-0.35756638365259863</v>
      </c>
      <c r="D377">
        <v>-0.74962312060932046</v>
      </c>
      <c r="F377">
        <v>70.783132530120483</v>
      </c>
      <c r="G377">
        <v>1</v>
      </c>
    </row>
    <row r="378" spans="1:7" x14ac:dyDescent="0.2">
      <c r="A378">
        <v>354</v>
      </c>
      <c r="B378">
        <v>0.33504619367880312</v>
      </c>
      <c r="C378">
        <v>-0.33504619367880312</v>
      </c>
      <c r="D378">
        <v>-0.70241047463174699</v>
      </c>
      <c r="F378">
        <v>70.983935742971894</v>
      </c>
      <c r="G378">
        <v>1</v>
      </c>
    </row>
    <row r="379" spans="1:7" x14ac:dyDescent="0.2">
      <c r="A379">
        <v>355</v>
      </c>
      <c r="B379">
        <v>0.33989096268025798</v>
      </c>
      <c r="C379">
        <v>-0.33989096268025798</v>
      </c>
      <c r="D379">
        <v>-0.71256733227704072</v>
      </c>
      <c r="F379">
        <v>71.184738955823292</v>
      </c>
      <c r="G379">
        <v>1</v>
      </c>
    </row>
    <row r="380" spans="1:7" x14ac:dyDescent="0.2">
      <c r="A380">
        <v>356</v>
      </c>
      <c r="B380">
        <v>0.43678634270935446</v>
      </c>
      <c r="C380">
        <v>0.56321365729064554</v>
      </c>
      <c r="D380">
        <v>1.1807541162991364</v>
      </c>
      <c r="F380">
        <v>71.385542168674704</v>
      </c>
      <c r="G380">
        <v>1</v>
      </c>
    </row>
    <row r="381" spans="1:7" x14ac:dyDescent="0.2">
      <c r="A381">
        <v>357</v>
      </c>
      <c r="B381">
        <v>0.34734445345172693</v>
      </c>
      <c r="C381">
        <v>-0.34734445345172693</v>
      </c>
      <c r="D381">
        <v>-0.72819326711595378</v>
      </c>
      <c r="F381">
        <v>71.586345381526101</v>
      </c>
      <c r="G381">
        <v>1</v>
      </c>
    </row>
    <row r="382" spans="1:7" x14ac:dyDescent="0.2">
      <c r="A382">
        <v>358</v>
      </c>
      <c r="B382">
        <v>0.33643935758243027</v>
      </c>
      <c r="C382">
        <v>0.66356064241756973</v>
      </c>
      <c r="D382">
        <v>1.3911274164012677</v>
      </c>
      <c r="F382">
        <v>71.787148594377513</v>
      </c>
      <c r="G382">
        <v>1</v>
      </c>
    </row>
    <row r="383" spans="1:7" x14ac:dyDescent="0.2">
      <c r="A383">
        <v>359</v>
      </c>
      <c r="B383">
        <v>0.33643935758243027</v>
      </c>
      <c r="C383">
        <v>0.66356064241756973</v>
      </c>
      <c r="D383">
        <v>1.3911274164012677</v>
      </c>
      <c r="F383">
        <v>71.987951807228924</v>
      </c>
      <c r="G383">
        <v>1</v>
      </c>
    </row>
    <row r="384" spans="1:7" x14ac:dyDescent="0.2">
      <c r="A384">
        <v>360</v>
      </c>
      <c r="B384">
        <v>0.37907502845026619</v>
      </c>
      <c r="C384">
        <v>-0.37907502845026619</v>
      </c>
      <c r="D384">
        <v>-0.79471510400161272</v>
      </c>
      <c r="F384">
        <v>72.188755020080322</v>
      </c>
      <c r="G384">
        <v>1</v>
      </c>
    </row>
    <row r="385" spans="1:7" x14ac:dyDescent="0.2">
      <c r="A385">
        <v>361</v>
      </c>
      <c r="B385">
        <v>0.37869340972276699</v>
      </c>
      <c r="C385">
        <v>-0.37869340972276699</v>
      </c>
      <c r="D385">
        <v>-0.7939150561378604</v>
      </c>
      <c r="F385">
        <v>72.389558232931734</v>
      </c>
      <c r="G385">
        <v>1</v>
      </c>
    </row>
    <row r="386" spans="1:7" x14ac:dyDescent="0.2">
      <c r="A386">
        <v>362</v>
      </c>
      <c r="B386">
        <v>0.35044127238883271</v>
      </c>
      <c r="C386">
        <v>-0.35044127238883271</v>
      </c>
      <c r="D386">
        <v>-0.7346856198138817</v>
      </c>
      <c r="F386">
        <v>72.590361445783131</v>
      </c>
      <c r="G386">
        <v>1</v>
      </c>
    </row>
    <row r="387" spans="1:7" x14ac:dyDescent="0.2">
      <c r="A387">
        <v>363</v>
      </c>
      <c r="B387">
        <v>0.33467351914022969</v>
      </c>
      <c r="C387">
        <v>-0.33467351914022969</v>
      </c>
      <c r="D387">
        <v>-0.70162917788980139</v>
      </c>
      <c r="F387">
        <v>72.791164658634543</v>
      </c>
      <c r="G387">
        <v>1</v>
      </c>
    </row>
    <row r="388" spans="1:7" x14ac:dyDescent="0.2">
      <c r="A388">
        <v>364</v>
      </c>
      <c r="B388">
        <v>0.3526683754313476</v>
      </c>
      <c r="C388">
        <v>-0.3526683754313476</v>
      </c>
      <c r="D388">
        <v>-0.73935464914374893</v>
      </c>
      <c r="F388">
        <v>72.99196787148594</v>
      </c>
      <c r="G388">
        <v>1</v>
      </c>
    </row>
    <row r="389" spans="1:7" x14ac:dyDescent="0.2">
      <c r="A389">
        <v>365</v>
      </c>
      <c r="B389">
        <v>0.33509943289859934</v>
      </c>
      <c r="C389">
        <v>-0.33509943289859934</v>
      </c>
      <c r="D389">
        <v>-0.70252208845202502</v>
      </c>
      <c r="F389">
        <v>73.192771084337352</v>
      </c>
      <c r="G389">
        <v>1</v>
      </c>
    </row>
    <row r="390" spans="1:7" x14ac:dyDescent="0.2">
      <c r="A390">
        <v>366</v>
      </c>
      <c r="B390">
        <v>0.47991011074428203</v>
      </c>
      <c r="C390">
        <v>0.52008988925571797</v>
      </c>
      <c r="D390">
        <v>1.0903469218739958</v>
      </c>
      <c r="F390">
        <v>73.393574297188763</v>
      </c>
      <c r="G390">
        <v>1</v>
      </c>
    </row>
    <row r="391" spans="1:7" x14ac:dyDescent="0.2">
      <c r="A391">
        <v>367</v>
      </c>
      <c r="B391">
        <v>0.33505513786772889</v>
      </c>
      <c r="C391">
        <v>0.66494486213227111</v>
      </c>
      <c r="D391">
        <v>1.3940293757284945</v>
      </c>
      <c r="F391">
        <v>73.594377510040161</v>
      </c>
      <c r="G391">
        <v>1</v>
      </c>
    </row>
    <row r="392" spans="1:7" x14ac:dyDescent="0.2">
      <c r="A392">
        <v>368</v>
      </c>
      <c r="B392">
        <v>0.3361642172945235</v>
      </c>
      <c r="C392">
        <v>0.6638357827054765</v>
      </c>
      <c r="D392">
        <v>1.3917042366244641</v>
      </c>
      <c r="F392">
        <v>73.795180722891573</v>
      </c>
      <c r="G392">
        <v>1</v>
      </c>
    </row>
    <row r="393" spans="1:7" x14ac:dyDescent="0.2">
      <c r="A393">
        <v>369</v>
      </c>
      <c r="B393">
        <v>0.46723917643278479</v>
      </c>
      <c r="C393">
        <v>0.53276082356721521</v>
      </c>
      <c r="D393">
        <v>1.1169110111001483</v>
      </c>
      <c r="F393">
        <v>73.99598393574297</v>
      </c>
      <c r="G393">
        <v>1</v>
      </c>
    </row>
    <row r="394" spans="1:7" x14ac:dyDescent="0.2">
      <c r="A394">
        <v>370</v>
      </c>
      <c r="B394">
        <v>0.43772697324471388</v>
      </c>
      <c r="C394">
        <v>0.56227302675528612</v>
      </c>
      <c r="D394">
        <v>1.1787821233224653</v>
      </c>
      <c r="F394">
        <v>74.196787148594382</v>
      </c>
      <c r="G394">
        <v>1</v>
      </c>
    </row>
    <row r="395" spans="1:7" x14ac:dyDescent="0.2">
      <c r="A395">
        <v>371</v>
      </c>
      <c r="B395">
        <v>0.33349331211578737</v>
      </c>
      <c r="C395">
        <v>-0.33349331211578737</v>
      </c>
      <c r="D395">
        <v>-0.69915492272187973</v>
      </c>
      <c r="F395">
        <v>74.397590361445779</v>
      </c>
      <c r="G395">
        <v>1</v>
      </c>
    </row>
    <row r="396" spans="1:7" x14ac:dyDescent="0.2">
      <c r="A396">
        <v>372</v>
      </c>
      <c r="B396">
        <v>0.33680308793207797</v>
      </c>
      <c r="C396">
        <v>-0.33680308793207797</v>
      </c>
      <c r="D396">
        <v>-0.70609373070091952</v>
      </c>
      <c r="F396">
        <v>74.598393574297191</v>
      </c>
      <c r="G396">
        <v>1</v>
      </c>
    </row>
    <row r="397" spans="1:7" x14ac:dyDescent="0.2">
      <c r="A397">
        <v>373</v>
      </c>
      <c r="B397">
        <v>0.60850050197309402</v>
      </c>
      <c r="C397">
        <v>-0.60850050197309402</v>
      </c>
      <c r="D397">
        <v>-1.2756961113676371</v>
      </c>
      <c r="F397">
        <v>74.799196787148603</v>
      </c>
      <c r="G397">
        <v>1</v>
      </c>
    </row>
    <row r="398" spans="1:7" x14ac:dyDescent="0.2">
      <c r="A398">
        <v>374</v>
      </c>
      <c r="B398">
        <v>0.36454072144590177</v>
      </c>
      <c r="C398">
        <v>-0.36454072144590177</v>
      </c>
      <c r="D398">
        <v>-0.76424453106573209</v>
      </c>
      <c r="F398">
        <v>75</v>
      </c>
      <c r="G398">
        <v>1</v>
      </c>
    </row>
    <row r="399" spans="1:7" x14ac:dyDescent="0.2">
      <c r="A399">
        <v>375</v>
      </c>
      <c r="B399">
        <v>0.49464843043890561</v>
      </c>
      <c r="C399">
        <v>0.50535156956109439</v>
      </c>
      <c r="D399">
        <v>1.0594486447788098</v>
      </c>
      <c r="F399">
        <v>75.200803212851412</v>
      </c>
      <c r="G399">
        <v>1</v>
      </c>
    </row>
    <row r="400" spans="1:7" x14ac:dyDescent="0.2">
      <c r="A400">
        <v>376</v>
      </c>
      <c r="B400">
        <v>0.33509943289859934</v>
      </c>
      <c r="C400">
        <v>0.66490056710140066</v>
      </c>
      <c r="D400">
        <v>1.3939365130300232</v>
      </c>
      <c r="F400">
        <v>75.401606425702809</v>
      </c>
      <c r="G400">
        <v>1</v>
      </c>
    </row>
    <row r="401" spans="1:7" x14ac:dyDescent="0.2">
      <c r="A401">
        <v>377</v>
      </c>
      <c r="B401">
        <v>0.77006385863360949</v>
      </c>
      <c r="C401">
        <v>-0.77006385863360949</v>
      </c>
      <c r="D401">
        <v>-1.6144070001228865</v>
      </c>
      <c r="F401">
        <v>75.602409638554221</v>
      </c>
      <c r="G401">
        <v>1</v>
      </c>
    </row>
    <row r="402" spans="1:7" x14ac:dyDescent="0.2">
      <c r="A402">
        <v>378</v>
      </c>
      <c r="B402">
        <v>0.32820495393499055</v>
      </c>
      <c r="C402">
        <v>-0.32820495393499055</v>
      </c>
      <c r="D402">
        <v>-0.68806809872603036</v>
      </c>
      <c r="F402">
        <v>75.803212851405618</v>
      </c>
      <c r="G402">
        <v>1</v>
      </c>
    </row>
    <row r="403" spans="1:7" x14ac:dyDescent="0.2">
      <c r="A403">
        <v>379</v>
      </c>
      <c r="B403">
        <v>0.33621745651431967</v>
      </c>
      <c r="C403">
        <v>-0.33621745651431967</v>
      </c>
      <c r="D403">
        <v>-0.70486597867786194</v>
      </c>
      <c r="F403">
        <v>76.00401606425703</v>
      </c>
      <c r="G403">
        <v>1</v>
      </c>
    </row>
    <row r="404" spans="1:7" x14ac:dyDescent="0.2">
      <c r="A404">
        <v>380</v>
      </c>
      <c r="B404">
        <v>0.80419019852297813</v>
      </c>
      <c r="C404">
        <v>0.19580980147702187</v>
      </c>
      <c r="D404">
        <v>0.4105071425609948</v>
      </c>
      <c r="F404">
        <v>76.204819277108442</v>
      </c>
      <c r="G404">
        <v>1</v>
      </c>
    </row>
    <row r="405" spans="1:7" x14ac:dyDescent="0.2">
      <c r="A405">
        <v>381</v>
      </c>
      <c r="B405">
        <v>0.35318309220833732</v>
      </c>
      <c r="C405">
        <v>0.64681690779166268</v>
      </c>
      <c r="D405">
        <v>1.356024869923852</v>
      </c>
      <c r="F405">
        <v>76.405622489959839</v>
      </c>
      <c r="G405">
        <v>1</v>
      </c>
    </row>
    <row r="406" spans="1:7" x14ac:dyDescent="0.2">
      <c r="A406">
        <v>382</v>
      </c>
      <c r="B406">
        <v>0.33653689183309693</v>
      </c>
      <c r="C406">
        <v>-0.33653689183309693</v>
      </c>
      <c r="D406">
        <v>-0.70553566159952974</v>
      </c>
      <c r="F406">
        <v>76.606425702811251</v>
      </c>
      <c r="G406">
        <v>1</v>
      </c>
    </row>
    <row r="407" spans="1:7" x14ac:dyDescent="0.2">
      <c r="A407">
        <v>383</v>
      </c>
      <c r="B407">
        <v>0.43039763633380967</v>
      </c>
      <c r="C407">
        <v>0.56960236366619033</v>
      </c>
      <c r="D407">
        <v>1.1941477747324905</v>
      </c>
      <c r="F407">
        <v>76.807228915662648</v>
      </c>
      <c r="G407">
        <v>1</v>
      </c>
    </row>
    <row r="408" spans="1:7" x14ac:dyDescent="0.2">
      <c r="A408">
        <v>384</v>
      </c>
      <c r="B408">
        <v>0.33647470842437494</v>
      </c>
      <c r="C408">
        <v>-0.33647470842437494</v>
      </c>
      <c r="D408">
        <v>-0.705405296657445</v>
      </c>
      <c r="F408">
        <v>77.00803212851406</v>
      </c>
      <c r="G408">
        <v>1</v>
      </c>
    </row>
    <row r="409" spans="1:7" x14ac:dyDescent="0.2">
      <c r="A409">
        <v>385</v>
      </c>
      <c r="B409">
        <v>0.47618336535854755</v>
      </c>
      <c r="C409">
        <v>-0.47618336535854755</v>
      </c>
      <c r="D409">
        <v>-0.99829871218859578</v>
      </c>
      <c r="F409">
        <v>77.208835341365457</v>
      </c>
      <c r="G409">
        <v>1</v>
      </c>
    </row>
    <row r="410" spans="1:7" x14ac:dyDescent="0.2">
      <c r="A410">
        <v>386</v>
      </c>
      <c r="B410">
        <v>0.41953683549538345</v>
      </c>
      <c r="C410">
        <v>-0.41953683549538345</v>
      </c>
      <c r="D410">
        <v>-0.8795416074128557</v>
      </c>
      <c r="F410">
        <v>77.409638554216869</v>
      </c>
      <c r="G410">
        <v>1</v>
      </c>
    </row>
    <row r="411" spans="1:7" x14ac:dyDescent="0.2">
      <c r="A411">
        <v>387</v>
      </c>
      <c r="B411">
        <v>0.34734445345172693</v>
      </c>
      <c r="C411">
        <v>0.65265554654827307</v>
      </c>
      <c r="D411">
        <v>1.3682653343660944</v>
      </c>
      <c r="F411">
        <v>77.610441767068281</v>
      </c>
      <c r="G411">
        <v>1</v>
      </c>
    </row>
    <row r="412" spans="1:7" x14ac:dyDescent="0.2">
      <c r="A412">
        <v>388</v>
      </c>
      <c r="B412">
        <v>0.33611992226365306</v>
      </c>
      <c r="C412">
        <v>-0.33611992226365306</v>
      </c>
      <c r="D412">
        <v>-0.70466150215911283</v>
      </c>
      <c r="F412">
        <v>77.811244979919678</v>
      </c>
      <c r="G412">
        <v>1</v>
      </c>
    </row>
    <row r="413" spans="1:7" x14ac:dyDescent="0.2">
      <c r="A413">
        <v>389</v>
      </c>
      <c r="B413">
        <v>0.34521488465987865</v>
      </c>
      <c r="C413">
        <v>0.6547851153401214</v>
      </c>
      <c r="D413">
        <v>1.3727298871772124</v>
      </c>
      <c r="F413">
        <v>78.01204819277109</v>
      </c>
      <c r="G413">
        <v>1</v>
      </c>
    </row>
    <row r="414" spans="1:7" x14ac:dyDescent="0.2">
      <c r="A414">
        <v>390</v>
      </c>
      <c r="B414">
        <v>0.57520831417949236</v>
      </c>
      <c r="C414">
        <v>0.42479168582050764</v>
      </c>
      <c r="D414">
        <v>0.89055818357646299</v>
      </c>
      <c r="F414">
        <v>78.212851405622487</v>
      </c>
      <c r="G414">
        <v>1</v>
      </c>
    </row>
    <row r="415" spans="1:7" x14ac:dyDescent="0.2">
      <c r="A415">
        <v>391</v>
      </c>
      <c r="B415">
        <v>0.33626175154519011</v>
      </c>
      <c r="C415">
        <v>0.66373824845480989</v>
      </c>
      <c r="D415">
        <v>1.3914997601057151</v>
      </c>
      <c r="F415">
        <v>78.413654618473899</v>
      </c>
      <c r="G415">
        <v>1</v>
      </c>
    </row>
    <row r="416" spans="1:7" x14ac:dyDescent="0.2">
      <c r="A416">
        <v>392</v>
      </c>
      <c r="B416">
        <v>0.33653689183309693</v>
      </c>
      <c r="C416">
        <v>-0.33653689183309693</v>
      </c>
      <c r="D416">
        <v>-0.70553566159952974</v>
      </c>
      <c r="F416">
        <v>78.614457831325311</v>
      </c>
      <c r="G416">
        <v>1</v>
      </c>
    </row>
    <row r="417" spans="1:7" x14ac:dyDescent="0.2">
      <c r="A417">
        <v>393</v>
      </c>
      <c r="B417">
        <v>0.56088696405431271</v>
      </c>
      <c r="C417">
        <v>0.43911303594568729</v>
      </c>
      <c r="D417">
        <v>0.92058230123123197</v>
      </c>
      <c r="F417">
        <v>78.815261044176708</v>
      </c>
      <c r="G417">
        <v>1</v>
      </c>
    </row>
    <row r="418" spans="1:7" x14ac:dyDescent="0.2">
      <c r="A418">
        <v>394</v>
      </c>
      <c r="B418">
        <v>0.35522385798156553</v>
      </c>
      <c r="C418">
        <v>0.64477614201843447</v>
      </c>
      <c r="D418">
        <v>1.3517464889649575</v>
      </c>
      <c r="F418">
        <v>79.01606425702812</v>
      </c>
      <c r="G418">
        <v>1</v>
      </c>
    </row>
    <row r="419" spans="1:7" x14ac:dyDescent="0.2">
      <c r="A419">
        <v>395</v>
      </c>
      <c r="B419">
        <v>0.33626175154519011</v>
      </c>
      <c r="C419">
        <v>-0.33626175154519011</v>
      </c>
      <c r="D419">
        <v>-0.70495884137633325</v>
      </c>
      <c r="F419">
        <v>79.216867469879517</v>
      </c>
      <c r="G419">
        <v>1</v>
      </c>
    </row>
    <row r="420" spans="1:7" x14ac:dyDescent="0.2">
      <c r="A420">
        <v>396</v>
      </c>
      <c r="B420">
        <v>0.33638611836263405</v>
      </c>
      <c r="C420">
        <v>-0.33638611836263405</v>
      </c>
      <c r="D420">
        <v>-0.7052195712605025</v>
      </c>
      <c r="F420">
        <v>79.417670682730929</v>
      </c>
      <c r="G420">
        <v>1</v>
      </c>
    </row>
    <row r="421" spans="1:7" x14ac:dyDescent="0.2">
      <c r="A421">
        <v>397</v>
      </c>
      <c r="B421">
        <v>0.37502884774575451</v>
      </c>
      <c r="C421">
        <v>-0.37502884774575451</v>
      </c>
      <c r="D421">
        <v>-0.78623245366048844</v>
      </c>
      <c r="F421">
        <v>79.618473895582326</v>
      </c>
      <c r="G421">
        <v>1</v>
      </c>
    </row>
    <row r="422" spans="1:7" x14ac:dyDescent="0.2">
      <c r="A422">
        <v>398</v>
      </c>
      <c r="B422">
        <v>0.34202053147210626</v>
      </c>
      <c r="C422">
        <v>-0.34202053147210626</v>
      </c>
      <c r="D422">
        <v>-0.71703188508815874</v>
      </c>
      <c r="F422">
        <v>79.819277108433738</v>
      </c>
      <c r="G422">
        <v>1</v>
      </c>
    </row>
    <row r="423" spans="1:7" x14ac:dyDescent="0.2">
      <c r="A423">
        <v>399</v>
      </c>
      <c r="B423">
        <v>0.34659910437458002</v>
      </c>
      <c r="C423">
        <v>0.65340089562542003</v>
      </c>
      <c r="D423">
        <v>1.3698279278499859</v>
      </c>
      <c r="F423">
        <v>80.02008032128515</v>
      </c>
      <c r="G423">
        <v>1</v>
      </c>
    </row>
    <row r="424" spans="1:7" x14ac:dyDescent="0.2">
      <c r="A424">
        <v>400</v>
      </c>
      <c r="B424">
        <v>0.33653689183309693</v>
      </c>
      <c r="C424">
        <v>0.66346310816690313</v>
      </c>
      <c r="D424">
        <v>1.3909229398825187</v>
      </c>
      <c r="F424">
        <v>80.220883534136547</v>
      </c>
      <c r="G424">
        <v>1</v>
      </c>
    </row>
    <row r="425" spans="1:7" x14ac:dyDescent="0.2">
      <c r="A425">
        <v>401</v>
      </c>
      <c r="B425">
        <v>0.33680308793207797</v>
      </c>
      <c r="C425">
        <v>-0.33680308793207797</v>
      </c>
      <c r="D425">
        <v>-0.70609373070091952</v>
      </c>
      <c r="F425">
        <v>80.421686746987959</v>
      </c>
      <c r="G425">
        <v>1</v>
      </c>
    </row>
    <row r="426" spans="1:7" x14ac:dyDescent="0.2">
      <c r="A426">
        <v>402</v>
      </c>
      <c r="B426">
        <v>0.34058307253760867</v>
      </c>
      <c r="C426">
        <v>-0.34058307253760867</v>
      </c>
      <c r="D426">
        <v>-0.71401831194065402</v>
      </c>
      <c r="F426">
        <v>80.622489959839356</v>
      </c>
      <c r="G426">
        <v>1</v>
      </c>
    </row>
    <row r="427" spans="1:7" x14ac:dyDescent="0.2">
      <c r="A427">
        <v>403</v>
      </c>
      <c r="B427">
        <v>0.35341372450849451</v>
      </c>
      <c r="C427">
        <v>-0.35341372450849451</v>
      </c>
      <c r="D427">
        <v>-0.74091724262764025</v>
      </c>
      <c r="F427">
        <v>80.823293172690768</v>
      </c>
      <c r="G427">
        <v>1</v>
      </c>
    </row>
    <row r="428" spans="1:7" x14ac:dyDescent="0.2">
      <c r="A428">
        <v>404</v>
      </c>
      <c r="B428">
        <v>0.33810744881708504</v>
      </c>
      <c r="C428">
        <v>-0.33810744881708504</v>
      </c>
      <c r="D428">
        <v>-0.70882826929772935</v>
      </c>
      <c r="F428">
        <v>81.024096385542165</v>
      </c>
      <c r="G428">
        <v>1</v>
      </c>
    </row>
    <row r="429" spans="1:7" x14ac:dyDescent="0.2">
      <c r="A429">
        <v>405</v>
      </c>
      <c r="B429">
        <v>0.36438100378651311</v>
      </c>
      <c r="C429">
        <v>-0.36438100378651311</v>
      </c>
      <c r="D429">
        <v>-0.76390968960489825</v>
      </c>
      <c r="F429">
        <v>81.224899598393577</v>
      </c>
      <c r="G429">
        <v>1</v>
      </c>
    </row>
    <row r="430" spans="1:7" x14ac:dyDescent="0.2">
      <c r="A430">
        <v>406</v>
      </c>
      <c r="B430">
        <v>0.3361642172945235</v>
      </c>
      <c r="C430">
        <v>-0.3361642172945235</v>
      </c>
      <c r="D430">
        <v>-0.70475436485758414</v>
      </c>
      <c r="F430">
        <v>81.425702811244989</v>
      </c>
      <c r="G430">
        <v>1</v>
      </c>
    </row>
    <row r="431" spans="1:7" x14ac:dyDescent="0.2">
      <c r="A431">
        <v>407</v>
      </c>
      <c r="B431">
        <v>0.35958947400485453</v>
      </c>
      <c r="C431">
        <v>0.64041052599514547</v>
      </c>
      <c r="D431">
        <v>1.3425941557021654</v>
      </c>
      <c r="F431">
        <v>81.626506024096386</v>
      </c>
      <c r="G431">
        <v>1</v>
      </c>
    </row>
    <row r="432" spans="1:7" x14ac:dyDescent="0.2">
      <c r="A432">
        <v>408</v>
      </c>
      <c r="B432">
        <v>0.33621745651431967</v>
      </c>
      <c r="C432">
        <v>-0.33621745651431967</v>
      </c>
      <c r="D432">
        <v>-0.70486597867786194</v>
      </c>
      <c r="F432">
        <v>81.827309236947798</v>
      </c>
      <c r="G432">
        <v>1</v>
      </c>
    </row>
    <row r="433" spans="1:7" x14ac:dyDescent="0.2">
      <c r="A433">
        <v>409</v>
      </c>
      <c r="B433">
        <v>0.37389314870906182</v>
      </c>
      <c r="C433">
        <v>-0.37389314870906182</v>
      </c>
      <c r="D433">
        <v>-0.78385150764631917</v>
      </c>
      <c r="F433">
        <v>82.028112449799195</v>
      </c>
      <c r="G433">
        <v>1</v>
      </c>
    </row>
    <row r="434" spans="1:7" x14ac:dyDescent="0.2">
      <c r="A434">
        <v>410</v>
      </c>
      <c r="B434">
        <v>0.33647470842437494</v>
      </c>
      <c r="C434">
        <v>-0.33647470842437494</v>
      </c>
      <c r="D434">
        <v>-0.705405296657445</v>
      </c>
      <c r="F434">
        <v>82.228915662650607</v>
      </c>
      <c r="G434">
        <v>1</v>
      </c>
    </row>
    <row r="435" spans="1:7" x14ac:dyDescent="0.2">
      <c r="A435">
        <v>411</v>
      </c>
      <c r="B435">
        <v>0.33426528080283235</v>
      </c>
      <c r="C435">
        <v>-0.33426528080283235</v>
      </c>
      <c r="D435">
        <v>-0.70077332311591001</v>
      </c>
      <c r="F435">
        <v>82.429718875502004</v>
      </c>
      <c r="G435">
        <v>1</v>
      </c>
    </row>
    <row r="436" spans="1:7" x14ac:dyDescent="0.2">
      <c r="A436">
        <v>412</v>
      </c>
      <c r="B436">
        <v>0.51132125042404408</v>
      </c>
      <c r="C436">
        <v>0.48867874957595592</v>
      </c>
      <c r="D436">
        <v>1.0244947679100045</v>
      </c>
      <c r="F436">
        <v>82.630522088353416</v>
      </c>
      <c r="G436">
        <v>1</v>
      </c>
    </row>
    <row r="437" spans="1:7" x14ac:dyDescent="0.2">
      <c r="A437">
        <v>413</v>
      </c>
      <c r="B437">
        <v>0.31966005915769935</v>
      </c>
      <c r="C437">
        <v>-0.31966005915769935</v>
      </c>
      <c r="D437">
        <v>-0.67015408057141912</v>
      </c>
      <c r="F437">
        <v>82.831325301204828</v>
      </c>
      <c r="G437">
        <v>1</v>
      </c>
    </row>
    <row r="438" spans="1:7" x14ac:dyDescent="0.2">
      <c r="A438">
        <v>414</v>
      </c>
      <c r="B438">
        <v>0.33653689183309693</v>
      </c>
      <c r="C438">
        <v>0.66346310816690313</v>
      </c>
      <c r="D438">
        <v>1.3909229398825187</v>
      </c>
      <c r="F438">
        <v>83.032128514056225</v>
      </c>
      <c r="G438">
        <v>1</v>
      </c>
    </row>
    <row r="439" spans="1:7" x14ac:dyDescent="0.2">
      <c r="A439">
        <v>415</v>
      </c>
      <c r="B439">
        <v>0.33680308793207797</v>
      </c>
      <c r="C439">
        <v>-0.33680308793207797</v>
      </c>
      <c r="D439">
        <v>-0.70609373070091952</v>
      </c>
      <c r="F439">
        <v>83.232931726907637</v>
      </c>
      <c r="G439">
        <v>1</v>
      </c>
    </row>
    <row r="440" spans="1:7" x14ac:dyDescent="0.2">
      <c r="A440">
        <v>416</v>
      </c>
      <c r="B440">
        <v>0.3888710448927683</v>
      </c>
      <c r="C440">
        <v>0.61112895510723164</v>
      </c>
      <c r="D440">
        <v>1.2812065545492923</v>
      </c>
      <c r="F440">
        <v>83.433734939759034</v>
      </c>
      <c r="G440">
        <v>1</v>
      </c>
    </row>
    <row r="441" spans="1:7" x14ac:dyDescent="0.2">
      <c r="A441">
        <v>417</v>
      </c>
      <c r="B441">
        <v>0.34734445345172693</v>
      </c>
      <c r="C441">
        <v>0.65265554654827307</v>
      </c>
      <c r="D441">
        <v>1.3682653343660944</v>
      </c>
      <c r="F441">
        <v>83.634538152610446</v>
      </c>
      <c r="G441">
        <v>1</v>
      </c>
    </row>
    <row r="442" spans="1:7" x14ac:dyDescent="0.2">
      <c r="A442">
        <v>418</v>
      </c>
      <c r="B442">
        <v>0.34734445345172693</v>
      </c>
      <c r="C442">
        <v>-0.34734445345172693</v>
      </c>
      <c r="D442">
        <v>-0.72819326711595378</v>
      </c>
      <c r="F442">
        <v>83.835341365461844</v>
      </c>
      <c r="G442">
        <v>1</v>
      </c>
    </row>
    <row r="443" spans="1:7" x14ac:dyDescent="0.2">
      <c r="A443">
        <v>419</v>
      </c>
      <c r="B443">
        <v>0.37108914548083516</v>
      </c>
      <c r="C443">
        <v>-0.37108914548083516</v>
      </c>
      <c r="D443">
        <v>-0.77797303095991999</v>
      </c>
      <c r="F443">
        <v>84.036144578313255</v>
      </c>
      <c r="G443">
        <v>1</v>
      </c>
    </row>
    <row r="444" spans="1:7" x14ac:dyDescent="0.2">
      <c r="A444">
        <v>420</v>
      </c>
      <c r="B444">
        <v>0.33647470842437494</v>
      </c>
      <c r="C444">
        <v>-0.33647470842437494</v>
      </c>
      <c r="D444">
        <v>-0.705405296657445</v>
      </c>
      <c r="F444">
        <v>84.236947791164667</v>
      </c>
      <c r="G444">
        <v>1</v>
      </c>
    </row>
    <row r="445" spans="1:7" x14ac:dyDescent="0.2">
      <c r="A445">
        <v>421</v>
      </c>
      <c r="B445">
        <v>0.33612865349569959</v>
      </c>
      <c r="C445">
        <v>-0.33612865349569959</v>
      </c>
      <c r="D445">
        <v>-0.70467980682563836</v>
      </c>
      <c r="F445">
        <v>84.437751004016064</v>
      </c>
      <c r="G445">
        <v>1</v>
      </c>
    </row>
    <row r="446" spans="1:7" x14ac:dyDescent="0.2">
      <c r="A446">
        <v>422</v>
      </c>
      <c r="B446">
        <v>0.33643041339350449</v>
      </c>
      <c r="C446">
        <v>-0.33643041339350449</v>
      </c>
      <c r="D446">
        <v>-0.70531243395897381</v>
      </c>
      <c r="F446">
        <v>84.638554216867476</v>
      </c>
      <c r="G446">
        <v>1</v>
      </c>
    </row>
    <row r="447" spans="1:7" x14ac:dyDescent="0.2">
      <c r="A447">
        <v>423</v>
      </c>
      <c r="B447">
        <v>0.3503258497603145</v>
      </c>
      <c r="C447">
        <v>-0.3503258497603145</v>
      </c>
      <c r="D447">
        <v>-0.73444364105151905</v>
      </c>
      <c r="F447">
        <v>84.839357429718874</v>
      </c>
      <c r="G447">
        <v>1</v>
      </c>
    </row>
    <row r="448" spans="1:7" x14ac:dyDescent="0.2">
      <c r="A448">
        <v>424</v>
      </c>
      <c r="B448">
        <v>0.36270396836293262</v>
      </c>
      <c r="C448">
        <v>-0.36270396836293262</v>
      </c>
      <c r="D448">
        <v>-0.76039385426614281</v>
      </c>
      <c r="F448">
        <v>85.040160642570285</v>
      </c>
      <c r="G448">
        <v>1</v>
      </c>
    </row>
    <row r="449" spans="1:7" x14ac:dyDescent="0.2">
      <c r="A449">
        <v>425</v>
      </c>
      <c r="B449">
        <v>0.33509943289859934</v>
      </c>
      <c r="C449">
        <v>-0.33509943289859934</v>
      </c>
      <c r="D449">
        <v>-0.70252208845202502</v>
      </c>
      <c r="F449">
        <v>85.240963855421683</v>
      </c>
      <c r="G449">
        <v>1</v>
      </c>
    </row>
    <row r="450" spans="1:7" x14ac:dyDescent="0.2">
      <c r="A450">
        <v>426</v>
      </c>
      <c r="B450">
        <v>0.37502884774575451</v>
      </c>
      <c r="C450">
        <v>0.62497115225424549</v>
      </c>
      <c r="D450">
        <v>1.3102261478215598</v>
      </c>
      <c r="F450">
        <v>85.441767068273094</v>
      </c>
      <c r="G450">
        <v>1</v>
      </c>
    </row>
    <row r="451" spans="1:7" x14ac:dyDescent="0.2">
      <c r="A451">
        <v>427</v>
      </c>
      <c r="B451">
        <v>0.37502884774575451</v>
      </c>
      <c r="C451">
        <v>0.62497115225424549</v>
      </c>
      <c r="D451">
        <v>1.3102261478215598</v>
      </c>
      <c r="F451">
        <v>85.642570281124506</v>
      </c>
      <c r="G451">
        <v>1</v>
      </c>
    </row>
    <row r="452" spans="1:7" x14ac:dyDescent="0.2">
      <c r="A452">
        <v>428</v>
      </c>
      <c r="B452">
        <v>0.3361642172945235</v>
      </c>
      <c r="C452">
        <v>-0.3361642172945235</v>
      </c>
      <c r="D452">
        <v>-0.70475436485758414</v>
      </c>
      <c r="F452">
        <v>85.843373493975903</v>
      </c>
      <c r="G452">
        <v>1</v>
      </c>
    </row>
    <row r="453" spans="1:7" x14ac:dyDescent="0.2">
      <c r="A453">
        <v>429</v>
      </c>
      <c r="B453">
        <v>0.33680308793207797</v>
      </c>
      <c r="C453">
        <v>0.66319691206792197</v>
      </c>
      <c r="D453">
        <v>1.3903648707811287</v>
      </c>
      <c r="F453">
        <v>86.044176706827315</v>
      </c>
      <c r="G453">
        <v>1</v>
      </c>
    </row>
    <row r="454" spans="1:7" x14ac:dyDescent="0.2">
      <c r="A454">
        <v>430</v>
      </c>
      <c r="B454">
        <v>0.37620011058127106</v>
      </c>
      <c r="C454">
        <v>0.62379988941872888</v>
      </c>
      <c r="D454">
        <v>1.3077706437754446</v>
      </c>
      <c r="F454">
        <v>86.244979919678713</v>
      </c>
      <c r="G454">
        <v>1</v>
      </c>
    </row>
    <row r="455" spans="1:7" x14ac:dyDescent="0.2">
      <c r="A455">
        <v>431</v>
      </c>
      <c r="B455">
        <v>0.35394611670645659</v>
      </c>
      <c r="C455">
        <v>0.64605388329354341</v>
      </c>
      <c r="D455">
        <v>1.3544252206516283</v>
      </c>
      <c r="F455">
        <v>86.445783132530124</v>
      </c>
      <c r="G455">
        <v>1</v>
      </c>
    </row>
    <row r="456" spans="1:7" x14ac:dyDescent="0.2">
      <c r="A456">
        <v>432</v>
      </c>
      <c r="B456">
        <v>0.37502884774575451</v>
      </c>
      <c r="C456">
        <v>0.62497115225424549</v>
      </c>
      <c r="D456">
        <v>1.3102261478215598</v>
      </c>
      <c r="F456">
        <v>86.646586345381522</v>
      </c>
      <c r="G456">
        <v>1</v>
      </c>
    </row>
    <row r="457" spans="1:7" x14ac:dyDescent="0.2">
      <c r="A457">
        <v>433</v>
      </c>
      <c r="B457">
        <v>0.33483323679961829</v>
      </c>
      <c r="C457">
        <v>-0.33483323679961829</v>
      </c>
      <c r="D457">
        <v>-0.70196401935063524</v>
      </c>
      <c r="F457">
        <v>86.847389558232933</v>
      </c>
      <c r="G457">
        <v>1</v>
      </c>
    </row>
    <row r="458" spans="1:7" x14ac:dyDescent="0.2">
      <c r="A458">
        <v>434</v>
      </c>
      <c r="B458">
        <v>0.43870295462201792</v>
      </c>
      <c r="C458">
        <v>-0.43870295462201792</v>
      </c>
      <c r="D458">
        <v>-0.91972258271291818</v>
      </c>
      <c r="F458">
        <v>87.048192771084345</v>
      </c>
      <c r="G458">
        <v>1</v>
      </c>
    </row>
    <row r="459" spans="1:7" x14ac:dyDescent="0.2">
      <c r="A459">
        <v>435</v>
      </c>
      <c r="B459">
        <v>0.57520831417949236</v>
      </c>
      <c r="C459">
        <v>0.42479168582050764</v>
      </c>
      <c r="D459">
        <v>0.89055818357646299</v>
      </c>
      <c r="F459">
        <v>87.248995983935743</v>
      </c>
      <c r="G459">
        <v>1</v>
      </c>
    </row>
    <row r="460" spans="1:7" x14ac:dyDescent="0.2">
      <c r="A460">
        <v>436</v>
      </c>
      <c r="B460">
        <v>0.39286398637748382</v>
      </c>
      <c r="C460">
        <v>-0.39286398637748382</v>
      </c>
      <c r="D460">
        <v>-0.82362308345360213</v>
      </c>
      <c r="F460">
        <v>87.449799196787154</v>
      </c>
      <c r="G460">
        <v>1</v>
      </c>
    </row>
    <row r="461" spans="1:7" x14ac:dyDescent="0.2">
      <c r="A461">
        <v>437</v>
      </c>
      <c r="B461">
        <v>0.35958947400485453</v>
      </c>
      <c r="C461">
        <v>0.64041052599514547</v>
      </c>
      <c r="D461">
        <v>1.3425941557021654</v>
      </c>
      <c r="F461">
        <v>87.650602409638552</v>
      </c>
      <c r="G461">
        <v>1</v>
      </c>
    </row>
    <row r="462" spans="1:7" x14ac:dyDescent="0.2">
      <c r="A462">
        <v>438</v>
      </c>
      <c r="B462">
        <v>0.87973665141379565</v>
      </c>
      <c r="C462">
        <v>-0.87973665141379565</v>
      </c>
      <c r="D462">
        <v>-1.8443314698954663</v>
      </c>
      <c r="F462">
        <v>87.851405622489963</v>
      </c>
      <c r="G462">
        <v>1</v>
      </c>
    </row>
    <row r="463" spans="1:7" x14ac:dyDescent="0.2">
      <c r="A463">
        <v>439</v>
      </c>
      <c r="B463">
        <v>0.34202053147210626</v>
      </c>
      <c r="C463">
        <v>-0.34202053147210626</v>
      </c>
      <c r="D463">
        <v>-0.71703188508815874</v>
      </c>
      <c r="F463">
        <v>88.052208835341375</v>
      </c>
      <c r="G463">
        <v>1</v>
      </c>
    </row>
    <row r="464" spans="1:7" x14ac:dyDescent="0.2">
      <c r="A464">
        <v>440</v>
      </c>
      <c r="B464">
        <v>0.3755612399437166</v>
      </c>
      <c r="C464">
        <v>0.6244387600562834</v>
      </c>
      <c r="D464">
        <v>1.3091100096187802</v>
      </c>
      <c r="F464">
        <v>88.253012048192772</v>
      </c>
      <c r="G464">
        <v>1</v>
      </c>
    </row>
    <row r="465" spans="1:7" x14ac:dyDescent="0.2">
      <c r="A465">
        <v>441</v>
      </c>
      <c r="B465">
        <v>0.33989096268025798</v>
      </c>
      <c r="C465">
        <v>-0.33989096268025798</v>
      </c>
      <c r="D465">
        <v>-0.71256733227704072</v>
      </c>
      <c r="F465">
        <v>88.453815261044184</v>
      </c>
      <c r="G465">
        <v>1</v>
      </c>
    </row>
    <row r="466" spans="1:7" x14ac:dyDescent="0.2">
      <c r="A466">
        <v>442</v>
      </c>
      <c r="B466">
        <v>0.33621745651431967</v>
      </c>
      <c r="C466">
        <v>-0.33621745651431967</v>
      </c>
      <c r="D466">
        <v>-0.70486597867786194</v>
      </c>
      <c r="F466">
        <v>88.654618473895582</v>
      </c>
      <c r="G466">
        <v>1</v>
      </c>
    </row>
    <row r="467" spans="1:7" x14ac:dyDescent="0.2">
      <c r="A467">
        <v>443</v>
      </c>
      <c r="B467">
        <v>0.34734445345172693</v>
      </c>
      <c r="C467">
        <v>0.65265554654827307</v>
      </c>
      <c r="D467">
        <v>1.3682653343660944</v>
      </c>
      <c r="F467">
        <v>88.855421686746993</v>
      </c>
      <c r="G467">
        <v>1</v>
      </c>
    </row>
    <row r="468" spans="1:7" x14ac:dyDescent="0.2">
      <c r="A468">
        <v>444</v>
      </c>
      <c r="B468">
        <v>0.33693618598156849</v>
      </c>
      <c r="C468">
        <v>0.66306381401843151</v>
      </c>
      <c r="D468">
        <v>1.3900858362304338</v>
      </c>
      <c r="F468">
        <v>89.056224899598391</v>
      </c>
      <c r="G468">
        <v>1</v>
      </c>
    </row>
    <row r="469" spans="1:7" x14ac:dyDescent="0.2">
      <c r="A469">
        <v>445</v>
      </c>
      <c r="B469">
        <v>0.493982940191453</v>
      </c>
      <c r="C469">
        <v>0.50601705980854694</v>
      </c>
      <c r="D469">
        <v>1.0608438175322843</v>
      </c>
      <c r="F469">
        <v>89.257028112449802</v>
      </c>
      <c r="G469">
        <v>1</v>
      </c>
    </row>
    <row r="470" spans="1:7" x14ac:dyDescent="0.2">
      <c r="A470">
        <v>446</v>
      </c>
      <c r="B470">
        <v>0.36118665059874072</v>
      </c>
      <c r="C470">
        <v>0.63881334940125933</v>
      </c>
      <c r="D470">
        <v>1.3392457410938272</v>
      </c>
      <c r="F470">
        <v>89.457831325301214</v>
      </c>
      <c r="G470">
        <v>1</v>
      </c>
    </row>
    <row r="471" spans="1:7" x14ac:dyDescent="0.2">
      <c r="A471">
        <v>447</v>
      </c>
      <c r="B471">
        <v>0.37620011058127106</v>
      </c>
      <c r="C471">
        <v>0.62379988941872888</v>
      </c>
      <c r="D471">
        <v>1.3077706437754446</v>
      </c>
      <c r="F471">
        <v>89.658634538152612</v>
      </c>
      <c r="G471">
        <v>1</v>
      </c>
    </row>
    <row r="472" spans="1:7" x14ac:dyDescent="0.2">
      <c r="A472">
        <v>448</v>
      </c>
      <c r="B472">
        <v>0.360671933821751</v>
      </c>
      <c r="C472">
        <v>0.639328066178249</v>
      </c>
      <c r="D472">
        <v>1.3403248235082743</v>
      </c>
      <c r="F472">
        <v>89.859437751004023</v>
      </c>
      <c r="G472">
        <v>1</v>
      </c>
    </row>
    <row r="473" spans="1:7" x14ac:dyDescent="0.2">
      <c r="A473">
        <v>449</v>
      </c>
      <c r="B473">
        <v>0.38461190730907174</v>
      </c>
      <c r="C473">
        <v>0.61538809269092831</v>
      </c>
      <c r="D473">
        <v>1.2901356601715286</v>
      </c>
      <c r="F473">
        <v>90.060240963855421</v>
      </c>
      <c r="G473">
        <v>1</v>
      </c>
    </row>
    <row r="474" spans="1:7" x14ac:dyDescent="0.2">
      <c r="A474">
        <v>450</v>
      </c>
      <c r="B474">
        <v>0.37875559313148899</v>
      </c>
      <c r="C474">
        <v>-0.37875559313148899</v>
      </c>
      <c r="D474">
        <v>-0.79404542107994502</v>
      </c>
      <c r="F474">
        <v>90.261044176706832</v>
      </c>
      <c r="G474">
        <v>1</v>
      </c>
    </row>
    <row r="475" spans="1:7" x14ac:dyDescent="0.2">
      <c r="A475">
        <v>451</v>
      </c>
      <c r="B475">
        <v>0.36218052035389631</v>
      </c>
      <c r="C475">
        <v>-0.36218052035389631</v>
      </c>
      <c r="D475">
        <v>-0.75929646718516997</v>
      </c>
      <c r="F475">
        <v>90.46184738955823</v>
      </c>
      <c r="G475">
        <v>1</v>
      </c>
    </row>
    <row r="476" spans="1:7" x14ac:dyDescent="0.2">
      <c r="A476">
        <v>452</v>
      </c>
      <c r="B476">
        <v>0.37875559313148899</v>
      </c>
      <c r="C476">
        <v>-0.37875559313148899</v>
      </c>
      <c r="D476">
        <v>-0.79404542107994502</v>
      </c>
      <c r="F476">
        <v>90.662650602409641</v>
      </c>
      <c r="G476">
        <v>1</v>
      </c>
    </row>
    <row r="477" spans="1:7" x14ac:dyDescent="0.2">
      <c r="A477">
        <v>453</v>
      </c>
      <c r="B477">
        <v>0.50941358270030646</v>
      </c>
      <c r="C477">
        <v>0.49058641729969354</v>
      </c>
      <c r="D477">
        <v>1.028494114318204</v>
      </c>
      <c r="F477">
        <v>90.863453815261053</v>
      </c>
      <c r="G477">
        <v>1</v>
      </c>
    </row>
    <row r="478" spans="1:7" x14ac:dyDescent="0.2">
      <c r="A478">
        <v>454</v>
      </c>
      <c r="B478">
        <v>0.33680308793207797</v>
      </c>
      <c r="C478">
        <v>-0.33680308793207797</v>
      </c>
      <c r="D478">
        <v>-0.70609373070091952</v>
      </c>
      <c r="F478">
        <v>91.064257028112451</v>
      </c>
      <c r="G478">
        <v>1</v>
      </c>
    </row>
    <row r="479" spans="1:7" x14ac:dyDescent="0.2">
      <c r="A479">
        <v>455</v>
      </c>
      <c r="B479">
        <v>0.33647470842437494</v>
      </c>
      <c r="C479">
        <v>0.66352529157562512</v>
      </c>
      <c r="D479">
        <v>1.3910533048246032</v>
      </c>
      <c r="F479">
        <v>91.265060240963862</v>
      </c>
      <c r="G479">
        <v>1</v>
      </c>
    </row>
    <row r="480" spans="1:7" x14ac:dyDescent="0.2">
      <c r="A480">
        <v>456</v>
      </c>
      <c r="B480">
        <v>0.37620011058127106</v>
      </c>
      <c r="C480">
        <v>-0.37620011058127106</v>
      </c>
      <c r="D480">
        <v>-0.78868795770660338</v>
      </c>
      <c r="F480">
        <v>91.46586345381526</v>
      </c>
      <c r="G480">
        <v>1</v>
      </c>
    </row>
    <row r="481" spans="1:7" x14ac:dyDescent="0.2">
      <c r="A481">
        <v>457</v>
      </c>
      <c r="B481">
        <v>0.4301048206249305</v>
      </c>
      <c r="C481">
        <v>0.5698951793750695</v>
      </c>
      <c r="D481">
        <v>1.1947616507440193</v>
      </c>
      <c r="F481">
        <v>91.666666666666671</v>
      </c>
      <c r="G481">
        <v>1</v>
      </c>
    </row>
    <row r="482" spans="1:7" x14ac:dyDescent="0.2">
      <c r="A482">
        <v>458</v>
      </c>
      <c r="B482">
        <v>0.34202053147210626</v>
      </c>
      <c r="C482">
        <v>0.65797946852789368</v>
      </c>
      <c r="D482">
        <v>1.3794267163938894</v>
      </c>
      <c r="F482">
        <v>91.867469879518069</v>
      </c>
      <c r="G482">
        <v>1</v>
      </c>
    </row>
    <row r="483" spans="1:7" x14ac:dyDescent="0.2">
      <c r="A483">
        <v>459</v>
      </c>
      <c r="B483">
        <v>0.3361642172945235</v>
      </c>
      <c r="C483">
        <v>-0.3361642172945235</v>
      </c>
      <c r="D483">
        <v>-0.70475436485758414</v>
      </c>
      <c r="F483">
        <v>92.068273092369481</v>
      </c>
      <c r="G483">
        <v>1</v>
      </c>
    </row>
    <row r="484" spans="1:7" x14ac:dyDescent="0.2">
      <c r="A484">
        <v>460</v>
      </c>
      <c r="B484">
        <v>0.37620011058127106</v>
      </c>
      <c r="C484">
        <v>0.62379988941872888</v>
      </c>
      <c r="D484">
        <v>1.3077706437754446</v>
      </c>
      <c r="F484">
        <v>92.269076305220892</v>
      </c>
      <c r="G484">
        <v>1</v>
      </c>
    </row>
    <row r="485" spans="1:7" x14ac:dyDescent="0.2">
      <c r="A485">
        <v>461</v>
      </c>
      <c r="B485">
        <v>0.33680308793207797</v>
      </c>
      <c r="C485">
        <v>-0.33680308793207797</v>
      </c>
      <c r="D485">
        <v>-0.70609373070091952</v>
      </c>
      <c r="F485">
        <v>92.46987951807229</v>
      </c>
      <c r="G485">
        <v>1</v>
      </c>
    </row>
    <row r="486" spans="1:7" x14ac:dyDescent="0.2">
      <c r="A486">
        <v>462</v>
      </c>
      <c r="B486">
        <v>0.40164845764385793</v>
      </c>
      <c r="C486">
        <v>-0.40164845764385793</v>
      </c>
      <c r="D486">
        <v>-0.84203936379946409</v>
      </c>
      <c r="F486">
        <v>92.670682730923701</v>
      </c>
      <c r="G486">
        <v>1</v>
      </c>
    </row>
    <row r="487" spans="1:7" x14ac:dyDescent="0.2">
      <c r="A487">
        <v>463</v>
      </c>
      <c r="B487">
        <v>0.34734445345172693</v>
      </c>
      <c r="C487">
        <v>-0.34734445345172693</v>
      </c>
      <c r="D487">
        <v>-0.72819326711595378</v>
      </c>
      <c r="F487">
        <v>92.871485943775099</v>
      </c>
      <c r="G487">
        <v>1</v>
      </c>
    </row>
    <row r="488" spans="1:7" x14ac:dyDescent="0.2">
      <c r="A488">
        <v>464</v>
      </c>
      <c r="B488">
        <v>0.33680308793207797</v>
      </c>
      <c r="C488">
        <v>-0.33680308793207797</v>
      </c>
      <c r="D488">
        <v>-0.70609373070091952</v>
      </c>
      <c r="F488">
        <v>93.07228915662651</v>
      </c>
      <c r="G488">
        <v>1</v>
      </c>
    </row>
    <row r="489" spans="1:7" x14ac:dyDescent="0.2">
      <c r="A489">
        <v>465</v>
      </c>
      <c r="B489">
        <v>0.33467351914022969</v>
      </c>
      <c r="C489">
        <v>-0.33467351914022969</v>
      </c>
      <c r="D489">
        <v>-0.70162917788980139</v>
      </c>
      <c r="F489">
        <v>93.273092369477908</v>
      </c>
      <c r="G489">
        <v>1</v>
      </c>
    </row>
    <row r="490" spans="1:7" x14ac:dyDescent="0.2">
      <c r="A490">
        <v>466</v>
      </c>
      <c r="B490">
        <v>0.31966005915769935</v>
      </c>
      <c r="C490">
        <v>-0.31966005915769935</v>
      </c>
      <c r="D490">
        <v>-0.67015408057141912</v>
      </c>
      <c r="F490">
        <v>93.47389558232932</v>
      </c>
      <c r="G490">
        <v>1</v>
      </c>
    </row>
    <row r="491" spans="1:7" x14ac:dyDescent="0.2">
      <c r="A491">
        <v>467</v>
      </c>
      <c r="B491">
        <v>0.37620011058127106</v>
      </c>
      <c r="C491">
        <v>-0.37620011058127106</v>
      </c>
      <c r="D491">
        <v>-0.78868795770660338</v>
      </c>
      <c r="F491">
        <v>93.674698795180731</v>
      </c>
      <c r="G491">
        <v>1</v>
      </c>
    </row>
    <row r="492" spans="1:7" x14ac:dyDescent="0.2">
      <c r="A492">
        <v>468</v>
      </c>
      <c r="B492">
        <v>0.33611097807472728</v>
      </c>
      <c r="C492">
        <v>-0.33611097807472728</v>
      </c>
      <c r="D492">
        <v>-0.70464275103730611</v>
      </c>
      <c r="F492">
        <v>93.875502008032129</v>
      </c>
      <c r="G492">
        <v>1</v>
      </c>
    </row>
    <row r="493" spans="1:7" x14ac:dyDescent="0.2">
      <c r="A493">
        <v>469</v>
      </c>
      <c r="B493">
        <v>0.360671933821751</v>
      </c>
      <c r="C493">
        <v>0.639328066178249</v>
      </c>
      <c r="D493">
        <v>1.3403248235082743</v>
      </c>
      <c r="F493">
        <v>94.07630522088354</v>
      </c>
      <c r="G493">
        <v>1</v>
      </c>
    </row>
    <row r="494" spans="1:7" x14ac:dyDescent="0.2">
      <c r="A494">
        <v>470</v>
      </c>
      <c r="B494">
        <v>0.33509943289859934</v>
      </c>
      <c r="C494">
        <v>-0.33509943289859934</v>
      </c>
      <c r="D494">
        <v>-0.70252208845202502</v>
      </c>
      <c r="F494">
        <v>94.277108433734938</v>
      </c>
      <c r="G494">
        <v>1</v>
      </c>
    </row>
    <row r="495" spans="1:7" x14ac:dyDescent="0.2">
      <c r="A495">
        <v>471</v>
      </c>
      <c r="B495">
        <v>0.33810744881708504</v>
      </c>
      <c r="C495">
        <v>-0.33810744881708504</v>
      </c>
      <c r="D495">
        <v>-0.70882826929772935</v>
      </c>
      <c r="F495">
        <v>94.47791164658635</v>
      </c>
      <c r="G495">
        <v>1</v>
      </c>
    </row>
    <row r="496" spans="1:7" x14ac:dyDescent="0.2">
      <c r="A496">
        <v>472</v>
      </c>
      <c r="B496">
        <v>0.37875559313148899</v>
      </c>
      <c r="C496">
        <v>0.62124440686851101</v>
      </c>
      <c r="D496">
        <v>1.3024131804021031</v>
      </c>
      <c r="F496">
        <v>94.678714859437747</v>
      </c>
      <c r="G496">
        <v>1</v>
      </c>
    </row>
    <row r="497" spans="1:7" x14ac:dyDescent="0.2">
      <c r="A497">
        <v>473</v>
      </c>
      <c r="B497">
        <v>0.3490304330642332</v>
      </c>
      <c r="C497">
        <v>0.6509695669357668</v>
      </c>
      <c r="D497">
        <v>1.3647307479055322</v>
      </c>
      <c r="F497">
        <v>94.879518072289159</v>
      </c>
      <c r="G497">
        <v>1</v>
      </c>
    </row>
    <row r="498" spans="1:7" x14ac:dyDescent="0.2">
      <c r="A498">
        <v>474</v>
      </c>
      <c r="B498">
        <v>0.34060969214750675</v>
      </c>
      <c r="C498">
        <v>-0.34060969214750675</v>
      </c>
      <c r="D498">
        <v>-0.71407411885079297</v>
      </c>
      <c r="F498">
        <v>95.08032128514057</v>
      </c>
      <c r="G498">
        <v>1</v>
      </c>
    </row>
    <row r="499" spans="1:7" x14ac:dyDescent="0.2">
      <c r="A499">
        <v>475</v>
      </c>
      <c r="B499">
        <v>0.43039763633380967</v>
      </c>
      <c r="C499">
        <v>-0.43039763633380967</v>
      </c>
      <c r="D499">
        <v>-0.90231082674955776</v>
      </c>
      <c r="F499">
        <v>95.281124497991968</v>
      </c>
      <c r="G499">
        <v>1</v>
      </c>
    </row>
    <row r="500" spans="1:7" x14ac:dyDescent="0.2">
      <c r="A500">
        <v>476</v>
      </c>
      <c r="B500">
        <v>0.36438100378651311</v>
      </c>
      <c r="C500">
        <v>-0.36438100378651311</v>
      </c>
      <c r="D500">
        <v>-0.76390968960489825</v>
      </c>
      <c r="F500">
        <v>95.481927710843379</v>
      </c>
      <c r="G500">
        <v>1</v>
      </c>
    </row>
    <row r="501" spans="1:7" x14ac:dyDescent="0.2">
      <c r="A501">
        <v>477</v>
      </c>
      <c r="B501">
        <v>0.33466457495130392</v>
      </c>
      <c r="C501">
        <v>-0.33466457495130392</v>
      </c>
      <c r="D501">
        <v>-0.70161042676799468</v>
      </c>
      <c r="F501">
        <v>95.682730923694777</v>
      </c>
      <c r="G501">
        <v>1</v>
      </c>
    </row>
    <row r="502" spans="1:7" x14ac:dyDescent="0.2">
      <c r="A502">
        <v>478</v>
      </c>
      <c r="B502">
        <v>0.33567612012743187</v>
      </c>
      <c r="C502">
        <v>-0.33567612012743187</v>
      </c>
      <c r="D502">
        <v>-0.70373108935327577</v>
      </c>
      <c r="F502">
        <v>95.883534136546189</v>
      </c>
      <c r="G502">
        <v>1</v>
      </c>
    </row>
    <row r="503" spans="1:7" x14ac:dyDescent="0.2">
      <c r="A503">
        <v>479</v>
      </c>
      <c r="B503">
        <v>0.34582713568753504</v>
      </c>
      <c r="C503">
        <v>0.65417286431246491</v>
      </c>
      <c r="D503">
        <v>1.3714463282440159</v>
      </c>
      <c r="F503">
        <v>96.084337349397586</v>
      </c>
      <c r="G503">
        <v>1</v>
      </c>
    </row>
    <row r="504" spans="1:7" x14ac:dyDescent="0.2">
      <c r="A504">
        <v>480</v>
      </c>
      <c r="B504">
        <v>0.41953683549538345</v>
      </c>
      <c r="C504">
        <v>-0.41953683549538345</v>
      </c>
      <c r="D504">
        <v>-0.8795416074128557</v>
      </c>
      <c r="F504">
        <v>96.285140562248998</v>
      </c>
      <c r="G504">
        <v>1</v>
      </c>
    </row>
    <row r="505" spans="1:7" x14ac:dyDescent="0.2">
      <c r="A505">
        <v>481</v>
      </c>
      <c r="B505">
        <v>0.31966005915769935</v>
      </c>
      <c r="C505">
        <v>-0.31966005915769935</v>
      </c>
      <c r="D505">
        <v>-0.67015408057141912</v>
      </c>
      <c r="F505">
        <v>96.485943775100409</v>
      </c>
      <c r="G505">
        <v>1</v>
      </c>
    </row>
    <row r="506" spans="1:7" x14ac:dyDescent="0.2">
      <c r="A506">
        <v>482</v>
      </c>
      <c r="B506">
        <v>0.33680308793207797</v>
      </c>
      <c r="C506">
        <v>-0.33680308793207797</v>
      </c>
      <c r="D506">
        <v>-0.70609373070091952</v>
      </c>
      <c r="F506">
        <v>96.686746987951807</v>
      </c>
      <c r="G506">
        <v>1</v>
      </c>
    </row>
    <row r="507" spans="1:7" x14ac:dyDescent="0.2">
      <c r="A507">
        <v>483</v>
      </c>
      <c r="B507">
        <v>0.34007729994954466</v>
      </c>
      <c r="C507">
        <v>0.65992270005045528</v>
      </c>
      <c r="D507">
        <v>1.3835006208340346</v>
      </c>
      <c r="F507">
        <v>96.887550200803219</v>
      </c>
      <c r="G507">
        <v>1</v>
      </c>
    </row>
    <row r="508" spans="1:7" x14ac:dyDescent="0.2">
      <c r="A508">
        <v>484</v>
      </c>
      <c r="B508">
        <v>0.51361948106420674</v>
      </c>
      <c r="C508">
        <v>0.48638051893579326</v>
      </c>
      <c r="D508">
        <v>1.0196766225162459</v>
      </c>
      <c r="F508">
        <v>97.088353413654616</v>
      </c>
      <c r="G508">
        <v>1</v>
      </c>
    </row>
    <row r="509" spans="1:7" x14ac:dyDescent="0.2">
      <c r="A509">
        <v>485</v>
      </c>
      <c r="B509">
        <v>0.37389314870906182</v>
      </c>
      <c r="C509">
        <v>-0.37389314870906182</v>
      </c>
      <c r="D509">
        <v>-0.78385150764631917</v>
      </c>
      <c r="F509">
        <v>97.289156626506028</v>
      </c>
      <c r="G509">
        <v>1</v>
      </c>
    </row>
    <row r="510" spans="1:7" x14ac:dyDescent="0.2">
      <c r="A510">
        <v>486</v>
      </c>
      <c r="B510">
        <v>0.51132125042404408</v>
      </c>
      <c r="C510">
        <v>0.48867874957595592</v>
      </c>
      <c r="D510">
        <v>1.0244947679100045</v>
      </c>
      <c r="F510">
        <v>97.489959839357425</v>
      </c>
      <c r="G510">
        <v>1</v>
      </c>
    </row>
    <row r="511" spans="1:7" x14ac:dyDescent="0.2">
      <c r="A511">
        <v>487</v>
      </c>
      <c r="B511">
        <v>0.38290825227559311</v>
      </c>
      <c r="C511">
        <v>-0.38290825227559311</v>
      </c>
      <c r="D511">
        <v>-0.80275129906162523</v>
      </c>
      <c r="F511">
        <v>97.690763052208837</v>
      </c>
      <c r="G511">
        <v>1</v>
      </c>
    </row>
    <row r="512" spans="1:7" x14ac:dyDescent="0.2">
      <c r="A512">
        <v>488</v>
      </c>
      <c r="B512">
        <v>0.33680308793207797</v>
      </c>
      <c r="C512">
        <v>-0.33680308793207797</v>
      </c>
      <c r="D512">
        <v>-0.70609373070091952</v>
      </c>
      <c r="F512">
        <v>97.891566265060248</v>
      </c>
      <c r="G512">
        <v>1</v>
      </c>
    </row>
    <row r="513" spans="1:7" x14ac:dyDescent="0.2">
      <c r="A513">
        <v>489</v>
      </c>
      <c r="B513">
        <v>0.35352020294808695</v>
      </c>
      <c r="C513">
        <v>0.64647979705191305</v>
      </c>
      <c r="D513">
        <v>1.355318131213852</v>
      </c>
      <c r="F513">
        <v>98.092369477911646</v>
      </c>
      <c r="G513">
        <v>1</v>
      </c>
    </row>
    <row r="514" spans="1:7" x14ac:dyDescent="0.2">
      <c r="A514">
        <v>490</v>
      </c>
      <c r="B514">
        <v>0.36218052035389631</v>
      </c>
      <c r="C514">
        <v>-0.36218052035389631</v>
      </c>
      <c r="D514">
        <v>-0.75929646718516997</v>
      </c>
      <c r="F514">
        <v>98.293172690763058</v>
      </c>
      <c r="G514">
        <v>1</v>
      </c>
    </row>
    <row r="515" spans="1:7" x14ac:dyDescent="0.2">
      <c r="A515">
        <v>491</v>
      </c>
      <c r="B515">
        <v>0.33509943289859934</v>
      </c>
      <c r="C515">
        <v>-0.33509943289859934</v>
      </c>
      <c r="D515">
        <v>-0.70252208845202502</v>
      </c>
      <c r="F515">
        <v>98.493975903614455</v>
      </c>
      <c r="G515">
        <v>1</v>
      </c>
    </row>
    <row r="516" spans="1:7" x14ac:dyDescent="0.2">
      <c r="A516">
        <v>492</v>
      </c>
      <c r="B516">
        <v>0.38461190730907174</v>
      </c>
      <c r="C516">
        <v>-0.38461190730907174</v>
      </c>
      <c r="D516">
        <v>-0.80632294131051974</v>
      </c>
      <c r="F516">
        <v>98.694779116465867</v>
      </c>
      <c r="G516">
        <v>1</v>
      </c>
    </row>
    <row r="517" spans="1:7" x14ac:dyDescent="0.2">
      <c r="A517">
        <v>493</v>
      </c>
      <c r="B517">
        <v>0.42508265854311472</v>
      </c>
      <c r="C517">
        <v>-0.42508265854311472</v>
      </c>
      <c r="D517">
        <v>-0.89116819584356932</v>
      </c>
      <c r="F517">
        <v>98.895582329317278</v>
      </c>
      <c r="G517">
        <v>1</v>
      </c>
    </row>
    <row r="518" spans="1:7" x14ac:dyDescent="0.2">
      <c r="A518">
        <v>494</v>
      </c>
      <c r="B518">
        <v>0.33680308793207797</v>
      </c>
      <c r="C518">
        <v>-0.33680308793207797</v>
      </c>
      <c r="D518">
        <v>-0.70609373070091952</v>
      </c>
      <c r="F518">
        <v>99.096385542168676</v>
      </c>
      <c r="G518">
        <v>1</v>
      </c>
    </row>
    <row r="519" spans="1:7" x14ac:dyDescent="0.2">
      <c r="A519">
        <v>495</v>
      </c>
      <c r="B519">
        <v>0.35045000362087925</v>
      </c>
      <c r="C519">
        <v>-0.35045000362087925</v>
      </c>
      <c r="D519">
        <v>-0.73470392448040722</v>
      </c>
      <c r="F519">
        <v>99.297188755020088</v>
      </c>
      <c r="G519">
        <v>1</v>
      </c>
    </row>
    <row r="520" spans="1:7" x14ac:dyDescent="0.2">
      <c r="A520">
        <v>496</v>
      </c>
      <c r="B520">
        <v>0.48633438091865072</v>
      </c>
      <c r="C520">
        <v>0.51366561908134933</v>
      </c>
      <c r="D520">
        <v>1.0768787054086961</v>
      </c>
      <c r="F520">
        <v>99.497991967871485</v>
      </c>
      <c r="G520">
        <v>1</v>
      </c>
    </row>
    <row r="521" spans="1:7" x14ac:dyDescent="0.2">
      <c r="A521">
        <v>497</v>
      </c>
      <c r="B521">
        <v>0.35181654791460831</v>
      </c>
      <c r="C521">
        <v>-0.35181654791460831</v>
      </c>
      <c r="D521">
        <v>-0.73756882801930179</v>
      </c>
      <c r="F521">
        <v>99.698795180722897</v>
      </c>
      <c r="G521">
        <v>1</v>
      </c>
    </row>
    <row r="522" spans="1:7" ht="17" thickBot="1" x14ac:dyDescent="0.25">
      <c r="A522" s="1">
        <v>498</v>
      </c>
      <c r="B522" s="1">
        <v>0.64239620956230548</v>
      </c>
      <c r="C522" s="1">
        <v>-0.64239620956230548</v>
      </c>
      <c r="D522" s="1">
        <v>-1.3467570590963598</v>
      </c>
      <c r="F522" s="1">
        <v>99.899598393574294</v>
      </c>
      <c r="G522" s="1">
        <v>1</v>
      </c>
    </row>
  </sheetData>
  <sortState xmlns:xlrd2="http://schemas.microsoft.com/office/spreadsheetml/2017/richdata2" ref="G25:G522">
    <sortCondition ref="G25"/>
  </sortState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82A23-3072-624E-9B5C-B79CE0685FD3}">
  <dimension ref="A3:M14"/>
  <sheetViews>
    <sheetView zoomScale="133" workbookViewId="0">
      <selection activeCell="H15" sqref="H15"/>
    </sheetView>
  </sheetViews>
  <sheetFormatPr baseColWidth="10" defaultRowHeight="16" x14ac:dyDescent="0.2"/>
  <cols>
    <col min="1" max="1" width="13" bestFit="1" customWidth="1"/>
    <col min="2" max="2" width="14.33203125" bestFit="1" customWidth="1"/>
  </cols>
  <sheetData>
    <row r="3" spans="1:13" x14ac:dyDescent="0.2">
      <c r="A3" s="5" t="s">
        <v>1269</v>
      </c>
      <c r="B3" t="s">
        <v>1277</v>
      </c>
      <c r="E3" s="10" t="s">
        <v>1269</v>
      </c>
      <c r="F3" s="13" t="s">
        <v>17</v>
      </c>
      <c r="G3" s="11">
        <v>1</v>
      </c>
      <c r="H3" s="11">
        <v>2</v>
      </c>
      <c r="I3" s="11">
        <v>3</v>
      </c>
      <c r="J3" s="13" t="s">
        <v>13</v>
      </c>
      <c r="K3" s="11">
        <v>1</v>
      </c>
      <c r="L3" s="11">
        <v>2</v>
      </c>
      <c r="M3" s="11">
        <v>3</v>
      </c>
    </row>
    <row r="4" spans="1:13" x14ac:dyDescent="0.2">
      <c r="A4" s="6" t="s">
        <v>17</v>
      </c>
      <c r="B4">
        <v>44.479817834394886</v>
      </c>
      <c r="E4" s="10" t="s">
        <v>1277</v>
      </c>
      <c r="F4" s="14">
        <v>44.479817834394886</v>
      </c>
      <c r="G4">
        <v>106.12579787234041</v>
      </c>
      <c r="H4">
        <v>21.97012105263158</v>
      </c>
      <c r="I4">
        <v>16.118809722222224</v>
      </c>
      <c r="J4" s="14">
        <v>25.523893414211383</v>
      </c>
      <c r="K4">
        <v>67.226127049180334</v>
      </c>
      <c r="L4">
        <v>19.74178240740741</v>
      </c>
      <c r="M4">
        <v>12.661632564841513</v>
      </c>
    </row>
    <row r="5" spans="1:13" x14ac:dyDescent="0.2">
      <c r="A5" s="11">
        <v>1</v>
      </c>
      <c r="B5">
        <v>106.12579787234041</v>
      </c>
    </row>
    <row r="6" spans="1:13" x14ac:dyDescent="0.2">
      <c r="A6" s="11">
        <v>2</v>
      </c>
      <c r="B6">
        <v>21.97012105263158</v>
      </c>
    </row>
    <row r="7" spans="1:13" x14ac:dyDescent="0.2">
      <c r="A7" s="11">
        <v>3</v>
      </c>
      <c r="B7">
        <v>16.118809722222224</v>
      </c>
    </row>
    <row r="8" spans="1:13" x14ac:dyDescent="0.2">
      <c r="A8" s="6" t="s">
        <v>13</v>
      </c>
      <c r="B8">
        <v>25.523893414211383</v>
      </c>
    </row>
    <row r="9" spans="1:13" x14ac:dyDescent="0.2">
      <c r="A9" s="11">
        <v>1</v>
      </c>
      <c r="B9">
        <v>67.226127049180334</v>
      </c>
    </row>
    <row r="10" spans="1:13" x14ac:dyDescent="0.2">
      <c r="A10" s="11">
        <v>2</v>
      </c>
      <c r="B10">
        <v>19.74178240740741</v>
      </c>
    </row>
    <row r="11" spans="1:13" x14ac:dyDescent="0.2">
      <c r="A11" s="11">
        <v>3</v>
      </c>
      <c r="B11">
        <v>12.661632564841513</v>
      </c>
    </row>
    <row r="12" spans="1:13" x14ac:dyDescent="0.2">
      <c r="A12" s="6" t="s">
        <v>1270</v>
      </c>
    </row>
    <row r="13" spans="1:13" x14ac:dyDescent="0.2">
      <c r="A13" s="11" t="s">
        <v>1270</v>
      </c>
    </row>
    <row r="14" spans="1:13" x14ac:dyDescent="0.2">
      <c r="A14" s="6" t="s">
        <v>1271</v>
      </c>
      <c r="B14">
        <v>32.204207968574543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85CD6-A224-044F-8F62-790E5BC1B68C}">
  <dimension ref="A1:E709"/>
  <sheetViews>
    <sheetView tabSelected="1" zoomScale="200" zoomScaleNormal="200" workbookViewId="0">
      <selection activeCell="B2" sqref="B1:B1048576"/>
    </sheetView>
  </sheetViews>
  <sheetFormatPr baseColWidth="10" defaultRowHeight="16" x14ac:dyDescent="0.2"/>
  <cols>
    <col min="5" max="5" width="9.33203125" style="3" customWidth="1"/>
  </cols>
  <sheetData>
    <row r="1" spans="1:5" x14ac:dyDescent="0.2">
      <c r="A1" t="s">
        <v>1</v>
      </c>
      <c r="B1" t="s">
        <v>2</v>
      </c>
      <c r="C1" t="s">
        <v>5</v>
      </c>
      <c r="D1" t="s">
        <v>1289</v>
      </c>
      <c r="E1" s="3" t="s">
        <v>9</v>
      </c>
    </row>
    <row r="2" spans="1:5" x14ac:dyDescent="0.2">
      <c r="A2">
        <v>1</v>
      </c>
      <c r="B2">
        <v>3</v>
      </c>
      <c r="C2">
        <v>0.42</v>
      </c>
      <c r="D2">
        <f>LOG10(E2)</f>
        <v>0.93027134953045076</v>
      </c>
      <c r="E2" s="3">
        <v>8.5167000000000002</v>
      </c>
    </row>
    <row r="3" spans="1:5" x14ac:dyDescent="0.2">
      <c r="A3">
        <v>1</v>
      </c>
      <c r="B3">
        <v>2</v>
      </c>
      <c r="C3">
        <v>0.67</v>
      </c>
      <c r="D3">
        <f>LOG10(E3)</f>
        <v>1.1613680022349748</v>
      </c>
      <c r="E3" s="3">
        <v>14.5</v>
      </c>
    </row>
    <row r="4" spans="1:5" x14ac:dyDescent="0.2">
      <c r="A4">
        <v>1</v>
      </c>
      <c r="B4">
        <v>3</v>
      </c>
      <c r="C4">
        <v>0.75</v>
      </c>
      <c r="D4">
        <f>LOG10(E4)</f>
        <v>1.2846179477311681</v>
      </c>
      <c r="E4" s="3">
        <v>19.258299999999998</v>
      </c>
    </row>
    <row r="5" spans="1:5" x14ac:dyDescent="0.2">
      <c r="A5">
        <v>1</v>
      </c>
      <c r="B5">
        <v>3</v>
      </c>
      <c r="C5">
        <v>0.75</v>
      </c>
      <c r="D5">
        <f>LOG10(E5)</f>
        <v>1.2846179477311681</v>
      </c>
      <c r="E5" s="3">
        <v>19.258299999999998</v>
      </c>
    </row>
    <row r="6" spans="1:5" x14ac:dyDescent="0.2">
      <c r="A6">
        <v>1</v>
      </c>
      <c r="B6">
        <v>2</v>
      </c>
      <c r="C6">
        <v>0.83</v>
      </c>
      <c r="D6">
        <f>LOG10(E6)</f>
        <v>1.2730012720637376</v>
      </c>
      <c r="E6" s="3">
        <v>18.75</v>
      </c>
    </row>
    <row r="7" spans="1:5" x14ac:dyDescent="0.2">
      <c r="A7">
        <v>1</v>
      </c>
      <c r="B7">
        <v>2</v>
      </c>
      <c r="C7">
        <v>0.83</v>
      </c>
      <c r="D7">
        <f>LOG10(E7)</f>
        <v>1.4623979978989561</v>
      </c>
      <c r="E7" s="3">
        <v>29</v>
      </c>
    </row>
    <row r="8" spans="1:5" x14ac:dyDescent="0.2">
      <c r="A8">
        <v>1</v>
      </c>
      <c r="B8">
        <v>1</v>
      </c>
      <c r="C8">
        <v>0.92</v>
      </c>
      <c r="D8">
        <f>LOG10(E8)</f>
        <v>2.1805559407036412</v>
      </c>
      <c r="E8" s="3">
        <v>151.55000000000001</v>
      </c>
    </row>
    <row r="9" spans="1:5" x14ac:dyDescent="0.2">
      <c r="A9">
        <v>1</v>
      </c>
      <c r="B9">
        <v>3</v>
      </c>
      <c r="C9">
        <v>1</v>
      </c>
      <c r="D9">
        <f>LOG10(E9)</f>
        <v>1.0466239118070755</v>
      </c>
      <c r="E9" s="3">
        <v>11.1333</v>
      </c>
    </row>
    <row r="10" spans="1:5" x14ac:dyDescent="0.2">
      <c r="A10">
        <v>1</v>
      </c>
      <c r="B10">
        <v>3</v>
      </c>
      <c r="C10">
        <v>1</v>
      </c>
      <c r="D10">
        <f>LOG10(E10)</f>
        <v>1.1970516315015716</v>
      </c>
      <c r="E10" s="3">
        <v>15.7417</v>
      </c>
    </row>
    <row r="11" spans="1:5" x14ac:dyDescent="0.2">
      <c r="A11">
        <v>1</v>
      </c>
      <c r="B11">
        <v>3</v>
      </c>
      <c r="C11">
        <v>1</v>
      </c>
      <c r="D11">
        <f>LOG10(E11)</f>
        <v>1.3133398438843074</v>
      </c>
      <c r="E11" s="3">
        <v>20.574999999999999</v>
      </c>
    </row>
    <row r="12" spans="1:5" x14ac:dyDescent="0.2">
      <c r="A12">
        <v>1</v>
      </c>
      <c r="B12">
        <v>2</v>
      </c>
      <c r="C12">
        <v>1</v>
      </c>
      <c r="D12">
        <f>LOG10(E12)</f>
        <v>1.5682510195617358</v>
      </c>
      <c r="E12" s="3">
        <v>37.004199999999997</v>
      </c>
    </row>
    <row r="13" spans="1:5" x14ac:dyDescent="0.2">
      <c r="A13">
        <v>1</v>
      </c>
      <c r="B13">
        <v>2</v>
      </c>
      <c r="C13">
        <v>1</v>
      </c>
      <c r="D13">
        <f>LOG10(E13)</f>
        <v>1.5910646070264991</v>
      </c>
      <c r="E13" s="3">
        <v>39</v>
      </c>
    </row>
    <row r="14" spans="1:5" x14ac:dyDescent="0.2">
      <c r="A14">
        <v>0</v>
      </c>
      <c r="B14">
        <v>3</v>
      </c>
      <c r="C14">
        <v>1</v>
      </c>
      <c r="D14">
        <f>LOG10(E14)</f>
        <v>1.598653742636051</v>
      </c>
      <c r="E14" s="3">
        <v>39.6875</v>
      </c>
    </row>
    <row r="15" spans="1:5" x14ac:dyDescent="0.2">
      <c r="A15">
        <v>0</v>
      </c>
      <c r="B15">
        <v>3</v>
      </c>
      <c r="C15">
        <v>1</v>
      </c>
      <c r="D15">
        <f>LOG10(E15)</f>
        <v>1.6711728427150832</v>
      </c>
      <c r="E15" s="3">
        <v>46.9</v>
      </c>
    </row>
    <row r="16" spans="1:5" x14ac:dyDescent="0.2">
      <c r="A16">
        <v>0</v>
      </c>
      <c r="B16">
        <v>3</v>
      </c>
      <c r="C16">
        <v>2</v>
      </c>
      <c r="D16">
        <f>LOG10(E16)</f>
        <v>1.0196354710013165</v>
      </c>
      <c r="E16" s="3">
        <v>10.4625</v>
      </c>
    </row>
    <row r="17" spans="1:5" x14ac:dyDescent="0.2">
      <c r="A17">
        <v>1</v>
      </c>
      <c r="B17">
        <v>3</v>
      </c>
      <c r="C17">
        <v>2</v>
      </c>
      <c r="D17">
        <f>LOG10(E17)</f>
        <v>1.0894635308401921</v>
      </c>
      <c r="E17" s="3">
        <v>12.2875</v>
      </c>
    </row>
    <row r="18" spans="1:5" x14ac:dyDescent="0.2">
      <c r="A18">
        <v>0</v>
      </c>
      <c r="B18">
        <v>3</v>
      </c>
      <c r="C18">
        <v>2</v>
      </c>
      <c r="D18">
        <f>LOG10(E18)</f>
        <v>1.3237675832967799</v>
      </c>
      <c r="E18" s="3">
        <v>21.074999999999999</v>
      </c>
    </row>
    <row r="19" spans="1:5" x14ac:dyDescent="0.2">
      <c r="A19">
        <v>1</v>
      </c>
      <c r="B19">
        <v>2</v>
      </c>
      <c r="C19">
        <v>2</v>
      </c>
      <c r="D19">
        <f>LOG10(E19)</f>
        <v>1.414973347970818</v>
      </c>
      <c r="E19" s="3">
        <v>26</v>
      </c>
    </row>
    <row r="20" spans="1:5" x14ac:dyDescent="0.2">
      <c r="A20">
        <v>1</v>
      </c>
      <c r="B20">
        <v>2</v>
      </c>
      <c r="C20">
        <v>2</v>
      </c>
      <c r="D20">
        <f>LOG10(E20)</f>
        <v>1.414973347970818</v>
      </c>
      <c r="E20" s="3">
        <v>26</v>
      </c>
    </row>
    <row r="21" spans="1:5" x14ac:dyDescent="0.2">
      <c r="A21">
        <v>0</v>
      </c>
      <c r="B21">
        <v>3</v>
      </c>
      <c r="C21">
        <v>2</v>
      </c>
      <c r="D21">
        <f>LOG10(E21)</f>
        <v>1.4456042032735976</v>
      </c>
      <c r="E21" s="3">
        <v>27.9</v>
      </c>
    </row>
    <row r="22" spans="1:5" x14ac:dyDescent="0.2">
      <c r="A22">
        <v>0</v>
      </c>
      <c r="B22">
        <v>3</v>
      </c>
      <c r="C22">
        <v>2</v>
      </c>
      <c r="D22">
        <f>LOG10(E22)</f>
        <v>1.4642659340340753</v>
      </c>
      <c r="E22" s="3">
        <v>29.125</v>
      </c>
    </row>
    <row r="23" spans="1:5" x14ac:dyDescent="0.2">
      <c r="A23">
        <v>0</v>
      </c>
      <c r="B23">
        <v>3</v>
      </c>
      <c r="C23">
        <v>2</v>
      </c>
      <c r="D23">
        <f>LOG10(E23)</f>
        <v>1.4951973183654574</v>
      </c>
      <c r="E23" s="3">
        <v>31.274999999999999</v>
      </c>
    </row>
    <row r="24" spans="1:5" x14ac:dyDescent="0.2">
      <c r="A24">
        <v>0</v>
      </c>
      <c r="B24">
        <v>3</v>
      </c>
      <c r="C24">
        <v>2</v>
      </c>
      <c r="D24">
        <f>LOG10(E24)</f>
        <v>1.598653742636051</v>
      </c>
      <c r="E24" s="3">
        <v>39.6875</v>
      </c>
    </row>
    <row r="25" spans="1:5" x14ac:dyDescent="0.2">
      <c r="A25">
        <v>0</v>
      </c>
      <c r="B25">
        <v>1</v>
      </c>
      <c r="C25">
        <v>2</v>
      </c>
      <c r="D25">
        <f>LOG10(E25)</f>
        <v>2.1805559407036412</v>
      </c>
      <c r="E25" s="3">
        <v>151.55000000000001</v>
      </c>
    </row>
    <row r="26" spans="1:5" x14ac:dyDescent="0.2">
      <c r="A26">
        <v>1</v>
      </c>
      <c r="B26">
        <v>3</v>
      </c>
      <c r="C26">
        <v>3</v>
      </c>
      <c r="D26">
        <f>LOG10(E26)</f>
        <v>1.2013971243204515</v>
      </c>
      <c r="E26" s="3">
        <v>15.9</v>
      </c>
    </row>
    <row r="27" spans="1:5" x14ac:dyDescent="0.2">
      <c r="A27">
        <v>1</v>
      </c>
      <c r="B27">
        <v>2</v>
      </c>
      <c r="C27">
        <v>3</v>
      </c>
      <c r="D27">
        <f>LOG10(E27)</f>
        <v>1.2730012720637376</v>
      </c>
      <c r="E27" s="3">
        <v>18.75</v>
      </c>
    </row>
    <row r="28" spans="1:5" x14ac:dyDescent="0.2">
      <c r="A28">
        <v>0</v>
      </c>
      <c r="B28">
        <v>3</v>
      </c>
      <c r="C28">
        <v>3</v>
      </c>
      <c r="D28">
        <f>LOG10(E28)</f>
        <v>1.3237675832967799</v>
      </c>
      <c r="E28" s="3">
        <v>21.074999999999999</v>
      </c>
    </row>
    <row r="29" spans="1:5" x14ac:dyDescent="0.2">
      <c r="A29">
        <v>1</v>
      </c>
      <c r="B29">
        <v>2</v>
      </c>
      <c r="C29">
        <v>3</v>
      </c>
      <c r="D29">
        <f>LOG10(E29)</f>
        <v>1.414973347970818</v>
      </c>
      <c r="E29" s="3">
        <v>26</v>
      </c>
    </row>
    <row r="30" spans="1:5" x14ac:dyDescent="0.2">
      <c r="A30">
        <v>1</v>
      </c>
      <c r="B30">
        <v>3</v>
      </c>
      <c r="C30">
        <v>3</v>
      </c>
      <c r="D30">
        <f>LOG10(E30)</f>
        <v>1.4967567257209788</v>
      </c>
      <c r="E30" s="3">
        <v>31.387499999999999</v>
      </c>
    </row>
    <row r="31" spans="1:5" x14ac:dyDescent="0.2">
      <c r="A31">
        <v>1</v>
      </c>
      <c r="B31">
        <v>2</v>
      </c>
      <c r="C31">
        <v>3</v>
      </c>
      <c r="D31">
        <f>LOG10(E31)</f>
        <v>1.6188761290808784</v>
      </c>
      <c r="E31" s="3">
        <v>41.5792</v>
      </c>
    </row>
    <row r="32" spans="1:5" x14ac:dyDescent="0.2">
      <c r="A32">
        <v>1</v>
      </c>
      <c r="B32">
        <v>3</v>
      </c>
      <c r="C32">
        <v>4</v>
      </c>
      <c r="D32">
        <f>LOG10(E32)</f>
        <v>1.0466239118070755</v>
      </c>
      <c r="E32" s="3">
        <v>11.1333</v>
      </c>
    </row>
    <row r="33" spans="1:5" x14ac:dyDescent="0.2">
      <c r="A33">
        <v>1</v>
      </c>
      <c r="B33">
        <v>3</v>
      </c>
      <c r="C33">
        <v>4</v>
      </c>
      <c r="D33">
        <f>LOG10(E33)</f>
        <v>1.1276457089753862</v>
      </c>
      <c r="E33" s="3">
        <v>13.416700000000001</v>
      </c>
    </row>
    <row r="34" spans="1:5" x14ac:dyDescent="0.2">
      <c r="A34">
        <v>1</v>
      </c>
      <c r="B34">
        <v>3</v>
      </c>
      <c r="C34">
        <v>4</v>
      </c>
      <c r="D34">
        <f>LOG10(E34)</f>
        <v>1.2227164711475833</v>
      </c>
      <c r="E34" s="3">
        <v>16.7</v>
      </c>
    </row>
    <row r="35" spans="1:5" x14ac:dyDescent="0.2">
      <c r="A35">
        <v>1</v>
      </c>
      <c r="B35">
        <v>3</v>
      </c>
      <c r="C35">
        <v>4</v>
      </c>
      <c r="D35">
        <f>LOG10(E35)</f>
        <v>1.3429159170840854</v>
      </c>
      <c r="E35" s="3">
        <v>22.024999999999999</v>
      </c>
    </row>
    <row r="36" spans="1:5" x14ac:dyDescent="0.2">
      <c r="A36">
        <v>1</v>
      </c>
      <c r="B36">
        <v>2</v>
      </c>
      <c r="C36">
        <v>4</v>
      </c>
      <c r="D36">
        <f>LOG10(E36)</f>
        <v>1.3617278360175928</v>
      </c>
      <c r="E36" s="3">
        <v>23</v>
      </c>
    </row>
    <row r="37" spans="1:5" x14ac:dyDescent="0.2">
      <c r="A37">
        <v>0</v>
      </c>
      <c r="B37">
        <v>3</v>
      </c>
      <c r="C37">
        <v>4</v>
      </c>
      <c r="D37">
        <f>LOG10(E37)</f>
        <v>1.4456042032735976</v>
      </c>
      <c r="E37" s="3">
        <v>27.9</v>
      </c>
    </row>
    <row r="38" spans="1:5" x14ac:dyDescent="0.2">
      <c r="A38">
        <v>0</v>
      </c>
      <c r="B38">
        <v>3</v>
      </c>
      <c r="C38">
        <v>4</v>
      </c>
      <c r="D38">
        <f>LOG10(E38)</f>
        <v>1.4642659340340753</v>
      </c>
      <c r="E38" s="3">
        <v>29.125</v>
      </c>
    </row>
    <row r="39" spans="1:5" x14ac:dyDescent="0.2">
      <c r="A39">
        <v>0</v>
      </c>
      <c r="B39">
        <v>3</v>
      </c>
      <c r="C39">
        <v>4</v>
      </c>
      <c r="D39">
        <f>LOG10(E39)</f>
        <v>1.4951973183654574</v>
      </c>
      <c r="E39" s="3">
        <v>31.274999999999999</v>
      </c>
    </row>
    <row r="40" spans="1:5" x14ac:dyDescent="0.2">
      <c r="A40">
        <v>1</v>
      </c>
      <c r="B40">
        <v>2</v>
      </c>
      <c r="C40">
        <v>4</v>
      </c>
      <c r="D40">
        <f>LOG10(E40)</f>
        <v>1.5910646070264991</v>
      </c>
      <c r="E40" s="3">
        <v>39</v>
      </c>
    </row>
    <row r="41" spans="1:5" x14ac:dyDescent="0.2">
      <c r="A41">
        <v>1</v>
      </c>
      <c r="B41">
        <v>1</v>
      </c>
      <c r="C41">
        <v>4</v>
      </c>
      <c r="D41">
        <f>LOG10(E41)</f>
        <v>1.9130627211511082</v>
      </c>
      <c r="E41" s="3">
        <v>81.8583</v>
      </c>
    </row>
    <row r="42" spans="1:5" x14ac:dyDescent="0.2">
      <c r="A42">
        <v>1</v>
      </c>
      <c r="B42">
        <v>3</v>
      </c>
      <c r="C42">
        <v>5</v>
      </c>
      <c r="D42">
        <f>LOG10(E42)</f>
        <v>1.0960405542954275</v>
      </c>
      <c r="E42" s="3">
        <v>12.475</v>
      </c>
    </row>
    <row r="43" spans="1:5" x14ac:dyDescent="0.2">
      <c r="A43">
        <v>1</v>
      </c>
      <c r="B43">
        <v>3</v>
      </c>
      <c r="C43">
        <v>5</v>
      </c>
      <c r="D43">
        <f>LOG10(E43)</f>
        <v>1.2846179477311681</v>
      </c>
      <c r="E43" s="3">
        <v>19.258299999999998</v>
      </c>
    </row>
    <row r="44" spans="1:5" x14ac:dyDescent="0.2">
      <c r="A44">
        <v>1</v>
      </c>
      <c r="B44">
        <v>2</v>
      </c>
      <c r="C44">
        <v>5</v>
      </c>
      <c r="D44">
        <f>LOG10(E44)</f>
        <v>1.4432629874586951</v>
      </c>
      <c r="E44" s="3">
        <v>27.75</v>
      </c>
    </row>
    <row r="45" spans="1:5" x14ac:dyDescent="0.2">
      <c r="A45">
        <v>1</v>
      </c>
      <c r="B45">
        <v>3</v>
      </c>
      <c r="C45">
        <v>5</v>
      </c>
      <c r="D45">
        <f>LOG10(E45)</f>
        <v>1.4967567257209788</v>
      </c>
      <c r="E45" s="3">
        <v>31.387499999999999</v>
      </c>
    </row>
    <row r="46" spans="1:5" x14ac:dyDescent="0.2">
      <c r="A46">
        <v>1</v>
      </c>
      <c r="B46">
        <v>3</v>
      </c>
      <c r="C46">
        <v>6</v>
      </c>
      <c r="D46">
        <f>LOG10(E46)</f>
        <v>1.0960405542954275</v>
      </c>
      <c r="E46" s="3">
        <v>12.475</v>
      </c>
    </row>
    <row r="47" spans="1:5" x14ac:dyDescent="0.2">
      <c r="A47">
        <v>0</v>
      </c>
      <c r="B47">
        <v>3</v>
      </c>
      <c r="C47">
        <v>6</v>
      </c>
      <c r="D47">
        <f>LOG10(E47)</f>
        <v>1.4951973183654574</v>
      </c>
      <c r="E47" s="3">
        <v>31.274999999999999</v>
      </c>
    </row>
    <row r="48" spans="1:5" x14ac:dyDescent="0.2">
      <c r="A48">
        <v>1</v>
      </c>
      <c r="B48">
        <v>2</v>
      </c>
      <c r="C48">
        <v>6</v>
      </c>
      <c r="D48">
        <f>LOG10(E48)</f>
        <v>1.5185139398778875</v>
      </c>
      <c r="E48" s="3">
        <v>33</v>
      </c>
    </row>
    <row r="49" spans="1:5" x14ac:dyDescent="0.2">
      <c r="A49">
        <v>1</v>
      </c>
      <c r="B49">
        <v>2</v>
      </c>
      <c r="C49">
        <v>7</v>
      </c>
      <c r="D49">
        <f>LOG10(E49)</f>
        <v>1.4191293077419758</v>
      </c>
      <c r="E49" s="3">
        <v>26.25</v>
      </c>
    </row>
    <row r="50" spans="1:5" x14ac:dyDescent="0.2">
      <c r="A50">
        <v>0</v>
      </c>
      <c r="B50">
        <v>3</v>
      </c>
      <c r="C50">
        <v>7</v>
      </c>
      <c r="D50">
        <f>LOG10(E50)</f>
        <v>1.4642659340340753</v>
      </c>
      <c r="E50" s="3">
        <v>29.125</v>
      </c>
    </row>
    <row r="51" spans="1:5" x14ac:dyDescent="0.2">
      <c r="A51">
        <v>0</v>
      </c>
      <c r="B51">
        <v>3</v>
      </c>
      <c r="C51">
        <v>7</v>
      </c>
      <c r="D51">
        <f>LOG10(E51)</f>
        <v>1.598653742636051</v>
      </c>
      <c r="E51" s="3">
        <v>39.6875</v>
      </c>
    </row>
    <row r="52" spans="1:5" x14ac:dyDescent="0.2">
      <c r="A52">
        <v>0</v>
      </c>
      <c r="B52">
        <v>3</v>
      </c>
      <c r="C52">
        <v>8</v>
      </c>
      <c r="D52">
        <f>LOG10(E52)</f>
        <v>1.3237675832967799</v>
      </c>
      <c r="E52" s="3">
        <v>21.074999999999999</v>
      </c>
    </row>
    <row r="53" spans="1:5" x14ac:dyDescent="0.2">
      <c r="A53">
        <v>1</v>
      </c>
      <c r="B53">
        <v>2</v>
      </c>
      <c r="C53">
        <v>8</v>
      </c>
      <c r="D53">
        <f>LOG10(E53)</f>
        <v>1.4191293077419758</v>
      </c>
      <c r="E53" s="3">
        <v>26.25</v>
      </c>
    </row>
    <row r="54" spans="1:5" x14ac:dyDescent="0.2">
      <c r="A54">
        <v>0</v>
      </c>
      <c r="B54">
        <v>3</v>
      </c>
      <c r="C54">
        <v>8</v>
      </c>
      <c r="D54">
        <f>LOG10(E54)</f>
        <v>1.4642659340340753</v>
      </c>
      <c r="E54" s="3">
        <v>29.125</v>
      </c>
    </row>
    <row r="55" spans="1:5" x14ac:dyDescent="0.2">
      <c r="A55">
        <v>1</v>
      </c>
      <c r="B55">
        <v>2</v>
      </c>
      <c r="C55">
        <v>8</v>
      </c>
      <c r="D55">
        <f>LOG10(E55)</f>
        <v>1.5652573434202137</v>
      </c>
      <c r="E55" s="3">
        <v>36.75</v>
      </c>
    </row>
    <row r="56" spans="1:5" x14ac:dyDescent="0.2">
      <c r="A56">
        <v>0</v>
      </c>
      <c r="B56">
        <v>3</v>
      </c>
      <c r="C56">
        <v>9</v>
      </c>
      <c r="D56">
        <f>LOG10(E56)</f>
        <v>1.1831502182369711</v>
      </c>
      <c r="E56" s="3">
        <v>15.245799999999999</v>
      </c>
    </row>
    <row r="57" spans="1:5" x14ac:dyDescent="0.2">
      <c r="A57">
        <v>1</v>
      </c>
      <c r="B57">
        <v>3</v>
      </c>
      <c r="C57">
        <v>9</v>
      </c>
      <c r="D57">
        <f>LOG10(E57)</f>
        <v>1.2013971243204515</v>
      </c>
      <c r="E57" s="3">
        <v>15.9</v>
      </c>
    </row>
    <row r="58" spans="1:5" x14ac:dyDescent="0.2">
      <c r="A58">
        <v>1</v>
      </c>
      <c r="B58">
        <v>3</v>
      </c>
      <c r="C58">
        <v>9</v>
      </c>
      <c r="D58">
        <f>LOG10(E58)</f>
        <v>1.3122831657914784</v>
      </c>
      <c r="E58" s="3">
        <v>20.524999999999999</v>
      </c>
    </row>
    <row r="59" spans="1:5" x14ac:dyDescent="0.2">
      <c r="A59">
        <v>0</v>
      </c>
      <c r="B59">
        <v>3</v>
      </c>
      <c r="C59">
        <v>9</v>
      </c>
      <c r="D59">
        <f>LOG10(E59)</f>
        <v>1.4456042032735976</v>
      </c>
      <c r="E59" s="3">
        <v>27.9</v>
      </c>
    </row>
    <row r="60" spans="1:5" x14ac:dyDescent="0.2">
      <c r="A60">
        <v>0</v>
      </c>
      <c r="B60">
        <v>3</v>
      </c>
      <c r="C60">
        <v>9</v>
      </c>
      <c r="D60">
        <f>LOG10(E60)</f>
        <v>1.4951973183654574</v>
      </c>
      <c r="E60" s="3">
        <v>31.274999999999999</v>
      </c>
    </row>
    <row r="61" spans="1:5" x14ac:dyDescent="0.2">
      <c r="A61">
        <v>0</v>
      </c>
      <c r="B61">
        <v>3</v>
      </c>
      <c r="C61">
        <v>9</v>
      </c>
      <c r="D61">
        <f>LOG10(E61)</f>
        <v>1.4967567257209788</v>
      </c>
      <c r="E61" s="3">
        <v>31.387499999999999</v>
      </c>
    </row>
    <row r="62" spans="1:5" x14ac:dyDescent="0.2">
      <c r="A62">
        <v>0</v>
      </c>
      <c r="B62">
        <v>3</v>
      </c>
      <c r="C62">
        <v>9</v>
      </c>
      <c r="D62">
        <f>LOG10(E62)</f>
        <v>1.5362427068383191</v>
      </c>
      <c r="E62" s="3">
        <v>34.375</v>
      </c>
    </row>
    <row r="63" spans="1:5" x14ac:dyDescent="0.2">
      <c r="A63">
        <v>0</v>
      </c>
      <c r="B63">
        <v>3</v>
      </c>
      <c r="C63">
        <v>9</v>
      </c>
      <c r="D63">
        <f>LOG10(E63)</f>
        <v>1.6711728427150832</v>
      </c>
      <c r="E63" s="3">
        <v>46.9</v>
      </c>
    </row>
    <row r="64" spans="1:5" x14ac:dyDescent="0.2">
      <c r="A64">
        <v>0</v>
      </c>
      <c r="B64">
        <v>3</v>
      </c>
      <c r="C64">
        <v>10</v>
      </c>
      <c r="D64">
        <f>LOG10(E64)</f>
        <v>1.3829171350875309</v>
      </c>
      <c r="E64" s="3">
        <v>24.15</v>
      </c>
    </row>
    <row r="65" spans="1:5" x14ac:dyDescent="0.2">
      <c r="A65">
        <v>0</v>
      </c>
      <c r="B65">
        <v>3</v>
      </c>
      <c r="C65">
        <v>10</v>
      </c>
      <c r="D65">
        <f>LOG10(E65)</f>
        <v>1.4456042032735976</v>
      </c>
      <c r="E65" s="3">
        <v>27.9</v>
      </c>
    </row>
    <row r="66" spans="1:5" x14ac:dyDescent="0.2">
      <c r="A66">
        <v>0</v>
      </c>
      <c r="B66">
        <v>3</v>
      </c>
      <c r="C66">
        <v>11</v>
      </c>
      <c r="D66">
        <f>LOG10(E66)</f>
        <v>1.2738689935949645</v>
      </c>
      <c r="E66" s="3">
        <v>18.787500000000001</v>
      </c>
    </row>
    <row r="67" spans="1:5" x14ac:dyDescent="0.2">
      <c r="A67">
        <v>0</v>
      </c>
      <c r="B67">
        <v>3</v>
      </c>
      <c r="C67">
        <v>11</v>
      </c>
      <c r="D67">
        <f>LOG10(E67)</f>
        <v>1.4951973183654574</v>
      </c>
      <c r="E67" s="3">
        <v>31.274999999999999</v>
      </c>
    </row>
    <row r="68" spans="1:5" x14ac:dyDescent="0.2">
      <c r="A68">
        <v>0</v>
      </c>
      <c r="B68">
        <v>3</v>
      </c>
      <c r="C68">
        <v>11</v>
      </c>
      <c r="D68">
        <f>LOG10(E68)</f>
        <v>1.6711728427150832</v>
      </c>
      <c r="E68" s="3">
        <v>46.9</v>
      </c>
    </row>
    <row r="69" spans="1:5" x14ac:dyDescent="0.2">
      <c r="A69">
        <v>1</v>
      </c>
      <c r="B69">
        <v>1</v>
      </c>
      <c r="C69">
        <v>11</v>
      </c>
      <c r="D69">
        <f>LOG10(E69)</f>
        <v>2.0791812460476247</v>
      </c>
      <c r="E69" s="3">
        <v>120</v>
      </c>
    </row>
    <row r="70" spans="1:5" x14ac:dyDescent="0.2">
      <c r="A70">
        <v>1</v>
      </c>
      <c r="B70">
        <v>3</v>
      </c>
      <c r="C70">
        <v>12</v>
      </c>
      <c r="D70">
        <f>LOG10(E70)</f>
        <v>1.0508319913747257</v>
      </c>
      <c r="E70" s="3">
        <v>11.2417</v>
      </c>
    </row>
    <row r="71" spans="1:5" x14ac:dyDescent="0.2">
      <c r="A71">
        <v>1</v>
      </c>
      <c r="B71">
        <v>3</v>
      </c>
      <c r="C71">
        <v>13</v>
      </c>
      <c r="D71">
        <f>LOG10(E71)</f>
        <v>0.85909023992124911</v>
      </c>
      <c r="E71" s="3">
        <v>7.2291999999999996</v>
      </c>
    </row>
    <row r="72" spans="1:5" x14ac:dyDescent="0.2">
      <c r="A72">
        <v>1</v>
      </c>
      <c r="B72">
        <v>2</v>
      </c>
      <c r="C72">
        <v>13</v>
      </c>
      <c r="D72">
        <f>LOG10(E72)</f>
        <v>1.2900346113625181</v>
      </c>
      <c r="E72" s="3">
        <v>19.5</v>
      </c>
    </row>
    <row r="73" spans="1:5" x14ac:dyDescent="0.2">
      <c r="A73">
        <v>0</v>
      </c>
      <c r="B73">
        <v>3</v>
      </c>
      <c r="C73">
        <v>14</v>
      </c>
      <c r="D73">
        <f>LOG10(E73)</f>
        <v>0.89510195598589926</v>
      </c>
      <c r="E73" s="3">
        <v>7.8541999999999996</v>
      </c>
    </row>
    <row r="74" spans="1:5" x14ac:dyDescent="0.2">
      <c r="A74">
        <v>1</v>
      </c>
      <c r="B74">
        <v>3</v>
      </c>
      <c r="C74">
        <v>14</v>
      </c>
      <c r="D74">
        <f>LOG10(E74)</f>
        <v>1.0508319913747257</v>
      </c>
      <c r="E74" s="3">
        <v>11.2417</v>
      </c>
    </row>
    <row r="75" spans="1:5" x14ac:dyDescent="0.2">
      <c r="A75">
        <v>1</v>
      </c>
      <c r="B75">
        <v>2</v>
      </c>
      <c r="C75">
        <v>14</v>
      </c>
      <c r="D75">
        <f>LOG10(E75)</f>
        <v>1.4781449821731452</v>
      </c>
      <c r="E75" s="3">
        <v>30.070799999999998</v>
      </c>
    </row>
    <row r="76" spans="1:5" x14ac:dyDescent="0.2">
      <c r="A76">
        <v>0</v>
      </c>
      <c r="B76">
        <v>3</v>
      </c>
      <c r="C76">
        <v>14</v>
      </c>
      <c r="D76">
        <f>LOG10(E76)</f>
        <v>1.598653742636051</v>
      </c>
      <c r="E76" s="3">
        <v>39.6875</v>
      </c>
    </row>
    <row r="77" spans="1:5" x14ac:dyDescent="0.2">
      <c r="A77">
        <v>0</v>
      </c>
      <c r="B77">
        <v>3</v>
      </c>
      <c r="C77">
        <v>14</v>
      </c>
      <c r="D77">
        <f>LOG10(E77)</f>
        <v>1.6711728427150832</v>
      </c>
      <c r="E77" s="3">
        <v>46.9</v>
      </c>
    </row>
    <row r="78" spans="1:5" x14ac:dyDescent="0.2">
      <c r="A78">
        <v>1</v>
      </c>
      <c r="B78">
        <v>1</v>
      </c>
      <c r="C78">
        <v>14</v>
      </c>
      <c r="D78">
        <f>LOG10(E78)</f>
        <v>2.0791812460476247</v>
      </c>
      <c r="E78" s="3">
        <v>120</v>
      </c>
    </row>
    <row r="79" spans="1:5" x14ac:dyDescent="0.2">
      <c r="A79">
        <v>0</v>
      </c>
      <c r="B79">
        <v>3</v>
      </c>
      <c r="C79">
        <v>14.5</v>
      </c>
      <c r="D79">
        <f>LOG10(E79)</f>
        <v>1.1599940596732181</v>
      </c>
      <c r="E79" s="3">
        <v>14.4542</v>
      </c>
    </row>
    <row r="80" spans="1:5" x14ac:dyDescent="0.2">
      <c r="A80">
        <v>1</v>
      </c>
      <c r="B80">
        <v>3</v>
      </c>
      <c r="C80">
        <v>15</v>
      </c>
      <c r="D80">
        <f>LOG10(E80)</f>
        <v>0.85883785142858549</v>
      </c>
      <c r="E80" s="3">
        <v>7.2249999999999996</v>
      </c>
    </row>
    <row r="81" spans="1:5" x14ac:dyDescent="0.2">
      <c r="A81">
        <v>0</v>
      </c>
      <c r="B81">
        <v>3</v>
      </c>
      <c r="C81">
        <v>15</v>
      </c>
      <c r="D81">
        <f>LOG10(E81)</f>
        <v>0.85909023992124911</v>
      </c>
      <c r="E81" s="3">
        <v>7.2291999999999996</v>
      </c>
    </row>
    <row r="82" spans="1:5" x14ac:dyDescent="0.2">
      <c r="A82">
        <v>1</v>
      </c>
      <c r="B82">
        <v>3</v>
      </c>
      <c r="C82">
        <v>15</v>
      </c>
      <c r="D82">
        <f>LOG10(E82)</f>
        <v>0.90467227592705568</v>
      </c>
      <c r="E82" s="3">
        <v>8.0291999999999994</v>
      </c>
    </row>
    <row r="83" spans="1:5" x14ac:dyDescent="0.2">
      <c r="A83">
        <v>1</v>
      </c>
      <c r="B83">
        <v>3</v>
      </c>
      <c r="C83">
        <v>15</v>
      </c>
      <c r="D83">
        <f>LOG10(E83)</f>
        <v>1.1599940596732181</v>
      </c>
      <c r="E83" s="3">
        <v>14.4542</v>
      </c>
    </row>
    <row r="84" spans="1:5" x14ac:dyDescent="0.2">
      <c r="A84">
        <v>1</v>
      </c>
      <c r="B84">
        <v>1</v>
      </c>
      <c r="C84">
        <v>15</v>
      </c>
      <c r="D84">
        <f>LOG10(E84)</f>
        <v>2.3249765656660264</v>
      </c>
      <c r="E84" s="3">
        <v>211.33750000000001</v>
      </c>
    </row>
    <row r="85" spans="1:5" x14ac:dyDescent="0.2">
      <c r="A85">
        <v>1</v>
      </c>
      <c r="B85">
        <v>3</v>
      </c>
      <c r="C85">
        <v>16</v>
      </c>
      <c r="D85">
        <f>LOG10(E85)</f>
        <v>0.88836485820822908</v>
      </c>
      <c r="E85" s="3">
        <v>7.7332999999999998</v>
      </c>
    </row>
    <row r="86" spans="1:5" x14ac:dyDescent="0.2">
      <c r="A86">
        <v>1</v>
      </c>
      <c r="B86">
        <v>3</v>
      </c>
      <c r="C86">
        <v>16</v>
      </c>
      <c r="D86">
        <f>LOG10(E86)</f>
        <v>0.88930170250631024</v>
      </c>
      <c r="E86" s="3">
        <v>7.75</v>
      </c>
    </row>
    <row r="87" spans="1:5" x14ac:dyDescent="0.2">
      <c r="A87">
        <v>0</v>
      </c>
      <c r="B87">
        <v>3</v>
      </c>
      <c r="C87">
        <v>16</v>
      </c>
      <c r="D87">
        <f>LOG10(E87)</f>
        <v>0.8907003976988751</v>
      </c>
      <c r="E87" s="3">
        <v>7.7750000000000004</v>
      </c>
    </row>
    <row r="88" spans="1:5" x14ac:dyDescent="0.2">
      <c r="A88">
        <v>0</v>
      </c>
      <c r="B88">
        <v>3</v>
      </c>
      <c r="C88">
        <v>16</v>
      </c>
      <c r="D88">
        <f>LOG10(E88)</f>
        <v>0.90579588036786851</v>
      </c>
      <c r="E88" s="3">
        <v>8.0500000000000007</v>
      </c>
    </row>
    <row r="89" spans="1:5" x14ac:dyDescent="0.2">
      <c r="A89">
        <v>1</v>
      </c>
      <c r="B89">
        <v>3</v>
      </c>
      <c r="C89">
        <v>16</v>
      </c>
      <c r="D89">
        <f>LOG10(E89)</f>
        <v>0.90579588036786851</v>
      </c>
      <c r="E89" s="3">
        <v>8.0500000000000007</v>
      </c>
    </row>
    <row r="90" spans="1:5" x14ac:dyDescent="0.2">
      <c r="A90">
        <v>0</v>
      </c>
      <c r="B90">
        <v>3</v>
      </c>
      <c r="C90">
        <v>16</v>
      </c>
      <c r="D90">
        <f>LOG10(E90)</f>
        <v>0.96457545160350144</v>
      </c>
      <c r="E90" s="3">
        <v>9.2166999999999994</v>
      </c>
    </row>
    <row r="91" spans="1:5" x14ac:dyDescent="0.2">
      <c r="A91">
        <v>0</v>
      </c>
      <c r="B91">
        <v>3</v>
      </c>
      <c r="C91">
        <v>16</v>
      </c>
      <c r="D91">
        <f>LOG10(E91)</f>
        <v>0.97772360528884772</v>
      </c>
      <c r="E91" s="3">
        <v>9.5</v>
      </c>
    </row>
    <row r="92" spans="1:5" x14ac:dyDescent="0.2">
      <c r="A92">
        <v>0</v>
      </c>
      <c r="B92">
        <v>2</v>
      </c>
      <c r="C92">
        <v>16</v>
      </c>
      <c r="D92">
        <f>LOG10(E92)</f>
        <v>1.0211892990699381</v>
      </c>
      <c r="E92" s="3">
        <v>10.5</v>
      </c>
    </row>
    <row r="93" spans="1:5" x14ac:dyDescent="0.2">
      <c r="A93">
        <v>0</v>
      </c>
      <c r="B93">
        <v>3</v>
      </c>
      <c r="C93">
        <v>16</v>
      </c>
      <c r="D93">
        <f>LOG10(E93)</f>
        <v>1.255272505103306</v>
      </c>
      <c r="E93" s="3">
        <v>18</v>
      </c>
    </row>
    <row r="94" spans="1:5" x14ac:dyDescent="0.2">
      <c r="A94">
        <v>0</v>
      </c>
      <c r="B94">
        <v>3</v>
      </c>
      <c r="C94">
        <v>16</v>
      </c>
      <c r="D94">
        <f>LOG10(E94)</f>
        <v>1.3064250275506875</v>
      </c>
      <c r="E94" s="3">
        <v>20.25</v>
      </c>
    </row>
    <row r="95" spans="1:5" x14ac:dyDescent="0.2">
      <c r="A95">
        <v>0</v>
      </c>
      <c r="B95">
        <v>2</v>
      </c>
      <c r="C95">
        <v>16</v>
      </c>
      <c r="D95">
        <f>LOG10(E95)</f>
        <v>1.414973347970818</v>
      </c>
      <c r="E95" s="3">
        <v>26</v>
      </c>
    </row>
    <row r="96" spans="1:5" x14ac:dyDescent="0.2">
      <c r="A96">
        <v>0</v>
      </c>
      <c r="B96">
        <v>3</v>
      </c>
      <c r="C96">
        <v>16</v>
      </c>
      <c r="D96">
        <f>LOG10(E96)</f>
        <v>1.5362427068383191</v>
      </c>
      <c r="E96" s="3">
        <v>34.375</v>
      </c>
    </row>
    <row r="97" spans="1:5" x14ac:dyDescent="0.2">
      <c r="A97">
        <v>1</v>
      </c>
      <c r="B97">
        <v>1</v>
      </c>
      <c r="C97">
        <v>16</v>
      </c>
      <c r="D97">
        <f>LOG10(E97)</f>
        <v>1.5954962218255742</v>
      </c>
      <c r="E97" s="3">
        <v>39.4</v>
      </c>
    </row>
    <row r="98" spans="1:5" x14ac:dyDescent="0.2">
      <c r="A98">
        <v>0</v>
      </c>
      <c r="B98">
        <v>3</v>
      </c>
      <c r="C98">
        <v>16</v>
      </c>
      <c r="D98">
        <f>LOG10(E98)</f>
        <v>1.598653742636051</v>
      </c>
      <c r="E98" s="3">
        <v>39.6875</v>
      </c>
    </row>
    <row r="99" spans="1:5" x14ac:dyDescent="0.2">
      <c r="A99">
        <v>0</v>
      </c>
      <c r="B99">
        <v>3</v>
      </c>
      <c r="C99">
        <v>16</v>
      </c>
      <c r="D99">
        <f>LOG10(E99)</f>
        <v>1.6711728427150832</v>
      </c>
      <c r="E99" s="3">
        <v>46.9</v>
      </c>
    </row>
    <row r="100" spans="1:5" x14ac:dyDescent="0.2">
      <c r="A100">
        <v>1</v>
      </c>
      <c r="B100">
        <v>1</v>
      </c>
      <c r="C100">
        <v>16</v>
      </c>
      <c r="D100">
        <f>LOG10(E100)</f>
        <v>1.7632722186425993</v>
      </c>
      <c r="E100" s="3">
        <v>57.979199999999999</v>
      </c>
    </row>
    <row r="101" spans="1:5" x14ac:dyDescent="0.2">
      <c r="A101">
        <v>1</v>
      </c>
      <c r="B101">
        <v>1</v>
      </c>
      <c r="C101">
        <v>16</v>
      </c>
      <c r="D101">
        <f>LOG10(E101)</f>
        <v>1.9370161074648142</v>
      </c>
      <c r="E101" s="3">
        <v>86.5</v>
      </c>
    </row>
    <row r="102" spans="1:5" x14ac:dyDescent="0.2">
      <c r="A102">
        <v>0</v>
      </c>
      <c r="B102">
        <v>3</v>
      </c>
      <c r="C102">
        <v>17</v>
      </c>
      <c r="D102">
        <f>LOG10(E102)</f>
        <v>0.84844776858140869</v>
      </c>
      <c r="E102" s="3">
        <v>7.0541999999999998</v>
      </c>
    </row>
    <row r="103" spans="1:5" x14ac:dyDescent="0.2">
      <c r="A103">
        <v>0</v>
      </c>
      <c r="B103">
        <v>3</v>
      </c>
      <c r="C103">
        <v>17</v>
      </c>
      <c r="D103">
        <f>LOG10(E103)</f>
        <v>0.85278486868054781</v>
      </c>
      <c r="E103" s="3">
        <v>7.125</v>
      </c>
    </row>
    <row r="104" spans="1:5" x14ac:dyDescent="0.2">
      <c r="A104">
        <v>0</v>
      </c>
      <c r="B104">
        <v>3</v>
      </c>
      <c r="C104">
        <v>17</v>
      </c>
      <c r="D104">
        <f>LOG10(E104)</f>
        <v>0.85909023992124911</v>
      </c>
      <c r="E104" s="3">
        <v>7.2291999999999996</v>
      </c>
    </row>
    <row r="105" spans="1:5" x14ac:dyDescent="0.2">
      <c r="A105">
        <v>1</v>
      </c>
      <c r="B105">
        <v>3</v>
      </c>
      <c r="C105">
        <v>17</v>
      </c>
      <c r="D105">
        <f>LOG10(E105)</f>
        <v>0.89899927088978915</v>
      </c>
      <c r="E105" s="3">
        <v>7.9249999999999998</v>
      </c>
    </row>
    <row r="106" spans="1:5" x14ac:dyDescent="0.2">
      <c r="A106">
        <v>0</v>
      </c>
      <c r="B106">
        <v>3</v>
      </c>
      <c r="C106">
        <v>17</v>
      </c>
      <c r="D106">
        <f>LOG10(E106)</f>
        <v>0.93764324761986317</v>
      </c>
      <c r="E106" s="3">
        <v>8.6624999999999996</v>
      </c>
    </row>
    <row r="107" spans="1:5" x14ac:dyDescent="0.2">
      <c r="A107">
        <v>0</v>
      </c>
      <c r="B107">
        <v>3</v>
      </c>
      <c r="C107">
        <v>17</v>
      </c>
      <c r="D107">
        <f>LOG10(E107)</f>
        <v>0.93764324761986317</v>
      </c>
      <c r="E107" s="3">
        <v>8.6624999999999996</v>
      </c>
    </row>
    <row r="108" spans="1:5" x14ac:dyDescent="0.2">
      <c r="A108">
        <v>0</v>
      </c>
      <c r="B108">
        <v>3</v>
      </c>
      <c r="C108">
        <v>17</v>
      </c>
      <c r="D108">
        <f>LOG10(E108)</f>
        <v>0.93764324761986317</v>
      </c>
      <c r="E108" s="3">
        <v>8.6624999999999996</v>
      </c>
    </row>
    <row r="109" spans="1:5" x14ac:dyDescent="0.2">
      <c r="A109">
        <v>1</v>
      </c>
      <c r="B109">
        <v>2</v>
      </c>
      <c r="C109">
        <v>17</v>
      </c>
      <c r="D109">
        <f>LOG10(E109)</f>
        <v>1.0211892990699381</v>
      </c>
      <c r="E109" s="3">
        <v>10.5</v>
      </c>
    </row>
    <row r="110" spans="1:5" x14ac:dyDescent="0.2">
      <c r="A110">
        <v>1</v>
      </c>
      <c r="B110">
        <v>2</v>
      </c>
      <c r="C110">
        <v>17</v>
      </c>
      <c r="D110">
        <f>LOG10(E110)</f>
        <v>1.0791812460476249</v>
      </c>
      <c r="E110" s="3">
        <v>12</v>
      </c>
    </row>
    <row r="111" spans="1:5" x14ac:dyDescent="0.2">
      <c r="A111">
        <v>0</v>
      </c>
      <c r="B111">
        <v>3</v>
      </c>
      <c r="C111">
        <v>17</v>
      </c>
      <c r="D111">
        <f>LOG10(E111)</f>
        <v>1.1601172318228239</v>
      </c>
      <c r="E111" s="3">
        <v>14.458299999999999</v>
      </c>
    </row>
    <row r="112" spans="1:5" x14ac:dyDescent="0.2">
      <c r="A112">
        <v>1</v>
      </c>
      <c r="B112">
        <v>1</v>
      </c>
      <c r="C112">
        <v>17</v>
      </c>
      <c r="D112">
        <f>LOG10(E112)</f>
        <v>1.7558748556724915</v>
      </c>
      <c r="E112" s="3">
        <v>57</v>
      </c>
    </row>
    <row r="113" spans="1:5" x14ac:dyDescent="0.2">
      <c r="A113">
        <v>1</v>
      </c>
      <c r="B113">
        <v>1</v>
      </c>
      <c r="C113">
        <v>17</v>
      </c>
      <c r="D113">
        <f>LOG10(E113)</f>
        <v>2.037027879755775</v>
      </c>
      <c r="E113" s="3">
        <v>108.9</v>
      </c>
    </row>
    <row r="114" spans="1:5" x14ac:dyDescent="0.2">
      <c r="A114">
        <v>1</v>
      </c>
      <c r="B114">
        <v>1</v>
      </c>
      <c r="C114">
        <v>17</v>
      </c>
      <c r="D114">
        <f>LOG10(E114)</f>
        <v>2.0448661425064016</v>
      </c>
      <c r="E114" s="3">
        <v>110.88330000000001</v>
      </c>
    </row>
    <row r="115" spans="1:5" x14ac:dyDescent="0.2">
      <c r="A115">
        <v>0</v>
      </c>
      <c r="B115">
        <v>3</v>
      </c>
      <c r="C115">
        <v>18</v>
      </c>
      <c r="D115">
        <f>LOG10(E115)</f>
        <v>0.81263264489175169</v>
      </c>
      <c r="E115" s="3">
        <v>6.4958</v>
      </c>
    </row>
    <row r="116" spans="1:5" x14ac:dyDescent="0.2">
      <c r="A116">
        <v>0</v>
      </c>
      <c r="B116">
        <v>3</v>
      </c>
      <c r="C116">
        <v>18</v>
      </c>
      <c r="D116">
        <f>LOG10(E116)</f>
        <v>0.82930377283102497</v>
      </c>
      <c r="E116" s="3">
        <v>6.75</v>
      </c>
    </row>
    <row r="117" spans="1:5" x14ac:dyDescent="0.2">
      <c r="A117">
        <v>1</v>
      </c>
      <c r="B117">
        <v>3</v>
      </c>
      <c r="C117">
        <v>18</v>
      </c>
      <c r="D117">
        <f>LOG10(E117)</f>
        <v>0.87481799035902574</v>
      </c>
      <c r="E117" s="3">
        <v>7.4958</v>
      </c>
    </row>
    <row r="118" spans="1:5" x14ac:dyDescent="0.2">
      <c r="A118">
        <v>0</v>
      </c>
      <c r="B118">
        <v>3</v>
      </c>
      <c r="C118">
        <v>18</v>
      </c>
      <c r="D118">
        <f>LOG10(E118)</f>
        <v>0.88930170250631024</v>
      </c>
      <c r="E118" s="3">
        <v>7.75</v>
      </c>
    </row>
    <row r="119" spans="1:5" x14ac:dyDescent="0.2">
      <c r="A119">
        <v>0</v>
      </c>
      <c r="B119">
        <v>3</v>
      </c>
      <c r="C119">
        <v>18</v>
      </c>
      <c r="D119">
        <f>LOG10(E119)</f>
        <v>0.8907003976988751</v>
      </c>
      <c r="E119" s="3">
        <v>7.7750000000000004</v>
      </c>
    </row>
    <row r="120" spans="1:5" x14ac:dyDescent="0.2">
      <c r="A120">
        <v>0</v>
      </c>
      <c r="B120">
        <v>3</v>
      </c>
      <c r="C120">
        <v>18</v>
      </c>
      <c r="D120">
        <f>LOG10(E120)</f>
        <v>0.8907003976988751</v>
      </c>
      <c r="E120" s="3">
        <v>7.7750000000000004</v>
      </c>
    </row>
    <row r="121" spans="1:5" x14ac:dyDescent="0.2">
      <c r="A121">
        <v>0</v>
      </c>
      <c r="B121">
        <v>3</v>
      </c>
      <c r="C121">
        <v>18</v>
      </c>
      <c r="D121">
        <f>LOG10(E121)</f>
        <v>0.8918606888331484</v>
      </c>
      <c r="E121" s="3">
        <v>7.7957999999999998</v>
      </c>
    </row>
    <row r="122" spans="1:5" x14ac:dyDescent="0.2">
      <c r="A122">
        <v>0</v>
      </c>
      <c r="B122">
        <v>3</v>
      </c>
      <c r="C122">
        <v>18</v>
      </c>
      <c r="D122">
        <f>LOG10(E122)</f>
        <v>0.89510195598589926</v>
      </c>
      <c r="E122" s="3">
        <v>7.8541999999999996</v>
      </c>
    </row>
    <row r="123" spans="1:5" x14ac:dyDescent="0.2">
      <c r="A123">
        <v>1</v>
      </c>
      <c r="B123">
        <v>3</v>
      </c>
      <c r="C123">
        <v>18</v>
      </c>
      <c r="D123">
        <f>LOG10(E123)</f>
        <v>0.90579588036786851</v>
      </c>
      <c r="E123" s="3">
        <v>8.0500000000000007</v>
      </c>
    </row>
    <row r="124" spans="1:5" x14ac:dyDescent="0.2">
      <c r="A124">
        <v>0</v>
      </c>
      <c r="B124">
        <v>3</v>
      </c>
      <c r="C124">
        <v>18</v>
      </c>
      <c r="D124">
        <f>LOG10(E124)</f>
        <v>0.91907809237607396</v>
      </c>
      <c r="E124" s="3">
        <v>8.3000000000000007</v>
      </c>
    </row>
    <row r="125" spans="1:5" x14ac:dyDescent="0.2">
      <c r="A125">
        <v>1</v>
      </c>
      <c r="B125">
        <v>3</v>
      </c>
      <c r="C125">
        <v>18</v>
      </c>
      <c r="D125">
        <f>LOG10(E125)</f>
        <v>0.97081161087251777</v>
      </c>
      <c r="E125" s="3">
        <v>9.35</v>
      </c>
    </row>
    <row r="126" spans="1:5" x14ac:dyDescent="0.2">
      <c r="A126">
        <v>1</v>
      </c>
      <c r="B126">
        <v>3</v>
      </c>
      <c r="C126">
        <v>18</v>
      </c>
      <c r="D126">
        <f>LOG10(E126)</f>
        <v>0.9930701225015256</v>
      </c>
      <c r="E126" s="3">
        <v>9.8416999999999994</v>
      </c>
    </row>
    <row r="127" spans="1:5" x14ac:dyDescent="0.2">
      <c r="A127">
        <v>0</v>
      </c>
      <c r="B127">
        <v>2</v>
      </c>
      <c r="C127">
        <v>18</v>
      </c>
      <c r="D127">
        <f>LOG10(E127)</f>
        <v>1.0606978403536116</v>
      </c>
      <c r="E127" s="3">
        <v>11.5</v>
      </c>
    </row>
    <row r="128" spans="1:5" x14ac:dyDescent="0.2">
      <c r="A128">
        <v>0</v>
      </c>
      <c r="B128">
        <v>2</v>
      </c>
      <c r="C128">
        <v>18</v>
      </c>
      <c r="D128">
        <f>LOG10(E128)</f>
        <v>1.0606978403536116</v>
      </c>
      <c r="E128" s="3">
        <v>11.5</v>
      </c>
    </row>
    <row r="129" spans="1:5" x14ac:dyDescent="0.2">
      <c r="A129">
        <v>0</v>
      </c>
      <c r="B129">
        <v>2</v>
      </c>
      <c r="C129">
        <v>18</v>
      </c>
      <c r="D129">
        <f>LOG10(E129)</f>
        <v>1.1139433523068367</v>
      </c>
      <c r="E129" s="3">
        <v>13</v>
      </c>
    </row>
    <row r="130" spans="1:5" x14ac:dyDescent="0.2">
      <c r="A130">
        <v>1</v>
      </c>
      <c r="B130">
        <v>2</v>
      </c>
      <c r="C130">
        <v>18</v>
      </c>
      <c r="D130">
        <f>LOG10(E130)</f>
        <v>1.1139433523068367</v>
      </c>
      <c r="E130" s="3">
        <v>13</v>
      </c>
    </row>
    <row r="131" spans="1:5" x14ac:dyDescent="0.2">
      <c r="A131">
        <v>0</v>
      </c>
      <c r="B131">
        <v>3</v>
      </c>
      <c r="C131">
        <v>18</v>
      </c>
      <c r="D131">
        <f>LOG10(E131)</f>
        <v>1.1599940596732181</v>
      </c>
      <c r="E131" s="3">
        <v>14.4542</v>
      </c>
    </row>
    <row r="132" spans="1:5" x14ac:dyDescent="0.2">
      <c r="A132">
        <v>0</v>
      </c>
      <c r="B132">
        <v>3</v>
      </c>
      <c r="C132">
        <v>18</v>
      </c>
      <c r="D132">
        <f>LOG10(E132)</f>
        <v>1.2504200023088941</v>
      </c>
      <c r="E132" s="3">
        <v>17.8</v>
      </c>
    </row>
    <row r="133" spans="1:5" x14ac:dyDescent="0.2">
      <c r="A133">
        <v>0</v>
      </c>
      <c r="B133">
        <v>3</v>
      </c>
      <c r="C133">
        <v>18</v>
      </c>
      <c r="D133">
        <f>LOG10(E133)</f>
        <v>1.255272505103306</v>
      </c>
      <c r="E133" s="3">
        <v>18</v>
      </c>
    </row>
    <row r="134" spans="1:5" x14ac:dyDescent="0.2">
      <c r="A134">
        <v>0</v>
      </c>
      <c r="B134">
        <v>3</v>
      </c>
      <c r="C134">
        <v>18</v>
      </c>
      <c r="D134">
        <f>LOG10(E134)</f>
        <v>1.3056200329144576</v>
      </c>
      <c r="E134" s="3">
        <v>20.212499999999999</v>
      </c>
    </row>
    <row r="135" spans="1:5" x14ac:dyDescent="0.2">
      <c r="A135">
        <v>1</v>
      </c>
      <c r="B135">
        <v>2</v>
      </c>
      <c r="C135">
        <v>18</v>
      </c>
      <c r="D135">
        <f>LOG10(E135)</f>
        <v>1.3617278360175928</v>
      </c>
      <c r="E135" s="3">
        <v>23</v>
      </c>
    </row>
    <row r="136" spans="1:5" x14ac:dyDescent="0.2">
      <c r="A136">
        <v>0</v>
      </c>
      <c r="B136">
        <v>2</v>
      </c>
      <c r="C136">
        <v>18</v>
      </c>
      <c r="D136">
        <f>LOG10(E136)</f>
        <v>1.866287339084195</v>
      </c>
      <c r="E136" s="3">
        <v>73.5</v>
      </c>
    </row>
    <row r="137" spans="1:5" x14ac:dyDescent="0.2">
      <c r="A137">
        <v>1</v>
      </c>
      <c r="B137">
        <v>1</v>
      </c>
      <c r="C137">
        <v>18</v>
      </c>
      <c r="D137">
        <f>LOG10(E137)</f>
        <v>1.9011857801371503</v>
      </c>
      <c r="E137" s="3">
        <v>79.650000000000006</v>
      </c>
    </row>
    <row r="138" spans="1:5" x14ac:dyDescent="0.2">
      <c r="A138">
        <v>0</v>
      </c>
      <c r="B138">
        <v>1</v>
      </c>
      <c r="C138">
        <v>18</v>
      </c>
      <c r="D138">
        <f>LOG10(E138)</f>
        <v>2.037027879755775</v>
      </c>
      <c r="E138" s="3">
        <v>108.9</v>
      </c>
    </row>
    <row r="139" spans="1:5" x14ac:dyDescent="0.2">
      <c r="A139">
        <v>1</v>
      </c>
      <c r="B139">
        <v>1</v>
      </c>
      <c r="C139">
        <v>18</v>
      </c>
      <c r="D139">
        <f>LOG10(E139)</f>
        <v>2.35702912303943</v>
      </c>
      <c r="E139" s="3">
        <v>227.52500000000001</v>
      </c>
    </row>
    <row r="140" spans="1:5" x14ac:dyDescent="0.2">
      <c r="A140">
        <v>1</v>
      </c>
      <c r="B140">
        <v>1</v>
      </c>
      <c r="C140">
        <v>18</v>
      </c>
      <c r="D140">
        <f>LOG10(E140)</f>
        <v>2.4189224515904568</v>
      </c>
      <c r="E140" s="3">
        <v>262.375</v>
      </c>
    </row>
    <row r="141" spans="1:5" x14ac:dyDescent="0.2">
      <c r="A141">
        <v>0</v>
      </c>
      <c r="B141">
        <v>3</v>
      </c>
      <c r="C141">
        <v>19</v>
      </c>
      <c r="D141">
        <f>LOG10(E141)</f>
        <v>0.82930377283102497</v>
      </c>
      <c r="E141" s="3">
        <v>6.75</v>
      </c>
    </row>
    <row r="142" spans="1:5" x14ac:dyDescent="0.2">
      <c r="A142">
        <v>0</v>
      </c>
      <c r="B142">
        <v>3</v>
      </c>
      <c r="C142">
        <v>19</v>
      </c>
      <c r="D142">
        <f>LOG10(E142)</f>
        <v>0.88366143515361761</v>
      </c>
      <c r="E142" s="3">
        <v>7.65</v>
      </c>
    </row>
    <row r="143" spans="1:5" x14ac:dyDescent="0.2">
      <c r="A143">
        <v>0</v>
      </c>
      <c r="B143">
        <v>3</v>
      </c>
      <c r="C143">
        <v>19</v>
      </c>
      <c r="D143">
        <f>LOG10(E143)</f>
        <v>0.8907003976988751</v>
      </c>
      <c r="E143" s="3">
        <v>7.7750000000000004</v>
      </c>
    </row>
    <row r="144" spans="1:5" x14ac:dyDescent="0.2">
      <c r="A144">
        <v>1</v>
      </c>
      <c r="B144">
        <v>3</v>
      </c>
      <c r="C144">
        <v>19</v>
      </c>
      <c r="D144">
        <f>LOG10(E144)</f>
        <v>0.89510195598589926</v>
      </c>
      <c r="E144" s="3">
        <v>7.8541999999999996</v>
      </c>
    </row>
    <row r="145" spans="1:5" x14ac:dyDescent="0.2">
      <c r="A145">
        <v>1</v>
      </c>
      <c r="B145">
        <v>3</v>
      </c>
      <c r="C145">
        <v>19</v>
      </c>
      <c r="D145">
        <f>LOG10(E145)</f>
        <v>0.8964821244409461</v>
      </c>
      <c r="E145" s="3">
        <v>7.8792</v>
      </c>
    </row>
    <row r="146" spans="1:5" x14ac:dyDescent="0.2">
      <c r="A146">
        <v>0</v>
      </c>
      <c r="B146">
        <v>3</v>
      </c>
      <c r="C146">
        <v>19</v>
      </c>
      <c r="D146">
        <f>LOG10(E146)</f>
        <v>0.89739613915544614</v>
      </c>
      <c r="E146" s="3">
        <v>7.8958000000000004</v>
      </c>
    </row>
    <row r="147" spans="1:5" x14ac:dyDescent="0.2">
      <c r="A147">
        <v>0</v>
      </c>
      <c r="B147">
        <v>3</v>
      </c>
      <c r="C147">
        <v>19</v>
      </c>
      <c r="D147">
        <f>LOG10(E147)</f>
        <v>0.89739613915544614</v>
      </c>
      <c r="E147" s="3">
        <v>7.8958000000000004</v>
      </c>
    </row>
    <row r="148" spans="1:5" x14ac:dyDescent="0.2">
      <c r="A148">
        <v>0</v>
      </c>
      <c r="B148">
        <v>3</v>
      </c>
      <c r="C148">
        <v>19</v>
      </c>
      <c r="D148">
        <f>LOG10(E148)</f>
        <v>0.89739613915544614</v>
      </c>
      <c r="E148" s="3">
        <v>7.8958000000000004</v>
      </c>
    </row>
    <row r="149" spans="1:5" x14ac:dyDescent="0.2">
      <c r="A149">
        <v>0</v>
      </c>
      <c r="B149">
        <v>3</v>
      </c>
      <c r="C149">
        <v>19</v>
      </c>
      <c r="D149">
        <f>LOG10(E149)</f>
        <v>0.90579588036786851</v>
      </c>
      <c r="E149" s="3">
        <v>8.0500000000000007</v>
      </c>
    </row>
    <row r="150" spans="1:5" x14ac:dyDescent="0.2">
      <c r="A150">
        <v>1</v>
      </c>
      <c r="B150">
        <v>3</v>
      </c>
      <c r="C150">
        <v>19</v>
      </c>
      <c r="D150">
        <f>LOG10(E150)</f>
        <v>0.90579588036786851</v>
      </c>
      <c r="E150" s="3">
        <v>8.0500000000000007</v>
      </c>
    </row>
    <row r="151" spans="1:5" x14ac:dyDescent="0.2">
      <c r="A151">
        <v>0</v>
      </c>
      <c r="B151">
        <v>3</v>
      </c>
      <c r="C151">
        <v>19</v>
      </c>
      <c r="D151">
        <f>LOG10(E151)</f>
        <v>0.9115996713106953</v>
      </c>
      <c r="E151" s="3">
        <v>8.1583000000000006</v>
      </c>
    </row>
    <row r="152" spans="1:5" x14ac:dyDescent="0.2">
      <c r="A152">
        <v>0</v>
      </c>
      <c r="B152">
        <v>3</v>
      </c>
      <c r="C152">
        <v>19</v>
      </c>
      <c r="D152">
        <f>LOG10(E152)</f>
        <v>1.0073551143702493</v>
      </c>
      <c r="E152" s="3">
        <v>10.1708</v>
      </c>
    </row>
    <row r="153" spans="1:5" x14ac:dyDescent="0.2">
      <c r="A153">
        <v>0</v>
      </c>
      <c r="B153">
        <v>2</v>
      </c>
      <c r="C153">
        <v>19</v>
      </c>
      <c r="D153">
        <f>LOG10(E153)</f>
        <v>1.0211892990699381</v>
      </c>
      <c r="E153" s="3">
        <v>10.5</v>
      </c>
    </row>
    <row r="154" spans="1:5" x14ac:dyDescent="0.2">
      <c r="A154">
        <v>1</v>
      </c>
      <c r="B154">
        <v>2</v>
      </c>
      <c r="C154">
        <v>19</v>
      </c>
      <c r="D154">
        <f>LOG10(E154)</f>
        <v>1.0211892990699381</v>
      </c>
      <c r="E154" s="3">
        <v>10.5</v>
      </c>
    </row>
    <row r="155" spans="1:5" x14ac:dyDescent="0.2">
      <c r="A155">
        <v>0</v>
      </c>
      <c r="B155">
        <v>2</v>
      </c>
      <c r="C155">
        <v>19</v>
      </c>
      <c r="D155">
        <f>LOG10(E155)</f>
        <v>1.1139433523068367</v>
      </c>
      <c r="E155" s="3">
        <v>13</v>
      </c>
    </row>
    <row r="156" spans="1:5" x14ac:dyDescent="0.2">
      <c r="A156">
        <v>0</v>
      </c>
      <c r="B156">
        <v>3</v>
      </c>
      <c r="C156">
        <v>19</v>
      </c>
      <c r="D156">
        <f>LOG10(E156)</f>
        <v>1.1613680022349748</v>
      </c>
      <c r="E156" s="3">
        <v>14.5</v>
      </c>
    </row>
    <row r="157" spans="1:5" x14ac:dyDescent="0.2">
      <c r="A157">
        <v>1</v>
      </c>
      <c r="B157">
        <v>2</v>
      </c>
      <c r="C157">
        <v>19</v>
      </c>
      <c r="D157">
        <f>LOG10(E157)</f>
        <v>1.414973347970818</v>
      </c>
      <c r="E157" s="3">
        <v>26</v>
      </c>
    </row>
    <row r="158" spans="1:5" x14ac:dyDescent="0.2">
      <c r="A158">
        <v>1</v>
      </c>
      <c r="B158">
        <v>2</v>
      </c>
      <c r="C158">
        <v>19</v>
      </c>
      <c r="D158">
        <f>LOG10(E158)</f>
        <v>1.414973347970818</v>
      </c>
      <c r="E158" s="3">
        <v>26</v>
      </c>
    </row>
    <row r="159" spans="1:5" x14ac:dyDescent="0.2">
      <c r="A159">
        <v>1</v>
      </c>
      <c r="B159">
        <v>1</v>
      </c>
      <c r="C159">
        <v>19</v>
      </c>
      <c r="D159">
        <f>LOG10(E159)</f>
        <v>1.4196798921592639</v>
      </c>
      <c r="E159" s="3">
        <v>26.283300000000001</v>
      </c>
    </row>
    <row r="160" spans="1:5" x14ac:dyDescent="0.2">
      <c r="A160">
        <v>1</v>
      </c>
      <c r="B160">
        <v>1</v>
      </c>
      <c r="C160">
        <v>19</v>
      </c>
      <c r="D160">
        <f>LOG10(E160)</f>
        <v>1.4771212547196624</v>
      </c>
      <c r="E160" s="3">
        <v>30</v>
      </c>
    </row>
    <row r="161" spans="1:5" x14ac:dyDescent="0.2">
      <c r="A161">
        <v>0</v>
      </c>
      <c r="B161">
        <v>2</v>
      </c>
      <c r="C161">
        <v>19</v>
      </c>
      <c r="D161">
        <f>LOG10(E161)</f>
        <v>1.5652573434202137</v>
      </c>
      <c r="E161" s="3">
        <v>36.75</v>
      </c>
    </row>
    <row r="162" spans="1:5" x14ac:dyDescent="0.2">
      <c r="A162">
        <v>0</v>
      </c>
      <c r="B162">
        <v>1</v>
      </c>
      <c r="C162">
        <v>19</v>
      </c>
      <c r="D162">
        <f>LOG10(E162)</f>
        <v>1.725094521081469</v>
      </c>
      <c r="E162" s="3">
        <v>53.1</v>
      </c>
    </row>
    <row r="163" spans="1:5" x14ac:dyDescent="0.2">
      <c r="A163">
        <v>1</v>
      </c>
      <c r="B163">
        <v>1</v>
      </c>
      <c r="C163">
        <v>19</v>
      </c>
      <c r="D163">
        <f>LOG10(E163)</f>
        <v>1.959419207306397</v>
      </c>
      <c r="E163" s="3">
        <v>91.0792</v>
      </c>
    </row>
    <row r="164" spans="1:5" x14ac:dyDescent="0.2">
      <c r="A164">
        <v>0</v>
      </c>
      <c r="B164">
        <v>1</v>
      </c>
      <c r="C164">
        <v>19</v>
      </c>
      <c r="D164">
        <f>LOG10(E164)</f>
        <v>2.419955748489758</v>
      </c>
      <c r="E164" s="3">
        <v>263</v>
      </c>
    </row>
    <row r="165" spans="1:5" x14ac:dyDescent="0.2">
      <c r="A165">
        <v>0</v>
      </c>
      <c r="B165">
        <v>3</v>
      </c>
      <c r="C165">
        <v>20</v>
      </c>
      <c r="D165">
        <f>LOG10(E165)</f>
        <v>0.60341504541292856</v>
      </c>
      <c r="E165" s="3">
        <v>4.0125000000000002</v>
      </c>
    </row>
    <row r="166" spans="1:5" x14ac:dyDescent="0.2">
      <c r="A166">
        <v>0</v>
      </c>
      <c r="B166">
        <v>3</v>
      </c>
      <c r="C166">
        <v>20</v>
      </c>
      <c r="D166">
        <f>LOG10(E166)</f>
        <v>0.84818911699139865</v>
      </c>
      <c r="E166" s="3">
        <v>7.05</v>
      </c>
    </row>
    <row r="167" spans="1:5" x14ac:dyDescent="0.2">
      <c r="A167">
        <v>1</v>
      </c>
      <c r="B167">
        <v>3</v>
      </c>
      <c r="C167">
        <v>20</v>
      </c>
      <c r="D167">
        <f>LOG10(E167)</f>
        <v>0.85909023992124911</v>
      </c>
      <c r="E167" s="3">
        <v>7.2291999999999996</v>
      </c>
    </row>
    <row r="168" spans="1:5" x14ac:dyDescent="0.2">
      <c r="A168">
        <v>0</v>
      </c>
      <c r="B168">
        <v>3</v>
      </c>
      <c r="C168">
        <v>20</v>
      </c>
      <c r="D168">
        <f>LOG10(E168)</f>
        <v>0.89510195598589926</v>
      </c>
      <c r="E168" s="3">
        <v>7.8541999999999996</v>
      </c>
    </row>
    <row r="169" spans="1:5" x14ac:dyDescent="0.2">
      <c r="A169">
        <v>0</v>
      </c>
      <c r="B169">
        <v>3</v>
      </c>
      <c r="C169">
        <v>20</v>
      </c>
      <c r="D169">
        <f>LOG10(E169)</f>
        <v>0.89510195598589926</v>
      </c>
      <c r="E169" s="3">
        <v>7.8541999999999996</v>
      </c>
    </row>
    <row r="170" spans="1:5" x14ac:dyDescent="0.2">
      <c r="A170">
        <v>0</v>
      </c>
      <c r="B170">
        <v>3</v>
      </c>
      <c r="C170">
        <v>20</v>
      </c>
      <c r="D170">
        <f>LOG10(E170)</f>
        <v>0.89899927088978915</v>
      </c>
      <c r="E170" s="3">
        <v>7.9249999999999998</v>
      </c>
    </row>
    <row r="171" spans="1:5" x14ac:dyDescent="0.2">
      <c r="A171">
        <v>1</v>
      </c>
      <c r="B171">
        <v>3</v>
      </c>
      <c r="C171">
        <v>20</v>
      </c>
      <c r="D171">
        <f>LOG10(E171)</f>
        <v>0.89899927088978915</v>
      </c>
      <c r="E171" s="3">
        <v>7.9249999999999998</v>
      </c>
    </row>
    <row r="172" spans="1:5" x14ac:dyDescent="0.2">
      <c r="A172">
        <v>0</v>
      </c>
      <c r="B172">
        <v>3</v>
      </c>
      <c r="C172">
        <v>20</v>
      </c>
      <c r="D172">
        <f>LOG10(E172)</f>
        <v>0.90579588036786851</v>
      </c>
      <c r="E172" s="3">
        <v>8.0500000000000007</v>
      </c>
    </row>
    <row r="173" spans="1:5" x14ac:dyDescent="0.2">
      <c r="A173">
        <v>0</v>
      </c>
      <c r="B173">
        <v>3</v>
      </c>
      <c r="C173">
        <v>20</v>
      </c>
      <c r="D173">
        <f>LOG10(E173)</f>
        <v>0.93764324761986317</v>
      </c>
      <c r="E173" s="3">
        <v>8.6624999999999996</v>
      </c>
    </row>
    <row r="174" spans="1:5" x14ac:dyDescent="0.2">
      <c r="A174">
        <v>0</v>
      </c>
      <c r="B174">
        <v>3</v>
      </c>
      <c r="C174">
        <v>20</v>
      </c>
      <c r="D174">
        <f>LOG10(E174)</f>
        <v>0.93764324761986317</v>
      </c>
      <c r="E174" s="3">
        <v>8.6624999999999996</v>
      </c>
    </row>
    <row r="175" spans="1:5" x14ac:dyDescent="0.2">
      <c r="A175">
        <v>0</v>
      </c>
      <c r="B175">
        <v>3</v>
      </c>
      <c r="C175">
        <v>20</v>
      </c>
      <c r="D175">
        <f>LOG10(E175)</f>
        <v>0.96496637483109793</v>
      </c>
      <c r="E175" s="3">
        <v>9.2249999999999996</v>
      </c>
    </row>
    <row r="176" spans="1:5" x14ac:dyDescent="0.2">
      <c r="A176">
        <v>0</v>
      </c>
      <c r="B176">
        <v>3</v>
      </c>
      <c r="C176">
        <v>20</v>
      </c>
      <c r="D176">
        <f>LOG10(E176)</f>
        <v>0.97772360528884772</v>
      </c>
      <c r="E176" s="3">
        <v>9.5</v>
      </c>
    </row>
    <row r="177" spans="1:5" x14ac:dyDescent="0.2">
      <c r="A177">
        <v>0</v>
      </c>
      <c r="B177">
        <v>3</v>
      </c>
      <c r="C177">
        <v>20</v>
      </c>
      <c r="D177">
        <f>LOG10(E177)</f>
        <v>0.99233255904746431</v>
      </c>
      <c r="E177" s="3">
        <v>9.8249999999999993</v>
      </c>
    </row>
    <row r="178" spans="1:5" x14ac:dyDescent="0.2">
      <c r="A178">
        <v>0</v>
      </c>
      <c r="B178">
        <v>3</v>
      </c>
      <c r="C178">
        <v>20</v>
      </c>
      <c r="D178">
        <f>LOG10(E178)</f>
        <v>0.99325100960263502</v>
      </c>
      <c r="E178" s="3">
        <v>9.8458000000000006</v>
      </c>
    </row>
    <row r="179" spans="1:5" x14ac:dyDescent="0.2">
      <c r="A179">
        <v>1</v>
      </c>
      <c r="B179">
        <v>3</v>
      </c>
      <c r="C179">
        <v>20</v>
      </c>
      <c r="D179">
        <f>LOG10(E179)</f>
        <v>1.1970516315015716</v>
      </c>
      <c r="E179" s="3">
        <v>15.7417</v>
      </c>
    </row>
    <row r="180" spans="1:5" x14ac:dyDescent="0.2">
      <c r="A180">
        <v>0</v>
      </c>
      <c r="B180">
        <v>3</v>
      </c>
      <c r="C180">
        <v>20.5</v>
      </c>
      <c r="D180">
        <f>LOG10(E180)</f>
        <v>0.86033800657099369</v>
      </c>
      <c r="E180" s="3">
        <v>7.25</v>
      </c>
    </row>
    <row r="181" spans="1:5" x14ac:dyDescent="0.2">
      <c r="A181">
        <v>0</v>
      </c>
      <c r="B181">
        <v>3</v>
      </c>
      <c r="C181">
        <v>21</v>
      </c>
      <c r="D181">
        <f>LOG10(E181)</f>
        <v>0.86033800657099369</v>
      </c>
      <c r="E181" s="3">
        <v>7.25</v>
      </c>
    </row>
    <row r="182" spans="1:5" x14ac:dyDescent="0.2">
      <c r="A182">
        <v>1</v>
      </c>
      <c r="B182">
        <v>3</v>
      </c>
      <c r="C182">
        <v>21</v>
      </c>
      <c r="D182">
        <f>LOG10(E182)</f>
        <v>0.88366143515361761</v>
      </c>
      <c r="E182" s="3">
        <v>7.65</v>
      </c>
    </row>
    <row r="183" spans="1:5" x14ac:dyDescent="0.2">
      <c r="A183">
        <v>0</v>
      </c>
      <c r="B183">
        <v>3</v>
      </c>
      <c r="C183">
        <v>21</v>
      </c>
      <c r="D183">
        <f>LOG10(E183)</f>
        <v>0.88836485820822908</v>
      </c>
      <c r="E183" s="3">
        <v>7.7332999999999998</v>
      </c>
    </row>
    <row r="184" spans="1:5" x14ac:dyDescent="0.2">
      <c r="A184">
        <v>0</v>
      </c>
      <c r="B184">
        <v>3</v>
      </c>
      <c r="C184">
        <v>21</v>
      </c>
      <c r="D184">
        <f>LOG10(E184)</f>
        <v>0.88930170250631024</v>
      </c>
      <c r="E184" s="3">
        <v>7.75</v>
      </c>
    </row>
    <row r="185" spans="1:5" x14ac:dyDescent="0.2">
      <c r="A185">
        <v>0</v>
      </c>
      <c r="B185">
        <v>3</v>
      </c>
      <c r="C185">
        <v>21</v>
      </c>
      <c r="D185">
        <f>LOG10(E185)</f>
        <v>0.8907003976988751</v>
      </c>
      <c r="E185" s="3">
        <v>7.7750000000000004</v>
      </c>
    </row>
    <row r="186" spans="1:5" x14ac:dyDescent="0.2">
      <c r="A186">
        <v>1</v>
      </c>
      <c r="B186">
        <v>3</v>
      </c>
      <c r="C186">
        <v>21</v>
      </c>
      <c r="D186">
        <f>LOG10(E186)</f>
        <v>0.8918606888331484</v>
      </c>
      <c r="E186" s="3">
        <v>7.7957999999999998</v>
      </c>
    </row>
    <row r="187" spans="1:5" x14ac:dyDescent="0.2">
      <c r="A187">
        <v>0</v>
      </c>
      <c r="B187">
        <v>3</v>
      </c>
      <c r="C187">
        <v>21</v>
      </c>
      <c r="D187">
        <f>LOG10(E187)</f>
        <v>0.89209460269048035</v>
      </c>
      <c r="E187" s="3">
        <v>7.8</v>
      </c>
    </row>
    <row r="188" spans="1:5" x14ac:dyDescent="0.2">
      <c r="A188">
        <v>0</v>
      </c>
      <c r="B188">
        <v>3</v>
      </c>
      <c r="C188">
        <v>21</v>
      </c>
      <c r="D188">
        <f>LOG10(E188)</f>
        <v>0.89510195598589926</v>
      </c>
      <c r="E188" s="3">
        <v>7.8541999999999996</v>
      </c>
    </row>
    <row r="189" spans="1:5" x14ac:dyDescent="0.2">
      <c r="A189">
        <v>0</v>
      </c>
      <c r="B189">
        <v>3</v>
      </c>
      <c r="C189">
        <v>21</v>
      </c>
      <c r="D189">
        <f>LOG10(E189)</f>
        <v>0.89899927088978915</v>
      </c>
      <c r="E189" s="3">
        <v>7.9249999999999998</v>
      </c>
    </row>
    <row r="190" spans="1:5" x14ac:dyDescent="0.2">
      <c r="A190">
        <v>0</v>
      </c>
      <c r="B190">
        <v>3</v>
      </c>
      <c r="C190">
        <v>21</v>
      </c>
      <c r="D190">
        <f>LOG10(E190)</f>
        <v>0.89899927088978915</v>
      </c>
      <c r="E190" s="3">
        <v>7.9249999999999998</v>
      </c>
    </row>
    <row r="191" spans="1:5" x14ac:dyDescent="0.2">
      <c r="A191">
        <v>0</v>
      </c>
      <c r="B191">
        <v>3</v>
      </c>
      <c r="C191">
        <v>21</v>
      </c>
      <c r="D191">
        <f>LOG10(E191)</f>
        <v>0.90579588036786851</v>
      </c>
      <c r="E191" s="3">
        <v>8.0500000000000007</v>
      </c>
    </row>
    <row r="192" spans="1:5" x14ac:dyDescent="0.2">
      <c r="A192">
        <v>0</v>
      </c>
      <c r="B192">
        <v>3</v>
      </c>
      <c r="C192">
        <v>21</v>
      </c>
      <c r="D192">
        <f>LOG10(E192)</f>
        <v>0.90579588036786851</v>
      </c>
      <c r="E192" s="3">
        <v>8.0500000000000007</v>
      </c>
    </row>
    <row r="193" spans="1:5" x14ac:dyDescent="0.2">
      <c r="A193">
        <v>0</v>
      </c>
      <c r="B193">
        <v>3</v>
      </c>
      <c r="C193">
        <v>21</v>
      </c>
      <c r="D193">
        <f>LOG10(E193)</f>
        <v>0.92599754987378313</v>
      </c>
      <c r="E193" s="3">
        <v>8.4332999999999991</v>
      </c>
    </row>
    <row r="194" spans="1:5" x14ac:dyDescent="0.2">
      <c r="A194">
        <v>0</v>
      </c>
      <c r="B194">
        <v>3</v>
      </c>
      <c r="C194">
        <v>21</v>
      </c>
      <c r="D194">
        <f>LOG10(E194)</f>
        <v>0.93764324761986317</v>
      </c>
      <c r="E194" s="3">
        <v>8.6624999999999996</v>
      </c>
    </row>
    <row r="195" spans="1:5" x14ac:dyDescent="0.2">
      <c r="A195">
        <v>0</v>
      </c>
      <c r="B195">
        <v>3</v>
      </c>
      <c r="C195">
        <v>21</v>
      </c>
      <c r="D195">
        <f>LOG10(E195)</f>
        <v>0.99233255904746431</v>
      </c>
      <c r="E195" s="3">
        <v>9.8249999999999993</v>
      </c>
    </row>
    <row r="196" spans="1:5" x14ac:dyDescent="0.2">
      <c r="A196">
        <v>1</v>
      </c>
      <c r="B196">
        <v>2</v>
      </c>
      <c r="C196">
        <v>21</v>
      </c>
      <c r="D196">
        <f>LOG10(E196)</f>
        <v>1.0211892990699381</v>
      </c>
      <c r="E196" s="3">
        <v>10.5</v>
      </c>
    </row>
    <row r="197" spans="1:5" x14ac:dyDescent="0.2">
      <c r="A197">
        <v>0</v>
      </c>
      <c r="B197">
        <v>2</v>
      </c>
      <c r="C197">
        <v>21</v>
      </c>
      <c r="D197">
        <f>LOG10(E197)</f>
        <v>1.0606978403536116</v>
      </c>
      <c r="E197" s="3">
        <v>11.5</v>
      </c>
    </row>
    <row r="198" spans="1:5" x14ac:dyDescent="0.2">
      <c r="A198">
        <v>0</v>
      </c>
      <c r="B198">
        <v>3</v>
      </c>
      <c r="C198">
        <v>21</v>
      </c>
      <c r="D198">
        <f>LOG10(E198)</f>
        <v>1.2068258760318498</v>
      </c>
      <c r="E198" s="3">
        <v>16.100000000000001</v>
      </c>
    </row>
    <row r="199" spans="1:5" x14ac:dyDescent="0.2">
      <c r="A199">
        <v>0</v>
      </c>
      <c r="B199">
        <v>3</v>
      </c>
      <c r="C199">
        <v>21</v>
      </c>
      <c r="D199">
        <f>LOG10(E199)</f>
        <v>1.5362427068383191</v>
      </c>
      <c r="E199" s="3">
        <v>34.375</v>
      </c>
    </row>
    <row r="200" spans="1:5" x14ac:dyDescent="0.2">
      <c r="A200">
        <v>0</v>
      </c>
      <c r="B200">
        <v>2</v>
      </c>
      <c r="C200">
        <v>21</v>
      </c>
      <c r="D200">
        <f>LOG10(E200)</f>
        <v>1.866287339084195</v>
      </c>
      <c r="E200" s="3">
        <v>73.5</v>
      </c>
    </row>
    <row r="201" spans="1:5" x14ac:dyDescent="0.2">
      <c r="A201">
        <v>0</v>
      </c>
      <c r="B201">
        <v>2</v>
      </c>
      <c r="C201">
        <v>21</v>
      </c>
      <c r="D201">
        <f>LOG10(E201)</f>
        <v>1.866287339084195</v>
      </c>
      <c r="E201" s="3">
        <v>73.5</v>
      </c>
    </row>
    <row r="202" spans="1:5" x14ac:dyDescent="0.2">
      <c r="A202">
        <v>0</v>
      </c>
      <c r="B202">
        <v>1</v>
      </c>
      <c r="C202">
        <v>21</v>
      </c>
      <c r="D202">
        <f>LOG10(E202)</f>
        <v>1.8881092595069318</v>
      </c>
      <c r="E202" s="3">
        <v>77.287499999999994</v>
      </c>
    </row>
    <row r="203" spans="1:5" x14ac:dyDescent="0.2">
      <c r="A203">
        <v>1</v>
      </c>
      <c r="B203">
        <v>1</v>
      </c>
      <c r="C203">
        <v>21</v>
      </c>
      <c r="D203">
        <f>LOG10(E203)</f>
        <v>1.8918623600932356</v>
      </c>
      <c r="E203" s="3">
        <v>77.958299999999994</v>
      </c>
    </row>
    <row r="204" spans="1:5" x14ac:dyDescent="0.2">
      <c r="A204">
        <v>1</v>
      </c>
      <c r="B204">
        <v>1</v>
      </c>
      <c r="C204">
        <v>21</v>
      </c>
      <c r="D204">
        <f>LOG10(E204)</f>
        <v>2.4189224515904568</v>
      </c>
      <c r="E204" s="3">
        <v>262.375</v>
      </c>
    </row>
    <row r="205" spans="1:5" x14ac:dyDescent="0.2">
      <c r="A205">
        <v>0</v>
      </c>
      <c r="B205">
        <v>3</v>
      </c>
      <c r="C205">
        <v>22</v>
      </c>
      <c r="D205">
        <f>LOG10(E205)</f>
        <v>0.85278486868054781</v>
      </c>
      <c r="E205" s="3">
        <v>7.125</v>
      </c>
    </row>
    <row r="206" spans="1:5" x14ac:dyDescent="0.2">
      <c r="A206">
        <v>1</v>
      </c>
      <c r="B206">
        <v>3</v>
      </c>
      <c r="C206">
        <v>22</v>
      </c>
      <c r="D206">
        <f>LOG10(E206)</f>
        <v>0.85883785142858549</v>
      </c>
      <c r="E206" s="3">
        <v>7.2249999999999996</v>
      </c>
    </row>
    <row r="207" spans="1:5" x14ac:dyDescent="0.2">
      <c r="A207">
        <v>0</v>
      </c>
      <c r="B207">
        <v>3</v>
      </c>
      <c r="C207">
        <v>22</v>
      </c>
      <c r="D207">
        <f>LOG10(E207)</f>
        <v>0.85909023992124911</v>
      </c>
      <c r="E207" s="3">
        <v>7.2291999999999996</v>
      </c>
    </row>
    <row r="208" spans="1:5" x14ac:dyDescent="0.2">
      <c r="A208">
        <v>0</v>
      </c>
      <c r="B208">
        <v>3</v>
      </c>
      <c r="C208">
        <v>22</v>
      </c>
      <c r="D208">
        <f>LOG10(E208)</f>
        <v>0.86033800657099369</v>
      </c>
      <c r="E208" s="3">
        <v>7.25</v>
      </c>
    </row>
    <row r="209" spans="1:5" x14ac:dyDescent="0.2">
      <c r="A209">
        <v>0</v>
      </c>
      <c r="B209">
        <v>3</v>
      </c>
      <c r="C209">
        <v>22</v>
      </c>
      <c r="D209">
        <f>LOG10(E209)</f>
        <v>0.86033800657099369</v>
      </c>
      <c r="E209" s="3">
        <v>7.25</v>
      </c>
    </row>
    <row r="210" spans="1:5" x14ac:dyDescent="0.2">
      <c r="A210">
        <v>0</v>
      </c>
      <c r="B210">
        <v>3</v>
      </c>
      <c r="C210">
        <v>22</v>
      </c>
      <c r="D210">
        <f>LOG10(E210)</f>
        <v>0.86033800657099369</v>
      </c>
      <c r="E210" s="3">
        <v>7.25</v>
      </c>
    </row>
    <row r="211" spans="1:5" x14ac:dyDescent="0.2">
      <c r="A211">
        <v>1</v>
      </c>
      <c r="B211">
        <v>3</v>
      </c>
      <c r="C211">
        <v>22</v>
      </c>
      <c r="D211">
        <f>LOG10(E211)</f>
        <v>0.86033800657099369</v>
      </c>
      <c r="E211" s="3">
        <v>7.25</v>
      </c>
    </row>
    <row r="212" spans="1:5" x14ac:dyDescent="0.2">
      <c r="A212">
        <v>0</v>
      </c>
      <c r="B212">
        <v>3</v>
      </c>
      <c r="C212">
        <v>22</v>
      </c>
      <c r="D212">
        <f>LOG10(E212)</f>
        <v>0.87626403967491584</v>
      </c>
      <c r="E212" s="3">
        <v>7.5208000000000004</v>
      </c>
    </row>
    <row r="213" spans="1:5" x14ac:dyDescent="0.2">
      <c r="A213">
        <v>1</v>
      </c>
      <c r="B213">
        <v>3</v>
      </c>
      <c r="C213">
        <v>22</v>
      </c>
      <c r="D213">
        <f>LOG10(E213)</f>
        <v>0.88930170250631024</v>
      </c>
      <c r="E213" s="3">
        <v>7.75</v>
      </c>
    </row>
    <row r="214" spans="1:5" x14ac:dyDescent="0.2">
      <c r="A214">
        <v>1</v>
      </c>
      <c r="B214">
        <v>3</v>
      </c>
      <c r="C214">
        <v>22</v>
      </c>
      <c r="D214">
        <f>LOG10(E214)</f>
        <v>0.88930170250631024</v>
      </c>
      <c r="E214" s="3">
        <v>7.75</v>
      </c>
    </row>
    <row r="215" spans="1:5" x14ac:dyDescent="0.2">
      <c r="A215">
        <v>1</v>
      </c>
      <c r="B215">
        <v>3</v>
      </c>
      <c r="C215">
        <v>22</v>
      </c>
      <c r="D215">
        <f>LOG10(E215)</f>
        <v>0.8907003976988751</v>
      </c>
      <c r="E215" s="3">
        <v>7.7750000000000004</v>
      </c>
    </row>
    <row r="216" spans="1:5" x14ac:dyDescent="0.2">
      <c r="A216">
        <v>0</v>
      </c>
      <c r="B216">
        <v>3</v>
      </c>
      <c r="C216">
        <v>22</v>
      </c>
      <c r="D216">
        <f>LOG10(E216)</f>
        <v>0.8918606888331484</v>
      </c>
      <c r="E216" s="3">
        <v>7.7957999999999998</v>
      </c>
    </row>
    <row r="217" spans="1:5" x14ac:dyDescent="0.2">
      <c r="A217">
        <v>0</v>
      </c>
      <c r="B217">
        <v>3</v>
      </c>
      <c r="C217">
        <v>22</v>
      </c>
      <c r="D217">
        <f>LOG10(E217)</f>
        <v>0.89739613915544614</v>
      </c>
      <c r="E217" s="3">
        <v>7.8958000000000004</v>
      </c>
    </row>
    <row r="218" spans="1:5" x14ac:dyDescent="0.2">
      <c r="A218">
        <v>0</v>
      </c>
      <c r="B218">
        <v>3</v>
      </c>
      <c r="C218">
        <v>22</v>
      </c>
      <c r="D218">
        <f>LOG10(E218)</f>
        <v>0.89739613915544614</v>
      </c>
      <c r="E218" s="3">
        <v>7.8958000000000004</v>
      </c>
    </row>
    <row r="219" spans="1:5" x14ac:dyDescent="0.2">
      <c r="A219">
        <v>0</v>
      </c>
      <c r="B219">
        <v>3</v>
      </c>
      <c r="C219">
        <v>22</v>
      </c>
      <c r="D219">
        <f>LOG10(E219)</f>
        <v>0.90579588036786851</v>
      </c>
      <c r="E219" s="3">
        <v>8.0500000000000007</v>
      </c>
    </row>
    <row r="220" spans="1:5" x14ac:dyDescent="0.2">
      <c r="A220">
        <v>0</v>
      </c>
      <c r="B220">
        <v>3</v>
      </c>
      <c r="C220">
        <v>22</v>
      </c>
      <c r="D220">
        <f>LOG10(E220)</f>
        <v>0.90579588036786851</v>
      </c>
      <c r="E220" s="3">
        <v>8.0500000000000007</v>
      </c>
    </row>
    <row r="221" spans="1:5" x14ac:dyDescent="0.2">
      <c r="A221">
        <v>0</v>
      </c>
      <c r="B221">
        <v>3</v>
      </c>
      <c r="C221">
        <v>22</v>
      </c>
      <c r="D221">
        <f>LOG10(E221)</f>
        <v>0.95424250943932487</v>
      </c>
      <c r="E221" s="3">
        <v>9</v>
      </c>
    </row>
    <row r="222" spans="1:5" x14ac:dyDescent="0.2">
      <c r="A222">
        <v>0</v>
      </c>
      <c r="B222">
        <v>3</v>
      </c>
      <c r="C222">
        <v>22</v>
      </c>
      <c r="D222">
        <f>LOG10(E222)</f>
        <v>0.97081161087251777</v>
      </c>
      <c r="E222" s="3">
        <v>9.35</v>
      </c>
    </row>
    <row r="223" spans="1:5" x14ac:dyDescent="0.2">
      <c r="A223">
        <v>0</v>
      </c>
      <c r="B223">
        <v>3</v>
      </c>
      <c r="C223">
        <v>22</v>
      </c>
      <c r="D223">
        <f>LOG10(E223)</f>
        <v>0.99288474536712101</v>
      </c>
      <c r="E223" s="3">
        <v>9.8375000000000004</v>
      </c>
    </row>
    <row r="224" spans="1:5" x14ac:dyDescent="0.2">
      <c r="A224">
        <v>0</v>
      </c>
      <c r="B224">
        <v>3</v>
      </c>
      <c r="C224">
        <v>22</v>
      </c>
      <c r="D224">
        <f>LOG10(E224)</f>
        <v>1.0218794853859856</v>
      </c>
      <c r="E224" s="3">
        <v>10.5167</v>
      </c>
    </row>
    <row r="225" spans="1:5" x14ac:dyDescent="0.2">
      <c r="A225">
        <v>1</v>
      </c>
      <c r="B225">
        <v>2</v>
      </c>
      <c r="C225">
        <v>22</v>
      </c>
      <c r="D225">
        <f>LOG10(E225)</f>
        <v>1.4623979978989561</v>
      </c>
      <c r="E225" s="3">
        <v>29</v>
      </c>
    </row>
    <row r="226" spans="1:5" x14ac:dyDescent="0.2">
      <c r="A226">
        <v>1</v>
      </c>
      <c r="B226">
        <v>2</v>
      </c>
      <c r="C226">
        <v>22</v>
      </c>
      <c r="D226">
        <f>LOG10(E226)</f>
        <v>1.6188761290808784</v>
      </c>
      <c r="E226" s="3">
        <v>41.5792</v>
      </c>
    </row>
    <row r="227" spans="1:5" x14ac:dyDescent="0.2">
      <c r="A227">
        <v>1</v>
      </c>
      <c r="B227">
        <v>1</v>
      </c>
      <c r="C227">
        <v>22</v>
      </c>
      <c r="D227">
        <f>LOG10(E227)</f>
        <v>1.6946051989335686</v>
      </c>
      <c r="E227" s="3">
        <v>49.5</v>
      </c>
    </row>
    <row r="228" spans="1:5" x14ac:dyDescent="0.2">
      <c r="A228">
        <v>1</v>
      </c>
      <c r="B228">
        <v>1</v>
      </c>
      <c r="C228">
        <v>22</v>
      </c>
      <c r="D228">
        <f>LOG10(E228)</f>
        <v>1.7403626894942439</v>
      </c>
      <c r="E228" s="3">
        <v>55</v>
      </c>
    </row>
    <row r="229" spans="1:5" x14ac:dyDescent="0.2">
      <c r="A229">
        <v>1</v>
      </c>
      <c r="B229">
        <v>1</v>
      </c>
      <c r="C229">
        <v>22</v>
      </c>
      <c r="D229">
        <f>LOG10(E229)</f>
        <v>1.823474229170301</v>
      </c>
      <c r="E229" s="3">
        <v>66.599999999999994</v>
      </c>
    </row>
    <row r="230" spans="1:5" x14ac:dyDescent="0.2">
      <c r="A230">
        <v>0</v>
      </c>
      <c r="B230">
        <v>1</v>
      </c>
      <c r="C230">
        <v>22</v>
      </c>
      <c r="D230">
        <f>LOG10(E230)</f>
        <v>2.1323663284011247</v>
      </c>
      <c r="E230" s="3">
        <v>135.63329999999999</v>
      </c>
    </row>
    <row r="231" spans="1:5" x14ac:dyDescent="0.2">
      <c r="A231">
        <v>1</v>
      </c>
      <c r="B231">
        <v>1</v>
      </c>
      <c r="C231">
        <v>22</v>
      </c>
      <c r="D231">
        <f>LOG10(E231)</f>
        <v>2.1805559407036412</v>
      </c>
      <c r="E231" s="3">
        <v>151.55000000000001</v>
      </c>
    </row>
    <row r="232" spans="1:5" x14ac:dyDescent="0.2">
      <c r="A232">
        <v>1</v>
      </c>
      <c r="B232">
        <v>3</v>
      </c>
      <c r="C232">
        <v>23</v>
      </c>
      <c r="D232">
        <f>LOG10(E232)</f>
        <v>0.87794695162918823</v>
      </c>
      <c r="E232" s="3">
        <v>7.55</v>
      </c>
    </row>
    <row r="233" spans="1:5" x14ac:dyDescent="0.2">
      <c r="A233">
        <v>0</v>
      </c>
      <c r="B233">
        <v>3</v>
      </c>
      <c r="C233">
        <v>23</v>
      </c>
      <c r="D233">
        <f>LOG10(E233)</f>
        <v>0.89510195598589926</v>
      </c>
      <c r="E233" s="3">
        <v>7.8541999999999996</v>
      </c>
    </row>
    <row r="234" spans="1:5" x14ac:dyDescent="0.2">
      <c r="A234">
        <v>0</v>
      </c>
      <c r="B234">
        <v>3</v>
      </c>
      <c r="C234">
        <v>23</v>
      </c>
      <c r="D234">
        <f>LOG10(E234)</f>
        <v>0.89739613915544614</v>
      </c>
      <c r="E234" s="3">
        <v>7.8958000000000004</v>
      </c>
    </row>
    <row r="235" spans="1:5" x14ac:dyDescent="0.2">
      <c r="A235">
        <v>0</v>
      </c>
      <c r="B235">
        <v>3</v>
      </c>
      <c r="C235">
        <v>23</v>
      </c>
      <c r="D235">
        <f>LOG10(E235)</f>
        <v>0.89899927088978915</v>
      </c>
      <c r="E235" s="3">
        <v>7.9249999999999998</v>
      </c>
    </row>
    <row r="236" spans="1:5" x14ac:dyDescent="0.2">
      <c r="A236">
        <v>0</v>
      </c>
      <c r="B236">
        <v>3</v>
      </c>
      <c r="C236">
        <v>23</v>
      </c>
      <c r="D236">
        <f>LOG10(E236)</f>
        <v>0.96496637483109793</v>
      </c>
      <c r="E236" s="3">
        <v>9.2249999999999996</v>
      </c>
    </row>
    <row r="237" spans="1:5" x14ac:dyDescent="0.2">
      <c r="A237">
        <v>0</v>
      </c>
      <c r="B237">
        <v>2</v>
      </c>
      <c r="C237">
        <v>23</v>
      </c>
      <c r="D237">
        <f>LOG10(E237)</f>
        <v>1.0211892990699381</v>
      </c>
      <c r="E237" s="3">
        <v>10.5</v>
      </c>
    </row>
    <row r="238" spans="1:5" x14ac:dyDescent="0.2">
      <c r="A238">
        <v>0</v>
      </c>
      <c r="B238">
        <v>2</v>
      </c>
      <c r="C238">
        <v>23</v>
      </c>
      <c r="D238">
        <f>LOG10(E238)</f>
        <v>1.0606978403536116</v>
      </c>
      <c r="E238" s="3">
        <v>11.5</v>
      </c>
    </row>
    <row r="239" spans="1:5" x14ac:dyDescent="0.2">
      <c r="A239">
        <v>0</v>
      </c>
      <c r="B239">
        <v>2</v>
      </c>
      <c r="C239">
        <v>23</v>
      </c>
      <c r="D239">
        <f>LOG10(E239)</f>
        <v>1.1139433523068367</v>
      </c>
      <c r="E239" s="3">
        <v>13</v>
      </c>
    </row>
    <row r="240" spans="1:5" x14ac:dyDescent="0.2">
      <c r="A240">
        <v>0</v>
      </c>
      <c r="B240">
        <v>2</v>
      </c>
      <c r="C240">
        <v>23</v>
      </c>
      <c r="D240">
        <f>LOG10(E240)</f>
        <v>1.1139433523068367</v>
      </c>
      <c r="E240" s="3">
        <v>13</v>
      </c>
    </row>
    <row r="241" spans="1:5" x14ac:dyDescent="0.2">
      <c r="A241">
        <v>0</v>
      </c>
      <c r="B241">
        <v>2</v>
      </c>
      <c r="C241">
        <v>23</v>
      </c>
      <c r="D241">
        <f>LOG10(E241)</f>
        <v>1.1139433523068367</v>
      </c>
      <c r="E241" s="3">
        <v>13</v>
      </c>
    </row>
    <row r="242" spans="1:5" x14ac:dyDescent="0.2">
      <c r="A242">
        <v>1</v>
      </c>
      <c r="B242">
        <v>2</v>
      </c>
      <c r="C242">
        <v>23</v>
      </c>
      <c r="D242">
        <f>LOG10(E242)</f>
        <v>1.1396178017171812</v>
      </c>
      <c r="E242" s="3">
        <v>13.791700000000001</v>
      </c>
    </row>
    <row r="243" spans="1:5" x14ac:dyDescent="0.2">
      <c r="A243">
        <v>0</v>
      </c>
      <c r="B243">
        <v>2</v>
      </c>
      <c r="C243">
        <v>23</v>
      </c>
      <c r="D243">
        <f>LOG10(E243)</f>
        <v>1.1774152845552361</v>
      </c>
      <c r="E243" s="3">
        <v>15.0458</v>
      </c>
    </row>
    <row r="244" spans="1:5" x14ac:dyDescent="0.2">
      <c r="A244">
        <v>1</v>
      </c>
      <c r="B244">
        <v>1</v>
      </c>
      <c r="C244">
        <v>23</v>
      </c>
      <c r="D244">
        <f>LOG10(E244)</f>
        <v>1.8018035159532171</v>
      </c>
      <c r="E244" s="3">
        <v>63.3583</v>
      </c>
    </row>
    <row r="245" spans="1:5" x14ac:dyDescent="0.2">
      <c r="A245">
        <v>1</v>
      </c>
      <c r="B245">
        <v>1</v>
      </c>
      <c r="C245">
        <v>23</v>
      </c>
      <c r="D245">
        <f>LOG10(E245)</f>
        <v>2.0541340708512235</v>
      </c>
      <c r="E245" s="3">
        <v>113.27500000000001</v>
      </c>
    </row>
    <row r="246" spans="1:5" x14ac:dyDescent="0.2">
      <c r="A246">
        <v>1</v>
      </c>
      <c r="B246">
        <v>1</v>
      </c>
      <c r="C246">
        <v>23</v>
      </c>
      <c r="D246">
        <f>LOG10(E246)</f>
        <v>2.419955748489758</v>
      </c>
      <c r="E246" s="3">
        <v>263</v>
      </c>
    </row>
    <row r="247" spans="1:5" x14ac:dyDescent="0.2">
      <c r="A247">
        <v>0</v>
      </c>
      <c r="B247">
        <v>3</v>
      </c>
      <c r="C247">
        <v>23.5</v>
      </c>
      <c r="D247">
        <f>LOG10(E247)</f>
        <v>0.85909023992124911</v>
      </c>
      <c r="E247" s="3">
        <v>7.2291999999999996</v>
      </c>
    </row>
    <row r="248" spans="1:5" x14ac:dyDescent="0.2">
      <c r="A248">
        <v>0</v>
      </c>
      <c r="B248">
        <v>3</v>
      </c>
      <c r="C248">
        <v>24</v>
      </c>
      <c r="D248">
        <f>LOG10(E248)</f>
        <v>0.84818911699139865</v>
      </c>
      <c r="E248" s="3">
        <v>7.05</v>
      </c>
    </row>
    <row r="249" spans="1:5" x14ac:dyDescent="0.2">
      <c r="A249">
        <v>1</v>
      </c>
      <c r="B249">
        <v>3</v>
      </c>
      <c r="C249">
        <v>24</v>
      </c>
      <c r="D249">
        <f>LOG10(E249)</f>
        <v>0.85380160291626594</v>
      </c>
      <c r="E249" s="3">
        <v>7.1417000000000002</v>
      </c>
    </row>
    <row r="250" spans="1:5" x14ac:dyDescent="0.2">
      <c r="A250">
        <v>0</v>
      </c>
      <c r="B250">
        <v>3</v>
      </c>
      <c r="C250">
        <v>24</v>
      </c>
      <c r="D250">
        <f>LOG10(E250)</f>
        <v>0.87481799035902574</v>
      </c>
      <c r="E250" s="3">
        <v>7.4958</v>
      </c>
    </row>
    <row r="251" spans="1:5" x14ac:dyDescent="0.2">
      <c r="A251">
        <v>0</v>
      </c>
      <c r="B251">
        <v>3</v>
      </c>
      <c r="C251">
        <v>24</v>
      </c>
      <c r="D251">
        <f>LOG10(E251)</f>
        <v>0.8918606888331484</v>
      </c>
      <c r="E251" s="3">
        <v>7.7957999999999998</v>
      </c>
    </row>
    <row r="252" spans="1:5" x14ac:dyDescent="0.2">
      <c r="A252">
        <v>0</v>
      </c>
      <c r="B252">
        <v>3</v>
      </c>
      <c r="C252">
        <v>24</v>
      </c>
      <c r="D252">
        <f>LOG10(E252)</f>
        <v>0.89739613915544614</v>
      </c>
      <c r="E252" s="3">
        <v>7.8958000000000004</v>
      </c>
    </row>
    <row r="253" spans="1:5" x14ac:dyDescent="0.2">
      <c r="A253">
        <v>0</v>
      </c>
      <c r="B253">
        <v>3</v>
      </c>
      <c r="C253">
        <v>24</v>
      </c>
      <c r="D253">
        <f>LOG10(E253)</f>
        <v>0.90579588036786851</v>
      </c>
      <c r="E253" s="3">
        <v>8.0500000000000007</v>
      </c>
    </row>
    <row r="254" spans="1:5" x14ac:dyDescent="0.2">
      <c r="A254">
        <v>0</v>
      </c>
      <c r="B254">
        <v>3</v>
      </c>
      <c r="C254">
        <v>24</v>
      </c>
      <c r="D254">
        <f>LOG10(E254)</f>
        <v>0.94694327069782547</v>
      </c>
      <c r="E254" s="3">
        <v>8.85</v>
      </c>
    </row>
    <row r="255" spans="1:5" x14ac:dyDescent="0.2">
      <c r="A255">
        <v>0</v>
      </c>
      <c r="B255">
        <v>3</v>
      </c>
      <c r="C255">
        <v>24</v>
      </c>
      <c r="D255">
        <f>LOG10(E255)</f>
        <v>0.97772360528884772</v>
      </c>
      <c r="E255" s="3">
        <v>9.5</v>
      </c>
    </row>
    <row r="256" spans="1:5" x14ac:dyDescent="0.2">
      <c r="A256">
        <v>0</v>
      </c>
      <c r="B256">
        <v>2</v>
      </c>
      <c r="C256">
        <v>24</v>
      </c>
      <c r="D256">
        <f>LOG10(E256)</f>
        <v>1.0211892990699381</v>
      </c>
      <c r="E256" s="3">
        <v>10.5</v>
      </c>
    </row>
    <row r="257" spans="1:5" x14ac:dyDescent="0.2">
      <c r="A257">
        <v>0</v>
      </c>
      <c r="B257">
        <v>2</v>
      </c>
      <c r="C257">
        <v>24</v>
      </c>
      <c r="D257">
        <f>LOG10(E257)</f>
        <v>1.1139433523068367</v>
      </c>
      <c r="E257" s="3">
        <v>13</v>
      </c>
    </row>
    <row r="258" spans="1:5" x14ac:dyDescent="0.2">
      <c r="A258">
        <v>0</v>
      </c>
      <c r="B258">
        <v>2</v>
      </c>
      <c r="C258">
        <v>24</v>
      </c>
      <c r="D258">
        <f>LOG10(E258)</f>
        <v>1.1139433523068367</v>
      </c>
      <c r="E258" s="3">
        <v>13</v>
      </c>
    </row>
    <row r="259" spans="1:5" x14ac:dyDescent="0.2">
      <c r="A259">
        <v>1</v>
      </c>
      <c r="B259">
        <v>2</v>
      </c>
      <c r="C259">
        <v>24</v>
      </c>
      <c r="D259">
        <f>LOG10(E259)</f>
        <v>1.1139433523068367</v>
      </c>
      <c r="E259" s="3">
        <v>13</v>
      </c>
    </row>
    <row r="260" spans="1:5" x14ac:dyDescent="0.2">
      <c r="A260">
        <v>1</v>
      </c>
      <c r="B260">
        <v>2</v>
      </c>
      <c r="C260">
        <v>24</v>
      </c>
      <c r="D260">
        <f>LOG10(E260)</f>
        <v>1.1613680022349748</v>
      </c>
      <c r="E260" s="3">
        <v>14.5</v>
      </c>
    </row>
    <row r="261" spans="1:5" x14ac:dyDescent="0.2">
      <c r="A261">
        <v>1</v>
      </c>
      <c r="B261">
        <v>3</v>
      </c>
      <c r="C261">
        <v>24</v>
      </c>
      <c r="D261">
        <f>LOG10(E261)</f>
        <v>1.2000292665537702</v>
      </c>
      <c r="E261" s="3">
        <v>15.85</v>
      </c>
    </row>
    <row r="262" spans="1:5" x14ac:dyDescent="0.2">
      <c r="A262">
        <v>0</v>
      </c>
      <c r="B262">
        <v>3</v>
      </c>
      <c r="C262">
        <v>24</v>
      </c>
      <c r="D262">
        <f>LOG10(E262)</f>
        <v>1.2068258760318498</v>
      </c>
      <c r="E262" s="3">
        <v>16.100000000000001</v>
      </c>
    </row>
    <row r="263" spans="1:5" x14ac:dyDescent="0.2">
      <c r="A263">
        <v>1</v>
      </c>
      <c r="B263">
        <v>3</v>
      </c>
      <c r="C263">
        <v>24</v>
      </c>
      <c r="D263">
        <f>LOG10(E263)</f>
        <v>1.2227164711475833</v>
      </c>
      <c r="E263" s="3">
        <v>16.7</v>
      </c>
    </row>
    <row r="264" spans="1:5" x14ac:dyDescent="0.2">
      <c r="A264">
        <v>1</v>
      </c>
      <c r="B264">
        <v>2</v>
      </c>
      <c r="C264">
        <v>24</v>
      </c>
      <c r="D264">
        <f>LOG10(E264)</f>
        <v>1.2730012720637376</v>
      </c>
      <c r="E264" s="3">
        <v>18.75</v>
      </c>
    </row>
    <row r="265" spans="1:5" x14ac:dyDescent="0.2">
      <c r="A265">
        <v>1</v>
      </c>
      <c r="B265">
        <v>3</v>
      </c>
      <c r="C265">
        <v>24</v>
      </c>
      <c r="D265">
        <f>LOG10(E265)</f>
        <v>1.2846179477311681</v>
      </c>
      <c r="E265" s="3">
        <v>19.258299999999998</v>
      </c>
    </row>
    <row r="266" spans="1:5" x14ac:dyDescent="0.2">
      <c r="A266">
        <v>0</v>
      </c>
      <c r="B266">
        <v>3</v>
      </c>
      <c r="C266">
        <v>24</v>
      </c>
      <c r="D266">
        <f>LOG10(E266)</f>
        <v>1.3829171350875309</v>
      </c>
      <c r="E266" s="3">
        <v>24.15</v>
      </c>
    </row>
    <row r="267" spans="1:5" x14ac:dyDescent="0.2">
      <c r="A267">
        <v>1</v>
      </c>
      <c r="B267">
        <v>2</v>
      </c>
      <c r="C267">
        <v>24</v>
      </c>
      <c r="D267">
        <f>LOG10(E267)</f>
        <v>1.414973347970818</v>
      </c>
      <c r="E267" s="3">
        <v>26</v>
      </c>
    </row>
    <row r="268" spans="1:5" x14ac:dyDescent="0.2">
      <c r="A268">
        <v>1</v>
      </c>
      <c r="B268">
        <v>2</v>
      </c>
      <c r="C268">
        <v>24</v>
      </c>
      <c r="D268">
        <f>LOG10(E268)</f>
        <v>1.4313637641589874</v>
      </c>
      <c r="E268" s="3">
        <v>27</v>
      </c>
    </row>
    <row r="269" spans="1:5" x14ac:dyDescent="0.2">
      <c r="A269">
        <v>1</v>
      </c>
      <c r="B269">
        <v>1</v>
      </c>
      <c r="C269">
        <v>24</v>
      </c>
      <c r="D269">
        <f>LOG10(E269)</f>
        <v>1.6946420465991241</v>
      </c>
      <c r="E269" s="3">
        <v>49.504199999999997</v>
      </c>
    </row>
    <row r="270" spans="1:5" x14ac:dyDescent="0.2">
      <c r="A270">
        <v>1</v>
      </c>
      <c r="B270">
        <v>2</v>
      </c>
      <c r="C270">
        <v>24</v>
      </c>
      <c r="D270">
        <f>LOG10(E270)</f>
        <v>1.8129133566428555</v>
      </c>
      <c r="E270" s="3">
        <v>65</v>
      </c>
    </row>
    <row r="271" spans="1:5" x14ac:dyDescent="0.2">
      <c r="A271">
        <v>1</v>
      </c>
      <c r="B271">
        <v>1</v>
      </c>
      <c r="C271">
        <v>24</v>
      </c>
      <c r="D271">
        <f>LOG10(E271)</f>
        <v>1.8407332346118068</v>
      </c>
      <c r="E271" s="3">
        <v>69.3</v>
      </c>
    </row>
    <row r="272" spans="1:5" x14ac:dyDescent="0.2">
      <c r="A272">
        <v>1</v>
      </c>
      <c r="B272">
        <v>1</v>
      </c>
      <c r="C272">
        <v>24</v>
      </c>
      <c r="D272">
        <f>LOG10(E272)</f>
        <v>1.8407332346118068</v>
      </c>
      <c r="E272" s="3">
        <v>69.3</v>
      </c>
    </row>
    <row r="273" spans="1:5" x14ac:dyDescent="0.2">
      <c r="A273">
        <v>0</v>
      </c>
      <c r="B273">
        <v>2</v>
      </c>
      <c r="C273">
        <v>24</v>
      </c>
      <c r="D273">
        <f>LOG10(E273)</f>
        <v>1.866287339084195</v>
      </c>
      <c r="E273" s="3">
        <v>73.5</v>
      </c>
    </row>
    <row r="274" spans="1:5" x14ac:dyDescent="0.2">
      <c r="A274">
        <v>0</v>
      </c>
      <c r="B274">
        <v>1</v>
      </c>
      <c r="C274">
        <v>24</v>
      </c>
      <c r="D274">
        <f>LOG10(E274)</f>
        <v>1.8987251815894934</v>
      </c>
      <c r="E274" s="3">
        <v>79.2</v>
      </c>
    </row>
    <row r="275" spans="1:5" x14ac:dyDescent="0.2">
      <c r="A275">
        <v>1</v>
      </c>
      <c r="B275">
        <v>1</v>
      </c>
      <c r="C275">
        <v>24</v>
      </c>
      <c r="D275">
        <f>LOG10(E275)</f>
        <v>1.9199056024948609</v>
      </c>
      <c r="E275" s="3">
        <v>83.158299999999997</v>
      </c>
    </row>
    <row r="276" spans="1:5" x14ac:dyDescent="0.2">
      <c r="A276">
        <v>0</v>
      </c>
      <c r="B276">
        <v>1</v>
      </c>
      <c r="C276">
        <v>24</v>
      </c>
      <c r="D276">
        <f>LOG10(E276)</f>
        <v>2.3936117000197399</v>
      </c>
      <c r="E276" s="3">
        <v>247.52080000000001</v>
      </c>
    </row>
    <row r="277" spans="1:5" x14ac:dyDescent="0.2">
      <c r="A277">
        <v>1</v>
      </c>
      <c r="B277">
        <v>1</v>
      </c>
      <c r="C277">
        <v>24</v>
      </c>
      <c r="D277">
        <f>LOG10(E277)</f>
        <v>2.419955748489758</v>
      </c>
      <c r="E277" s="3">
        <v>263</v>
      </c>
    </row>
    <row r="278" spans="1:5" x14ac:dyDescent="0.2">
      <c r="A278">
        <v>0</v>
      </c>
      <c r="B278">
        <v>3</v>
      </c>
      <c r="C278">
        <v>24.5</v>
      </c>
      <c r="D278">
        <f>LOG10(E278)</f>
        <v>0.90579588036786851</v>
      </c>
      <c r="E278" s="3">
        <v>8.0500000000000007</v>
      </c>
    </row>
    <row r="279" spans="1:5" x14ac:dyDescent="0.2">
      <c r="A279">
        <v>0</v>
      </c>
      <c r="B279">
        <v>3</v>
      </c>
      <c r="C279">
        <v>25</v>
      </c>
      <c r="D279">
        <f>LOG10(E279)</f>
        <v>0.84818911699139865</v>
      </c>
      <c r="E279" s="3">
        <v>7.05</v>
      </c>
    </row>
    <row r="280" spans="1:5" x14ac:dyDescent="0.2">
      <c r="A280">
        <v>0</v>
      </c>
      <c r="B280">
        <v>3</v>
      </c>
      <c r="C280">
        <v>25</v>
      </c>
      <c r="D280">
        <f>LOG10(E280)</f>
        <v>0.84818911699139865</v>
      </c>
      <c r="E280" s="3">
        <v>7.05</v>
      </c>
    </row>
    <row r="281" spans="1:5" x14ac:dyDescent="0.2">
      <c r="A281">
        <v>0</v>
      </c>
      <c r="B281">
        <v>3</v>
      </c>
      <c r="C281">
        <v>25</v>
      </c>
      <c r="D281">
        <f>LOG10(E281)</f>
        <v>0.85883785142858549</v>
      </c>
      <c r="E281" s="3">
        <v>7.2249999999999996</v>
      </c>
    </row>
    <row r="282" spans="1:5" x14ac:dyDescent="0.2">
      <c r="A282">
        <v>0</v>
      </c>
      <c r="B282">
        <v>3</v>
      </c>
      <c r="C282">
        <v>25</v>
      </c>
      <c r="D282">
        <f>LOG10(E282)</f>
        <v>0.86033800657099369</v>
      </c>
      <c r="E282" s="3">
        <v>7.25</v>
      </c>
    </row>
    <row r="283" spans="1:5" x14ac:dyDescent="0.2">
      <c r="A283">
        <v>0</v>
      </c>
      <c r="B283">
        <v>3</v>
      </c>
      <c r="C283">
        <v>25</v>
      </c>
      <c r="D283">
        <f>LOG10(E283)</f>
        <v>0.88366143515361761</v>
      </c>
      <c r="E283" s="3">
        <v>7.65</v>
      </c>
    </row>
    <row r="284" spans="1:5" x14ac:dyDescent="0.2">
      <c r="A284">
        <v>0</v>
      </c>
      <c r="B284">
        <v>3</v>
      </c>
      <c r="C284">
        <v>25</v>
      </c>
      <c r="D284">
        <f>LOG10(E284)</f>
        <v>0.88883633788593919</v>
      </c>
      <c r="E284" s="3">
        <v>7.7416999999999998</v>
      </c>
    </row>
    <row r="285" spans="1:5" x14ac:dyDescent="0.2">
      <c r="A285">
        <v>0</v>
      </c>
      <c r="B285">
        <v>3</v>
      </c>
      <c r="C285">
        <v>25</v>
      </c>
      <c r="D285">
        <f>LOG10(E285)</f>
        <v>0.8907003976988751</v>
      </c>
      <c r="E285" s="3">
        <v>7.7750000000000004</v>
      </c>
    </row>
    <row r="286" spans="1:5" x14ac:dyDescent="0.2">
      <c r="A286">
        <v>0</v>
      </c>
      <c r="B286">
        <v>3</v>
      </c>
      <c r="C286">
        <v>25</v>
      </c>
      <c r="D286">
        <f>LOG10(E286)</f>
        <v>0.8907003976988751</v>
      </c>
      <c r="E286" s="3">
        <v>7.7750000000000004</v>
      </c>
    </row>
    <row r="287" spans="1:5" x14ac:dyDescent="0.2">
      <c r="A287">
        <v>1</v>
      </c>
      <c r="B287">
        <v>3</v>
      </c>
      <c r="C287">
        <v>25</v>
      </c>
      <c r="D287">
        <f>LOG10(E287)</f>
        <v>0.8907003976988751</v>
      </c>
      <c r="E287" s="3">
        <v>7.7750000000000004</v>
      </c>
    </row>
    <row r="288" spans="1:5" x14ac:dyDescent="0.2">
      <c r="A288">
        <v>0</v>
      </c>
      <c r="B288">
        <v>3</v>
      </c>
      <c r="C288">
        <v>25</v>
      </c>
      <c r="D288">
        <f>LOG10(E288)</f>
        <v>0.89739613915544614</v>
      </c>
      <c r="E288" s="3">
        <v>7.8958000000000004</v>
      </c>
    </row>
    <row r="289" spans="1:5" x14ac:dyDescent="0.2">
      <c r="A289">
        <v>0</v>
      </c>
      <c r="B289">
        <v>3</v>
      </c>
      <c r="C289">
        <v>25</v>
      </c>
      <c r="D289">
        <f>LOG10(E289)</f>
        <v>0.89899927088978915</v>
      </c>
      <c r="E289" s="3">
        <v>7.9249999999999998</v>
      </c>
    </row>
    <row r="290" spans="1:5" x14ac:dyDescent="0.2">
      <c r="A290">
        <v>0</v>
      </c>
      <c r="B290">
        <v>2</v>
      </c>
      <c r="C290">
        <v>25</v>
      </c>
      <c r="D290">
        <f>LOG10(E290)</f>
        <v>1.1139433523068367</v>
      </c>
      <c r="E290" s="3">
        <v>13</v>
      </c>
    </row>
    <row r="291" spans="1:5" x14ac:dyDescent="0.2">
      <c r="A291">
        <v>0</v>
      </c>
      <c r="B291">
        <v>2</v>
      </c>
      <c r="C291">
        <v>25</v>
      </c>
      <c r="D291">
        <f>LOG10(E291)</f>
        <v>1.1139433523068367</v>
      </c>
      <c r="E291" s="3">
        <v>13</v>
      </c>
    </row>
    <row r="292" spans="1:5" x14ac:dyDescent="0.2">
      <c r="A292">
        <v>0</v>
      </c>
      <c r="B292">
        <v>2</v>
      </c>
      <c r="C292">
        <v>25</v>
      </c>
      <c r="D292">
        <f>LOG10(E292)</f>
        <v>1.1139433523068367</v>
      </c>
      <c r="E292" s="3">
        <v>13</v>
      </c>
    </row>
    <row r="293" spans="1:5" x14ac:dyDescent="0.2">
      <c r="A293">
        <v>0</v>
      </c>
      <c r="B293">
        <v>3</v>
      </c>
      <c r="C293">
        <v>25</v>
      </c>
      <c r="D293">
        <f>LOG10(E293)</f>
        <v>1.2504200023088941</v>
      </c>
      <c r="E293" s="3">
        <v>17.8</v>
      </c>
    </row>
    <row r="294" spans="1:5" x14ac:dyDescent="0.2">
      <c r="A294">
        <v>0</v>
      </c>
      <c r="B294">
        <v>2</v>
      </c>
      <c r="C294">
        <v>25</v>
      </c>
      <c r="D294">
        <f>LOG10(E294)</f>
        <v>1.414973347970818</v>
      </c>
      <c r="E294" s="3">
        <v>26</v>
      </c>
    </row>
    <row r="295" spans="1:5" x14ac:dyDescent="0.2">
      <c r="A295">
        <v>1</v>
      </c>
      <c r="B295">
        <v>2</v>
      </c>
      <c r="C295">
        <v>25</v>
      </c>
      <c r="D295">
        <f>LOG10(E295)</f>
        <v>1.414973347970818</v>
      </c>
      <c r="E295" s="3">
        <v>26</v>
      </c>
    </row>
    <row r="296" spans="1:5" x14ac:dyDescent="0.2">
      <c r="A296">
        <v>1</v>
      </c>
      <c r="B296">
        <v>2</v>
      </c>
      <c r="C296">
        <v>25</v>
      </c>
      <c r="D296">
        <f>LOG10(E296)</f>
        <v>1.4771212547196624</v>
      </c>
      <c r="E296" s="3">
        <v>30</v>
      </c>
    </row>
    <row r="297" spans="1:5" x14ac:dyDescent="0.2">
      <c r="A297">
        <v>0</v>
      </c>
      <c r="B297">
        <v>2</v>
      </c>
      <c r="C297">
        <v>25</v>
      </c>
      <c r="D297">
        <f>LOG10(E297)</f>
        <v>1.6188761290808784</v>
      </c>
      <c r="E297" s="3">
        <v>41.5792</v>
      </c>
    </row>
    <row r="298" spans="1:5" x14ac:dyDescent="0.2">
      <c r="A298">
        <v>1</v>
      </c>
      <c r="B298">
        <v>1</v>
      </c>
      <c r="C298">
        <v>25</v>
      </c>
      <c r="D298">
        <f>LOG10(E298)</f>
        <v>1.7438365385103145</v>
      </c>
      <c r="E298" s="3">
        <v>55.441699999999997</v>
      </c>
    </row>
    <row r="299" spans="1:5" x14ac:dyDescent="0.2">
      <c r="A299">
        <v>1</v>
      </c>
      <c r="B299">
        <v>1</v>
      </c>
      <c r="C299">
        <v>25</v>
      </c>
      <c r="D299">
        <f>LOG10(E299)</f>
        <v>1.959419207306397</v>
      </c>
      <c r="E299" s="3">
        <v>91.0792</v>
      </c>
    </row>
    <row r="300" spans="1:5" x14ac:dyDescent="0.2">
      <c r="A300">
        <v>0</v>
      </c>
      <c r="B300">
        <v>1</v>
      </c>
      <c r="C300">
        <v>25</v>
      </c>
      <c r="D300">
        <f>LOG10(E300)</f>
        <v>2.1805559407036412</v>
      </c>
      <c r="E300" s="3">
        <v>151.55000000000001</v>
      </c>
    </row>
    <row r="301" spans="1:5" x14ac:dyDescent="0.2">
      <c r="A301">
        <v>0</v>
      </c>
      <c r="B301">
        <v>3</v>
      </c>
      <c r="C301">
        <v>26</v>
      </c>
      <c r="D301">
        <f>LOG10(E301)</f>
        <v>0.8907003976988751</v>
      </c>
      <c r="E301" s="3">
        <v>7.7750000000000004</v>
      </c>
    </row>
    <row r="302" spans="1:5" x14ac:dyDescent="0.2">
      <c r="A302">
        <v>0</v>
      </c>
      <c r="B302">
        <v>3</v>
      </c>
      <c r="C302">
        <v>26</v>
      </c>
      <c r="D302">
        <f>LOG10(E302)</f>
        <v>0.89510195598589926</v>
      </c>
      <c r="E302" s="3">
        <v>7.8541999999999996</v>
      </c>
    </row>
    <row r="303" spans="1:5" x14ac:dyDescent="0.2">
      <c r="A303">
        <v>1</v>
      </c>
      <c r="B303">
        <v>3</v>
      </c>
      <c r="C303">
        <v>26</v>
      </c>
      <c r="D303">
        <f>LOG10(E303)</f>
        <v>0.89510195598589926</v>
      </c>
      <c r="E303" s="3">
        <v>7.8541999999999996</v>
      </c>
    </row>
    <row r="304" spans="1:5" x14ac:dyDescent="0.2">
      <c r="A304">
        <v>0</v>
      </c>
      <c r="B304">
        <v>3</v>
      </c>
      <c r="C304">
        <v>26</v>
      </c>
      <c r="D304">
        <f>LOG10(E304)</f>
        <v>0.89693937225219078</v>
      </c>
      <c r="E304" s="3">
        <v>7.8875000000000002</v>
      </c>
    </row>
    <row r="305" spans="1:5" x14ac:dyDescent="0.2">
      <c r="A305">
        <v>0</v>
      </c>
      <c r="B305">
        <v>3</v>
      </c>
      <c r="C305">
        <v>26</v>
      </c>
      <c r="D305">
        <f>LOG10(E305)</f>
        <v>0.89739613915544614</v>
      </c>
      <c r="E305" s="3">
        <v>7.8958000000000004</v>
      </c>
    </row>
    <row r="306" spans="1:5" x14ac:dyDescent="0.2">
      <c r="A306">
        <v>0</v>
      </c>
      <c r="B306">
        <v>3</v>
      </c>
      <c r="C306">
        <v>26</v>
      </c>
      <c r="D306">
        <f>LOG10(E306)</f>
        <v>0.89739613915544614</v>
      </c>
      <c r="E306" s="3">
        <v>7.8958000000000004</v>
      </c>
    </row>
    <row r="307" spans="1:5" x14ac:dyDescent="0.2">
      <c r="A307">
        <v>1</v>
      </c>
      <c r="B307">
        <v>3</v>
      </c>
      <c r="C307">
        <v>26</v>
      </c>
      <c r="D307">
        <f>LOG10(E307)</f>
        <v>0.89899927088978915</v>
      </c>
      <c r="E307" s="3">
        <v>7.9249999999999998</v>
      </c>
    </row>
    <row r="308" spans="1:5" x14ac:dyDescent="0.2">
      <c r="A308">
        <v>0</v>
      </c>
      <c r="B308">
        <v>3</v>
      </c>
      <c r="C308">
        <v>26</v>
      </c>
      <c r="D308">
        <f>LOG10(E308)</f>
        <v>0.90579588036786851</v>
      </c>
      <c r="E308" s="3">
        <v>8.0500000000000007</v>
      </c>
    </row>
    <row r="309" spans="1:5" x14ac:dyDescent="0.2">
      <c r="A309">
        <v>0</v>
      </c>
      <c r="B309">
        <v>3</v>
      </c>
      <c r="C309">
        <v>26</v>
      </c>
      <c r="D309">
        <f>LOG10(E309)</f>
        <v>0.93764324761986317</v>
      </c>
      <c r="E309" s="3">
        <v>8.6624999999999996</v>
      </c>
    </row>
    <row r="310" spans="1:5" x14ac:dyDescent="0.2">
      <c r="A310">
        <v>0</v>
      </c>
      <c r="B310">
        <v>2</v>
      </c>
      <c r="C310">
        <v>26</v>
      </c>
      <c r="D310">
        <f>LOG10(E310)</f>
        <v>1.0211892990699381</v>
      </c>
      <c r="E310" s="3">
        <v>10.5</v>
      </c>
    </row>
    <row r="311" spans="1:5" x14ac:dyDescent="0.2">
      <c r="A311">
        <v>0</v>
      </c>
      <c r="B311">
        <v>3</v>
      </c>
      <c r="C311">
        <v>26</v>
      </c>
      <c r="D311">
        <f>LOG10(E311)</f>
        <v>1.1599940596732181</v>
      </c>
      <c r="E311" s="3">
        <v>14.4542</v>
      </c>
    </row>
    <row r="312" spans="1:5" x14ac:dyDescent="0.2">
      <c r="A312">
        <v>0</v>
      </c>
      <c r="B312">
        <v>3</v>
      </c>
      <c r="C312">
        <v>26</v>
      </c>
      <c r="D312">
        <f>LOG10(E312)</f>
        <v>1.2068258760318498</v>
      </c>
      <c r="E312" s="3">
        <v>16.100000000000001</v>
      </c>
    </row>
    <row r="313" spans="1:5" x14ac:dyDescent="0.2">
      <c r="A313">
        <v>1</v>
      </c>
      <c r="B313">
        <v>3</v>
      </c>
      <c r="C313">
        <v>26</v>
      </c>
      <c r="D313">
        <f>LOG10(E313)</f>
        <v>1.2738689935949645</v>
      </c>
      <c r="E313" s="3">
        <v>18.787500000000001</v>
      </c>
    </row>
    <row r="314" spans="1:5" x14ac:dyDescent="0.2">
      <c r="A314">
        <v>0</v>
      </c>
      <c r="B314">
        <v>3</v>
      </c>
      <c r="C314">
        <v>26</v>
      </c>
      <c r="D314">
        <f>LOG10(E314)</f>
        <v>1.3133398438843074</v>
      </c>
      <c r="E314" s="3">
        <v>20.574999999999999</v>
      </c>
    </row>
    <row r="315" spans="1:5" x14ac:dyDescent="0.2">
      <c r="A315">
        <v>0</v>
      </c>
      <c r="B315">
        <v>2</v>
      </c>
      <c r="C315">
        <v>26</v>
      </c>
      <c r="D315">
        <f>LOG10(E315)</f>
        <v>1.414973347970818</v>
      </c>
      <c r="E315" s="3">
        <v>26</v>
      </c>
    </row>
    <row r="316" spans="1:5" x14ac:dyDescent="0.2">
      <c r="A316">
        <v>1</v>
      </c>
      <c r="B316">
        <v>1</v>
      </c>
      <c r="C316">
        <v>26</v>
      </c>
      <c r="D316">
        <f>LOG10(E316)</f>
        <v>1.4771212547196624</v>
      </c>
      <c r="E316" s="3">
        <v>30</v>
      </c>
    </row>
    <row r="317" spans="1:5" x14ac:dyDescent="0.2">
      <c r="A317">
        <v>1</v>
      </c>
      <c r="B317">
        <v>3</v>
      </c>
      <c r="C317">
        <v>26</v>
      </c>
      <c r="D317">
        <f>LOG10(E317)</f>
        <v>1.752016162781856</v>
      </c>
      <c r="E317" s="3">
        <v>56.495800000000003</v>
      </c>
    </row>
    <row r="318" spans="1:5" x14ac:dyDescent="0.2">
      <c r="A318">
        <v>1</v>
      </c>
      <c r="B318">
        <v>1</v>
      </c>
      <c r="C318">
        <v>26</v>
      </c>
      <c r="D318">
        <f>LOG10(E318)</f>
        <v>1.8968016976649216</v>
      </c>
      <c r="E318" s="3">
        <v>78.849999999999994</v>
      </c>
    </row>
    <row r="319" spans="1:5" x14ac:dyDescent="0.2">
      <c r="A319">
        <v>1</v>
      </c>
      <c r="B319">
        <v>3</v>
      </c>
      <c r="C319">
        <v>27</v>
      </c>
      <c r="D319">
        <f>LOG10(E319)</f>
        <v>0.84354421194563511</v>
      </c>
      <c r="E319" s="3">
        <v>6.9749999999999996</v>
      </c>
    </row>
    <row r="320" spans="1:5" x14ac:dyDescent="0.2">
      <c r="A320">
        <v>1</v>
      </c>
      <c r="B320">
        <v>3</v>
      </c>
      <c r="C320">
        <v>27</v>
      </c>
      <c r="D320">
        <f>LOG10(E320)</f>
        <v>0.8918606888331484</v>
      </c>
      <c r="E320" s="3">
        <v>7.7957999999999998</v>
      </c>
    </row>
    <row r="321" spans="1:5" x14ac:dyDescent="0.2">
      <c r="A321">
        <v>0</v>
      </c>
      <c r="B321">
        <v>3</v>
      </c>
      <c r="C321">
        <v>27</v>
      </c>
      <c r="D321">
        <f>LOG10(E321)</f>
        <v>0.89739613915544614</v>
      </c>
      <c r="E321" s="3">
        <v>7.8958000000000004</v>
      </c>
    </row>
    <row r="322" spans="1:5" x14ac:dyDescent="0.2">
      <c r="A322">
        <v>1</v>
      </c>
      <c r="B322">
        <v>3</v>
      </c>
      <c r="C322">
        <v>27</v>
      </c>
      <c r="D322">
        <f>LOG10(E322)</f>
        <v>0.89899927088978915</v>
      </c>
      <c r="E322" s="3">
        <v>7.9249999999999998</v>
      </c>
    </row>
    <row r="323" spans="1:5" x14ac:dyDescent="0.2">
      <c r="A323">
        <v>1</v>
      </c>
      <c r="B323">
        <v>3</v>
      </c>
      <c r="C323">
        <v>27</v>
      </c>
      <c r="D323">
        <f>LOG10(E323)</f>
        <v>0.93764324761986317</v>
      </c>
      <c r="E323" s="3">
        <v>8.6624999999999996</v>
      </c>
    </row>
    <row r="324" spans="1:5" x14ac:dyDescent="0.2">
      <c r="A324">
        <v>1</v>
      </c>
      <c r="B324">
        <v>2</v>
      </c>
      <c r="C324">
        <v>27</v>
      </c>
      <c r="D324">
        <f>LOG10(E324)</f>
        <v>1.0211892990699381</v>
      </c>
      <c r="E324" s="3">
        <v>10.5</v>
      </c>
    </row>
    <row r="325" spans="1:5" x14ac:dyDescent="0.2">
      <c r="A325">
        <v>1</v>
      </c>
      <c r="B325">
        <v>3</v>
      </c>
      <c r="C325">
        <v>27</v>
      </c>
      <c r="D325">
        <f>LOG10(E325)</f>
        <v>1.0466239118070755</v>
      </c>
      <c r="E325" s="3">
        <v>11.1333</v>
      </c>
    </row>
    <row r="326" spans="1:5" x14ac:dyDescent="0.2">
      <c r="A326">
        <v>1</v>
      </c>
      <c r="B326">
        <v>3</v>
      </c>
      <c r="C326">
        <v>27</v>
      </c>
      <c r="D326">
        <f>LOG10(E326)</f>
        <v>1.0960405542954275</v>
      </c>
      <c r="E326" s="3">
        <v>12.475</v>
      </c>
    </row>
    <row r="327" spans="1:5" x14ac:dyDescent="0.2">
      <c r="A327">
        <v>0</v>
      </c>
      <c r="B327">
        <v>2</v>
      </c>
      <c r="C327">
        <v>27</v>
      </c>
      <c r="D327">
        <f>LOG10(E327)</f>
        <v>1.1139433523068367</v>
      </c>
      <c r="E327" s="3">
        <v>13</v>
      </c>
    </row>
    <row r="328" spans="1:5" x14ac:dyDescent="0.2">
      <c r="A328">
        <v>0</v>
      </c>
      <c r="B328">
        <v>2</v>
      </c>
      <c r="C328">
        <v>27</v>
      </c>
      <c r="D328">
        <f>LOG10(E328)</f>
        <v>1.1139433523068367</v>
      </c>
      <c r="E328" s="3">
        <v>13</v>
      </c>
    </row>
    <row r="329" spans="1:5" x14ac:dyDescent="0.2">
      <c r="A329">
        <v>1</v>
      </c>
      <c r="B329">
        <v>2</v>
      </c>
      <c r="C329">
        <v>27</v>
      </c>
      <c r="D329">
        <f>LOG10(E329)</f>
        <v>1.1417099585657509</v>
      </c>
      <c r="E329" s="3">
        <v>13.8583</v>
      </c>
    </row>
    <row r="330" spans="1:5" x14ac:dyDescent="0.2">
      <c r="A330">
        <v>0</v>
      </c>
      <c r="B330">
        <v>3</v>
      </c>
      <c r="C330">
        <v>27</v>
      </c>
      <c r="D330">
        <f>LOG10(E330)</f>
        <v>1.1599940596732181</v>
      </c>
      <c r="E330" s="3">
        <v>14.4542</v>
      </c>
    </row>
    <row r="331" spans="1:5" x14ac:dyDescent="0.2">
      <c r="A331">
        <v>0</v>
      </c>
      <c r="B331">
        <v>2</v>
      </c>
      <c r="C331">
        <v>27</v>
      </c>
      <c r="D331">
        <f>LOG10(E331)</f>
        <v>1.3222192947339193</v>
      </c>
      <c r="E331" s="3">
        <v>21</v>
      </c>
    </row>
    <row r="332" spans="1:5" x14ac:dyDescent="0.2">
      <c r="A332">
        <v>0</v>
      </c>
      <c r="B332">
        <v>2</v>
      </c>
      <c r="C332">
        <v>27</v>
      </c>
      <c r="D332">
        <f>LOG10(E332)</f>
        <v>1.414973347970818</v>
      </c>
      <c r="E332" s="3">
        <v>26</v>
      </c>
    </row>
    <row r="333" spans="1:5" x14ac:dyDescent="0.2">
      <c r="A333">
        <v>1</v>
      </c>
      <c r="B333">
        <v>1</v>
      </c>
      <c r="C333">
        <v>27</v>
      </c>
      <c r="D333">
        <f>LOG10(E333)</f>
        <v>1.4842998393467859</v>
      </c>
      <c r="E333" s="3">
        <v>30.5</v>
      </c>
    </row>
    <row r="334" spans="1:5" x14ac:dyDescent="0.2">
      <c r="A334">
        <v>1</v>
      </c>
      <c r="B334">
        <v>1</v>
      </c>
      <c r="C334">
        <v>27</v>
      </c>
      <c r="D334">
        <f>LOG10(E334)</f>
        <v>1.725094521081469</v>
      </c>
      <c r="E334" s="3">
        <v>53.1</v>
      </c>
    </row>
    <row r="335" spans="1:5" x14ac:dyDescent="0.2">
      <c r="A335">
        <v>1</v>
      </c>
      <c r="B335">
        <v>1</v>
      </c>
      <c r="C335">
        <v>27</v>
      </c>
      <c r="D335">
        <f>LOG10(E335)</f>
        <v>1.8849606701491657</v>
      </c>
      <c r="E335" s="3">
        <v>76.729200000000006</v>
      </c>
    </row>
    <row r="336" spans="1:5" x14ac:dyDescent="0.2">
      <c r="A336">
        <v>0</v>
      </c>
      <c r="B336">
        <v>1</v>
      </c>
      <c r="C336">
        <v>27</v>
      </c>
      <c r="D336">
        <f>LOG10(E336)</f>
        <v>2.325310371711061</v>
      </c>
      <c r="E336" s="3">
        <v>211.5</v>
      </c>
    </row>
    <row r="337" spans="1:5" x14ac:dyDescent="0.2">
      <c r="A337">
        <v>0</v>
      </c>
      <c r="B337">
        <v>3</v>
      </c>
      <c r="C337">
        <v>27.74</v>
      </c>
      <c r="D337">
        <f>LOG10(E337)</f>
        <v>0.92728308469288701</v>
      </c>
      <c r="E337" s="3">
        <v>8.4582999999999995</v>
      </c>
    </row>
    <row r="338" spans="1:5" x14ac:dyDescent="0.2">
      <c r="A338">
        <v>0</v>
      </c>
      <c r="B338">
        <v>3</v>
      </c>
      <c r="C338">
        <v>28</v>
      </c>
      <c r="D338">
        <f>LOG10(E338)</f>
        <v>0.8918606888331484</v>
      </c>
      <c r="E338" s="3">
        <v>7.7957999999999998</v>
      </c>
    </row>
    <row r="339" spans="1:5" x14ac:dyDescent="0.2">
      <c r="A339">
        <v>0</v>
      </c>
      <c r="B339">
        <v>3</v>
      </c>
      <c r="C339">
        <v>28</v>
      </c>
      <c r="D339">
        <f>LOG10(E339)</f>
        <v>0.89510195598589926</v>
      </c>
      <c r="E339" s="3">
        <v>7.8541999999999996</v>
      </c>
    </row>
    <row r="340" spans="1:5" x14ac:dyDescent="0.2">
      <c r="A340">
        <v>0</v>
      </c>
      <c r="B340">
        <v>3</v>
      </c>
      <c r="C340">
        <v>28</v>
      </c>
      <c r="D340">
        <f>LOG10(E340)</f>
        <v>0.89739613915544614</v>
      </c>
      <c r="E340" s="3">
        <v>7.8958000000000004</v>
      </c>
    </row>
    <row r="341" spans="1:5" x14ac:dyDescent="0.2">
      <c r="A341">
        <v>0</v>
      </c>
      <c r="B341">
        <v>3</v>
      </c>
      <c r="C341">
        <v>28</v>
      </c>
      <c r="D341">
        <f>LOG10(E341)</f>
        <v>0.89739613915544614</v>
      </c>
      <c r="E341" s="3">
        <v>7.8958000000000004</v>
      </c>
    </row>
    <row r="342" spans="1:5" x14ac:dyDescent="0.2">
      <c r="A342">
        <v>0</v>
      </c>
      <c r="B342">
        <v>3</v>
      </c>
      <c r="C342">
        <v>28</v>
      </c>
      <c r="D342">
        <f>LOG10(E342)</f>
        <v>0.89739613915544614</v>
      </c>
      <c r="E342" s="3">
        <v>7.8958000000000004</v>
      </c>
    </row>
    <row r="343" spans="1:5" x14ac:dyDescent="0.2">
      <c r="A343">
        <v>0</v>
      </c>
      <c r="B343">
        <v>3</v>
      </c>
      <c r="C343">
        <v>28</v>
      </c>
      <c r="D343">
        <f>LOG10(E343)</f>
        <v>0.89899927088978915</v>
      </c>
      <c r="E343" s="3">
        <v>7.9249999999999998</v>
      </c>
    </row>
    <row r="344" spans="1:5" x14ac:dyDescent="0.2">
      <c r="A344">
        <v>0</v>
      </c>
      <c r="B344">
        <v>3</v>
      </c>
      <c r="C344">
        <v>28</v>
      </c>
      <c r="D344">
        <f>LOG10(E344)</f>
        <v>0.97772360528884772</v>
      </c>
      <c r="E344" s="3">
        <v>9.5</v>
      </c>
    </row>
    <row r="345" spans="1:5" x14ac:dyDescent="0.2">
      <c r="A345">
        <v>0</v>
      </c>
      <c r="B345">
        <v>3</v>
      </c>
      <c r="C345">
        <v>28</v>
      </c>
      <c r="D345">
        <f>LOG10(E345)</f>
        <v>0.97772360528884772</v>
      </c>
      <c r="E345" s="3">
        <v>9.5</v>
      </c>
    </row>
    <row r="346" spans="1:5" x14ac:dyDescent="0.2">
      <c r="A346">
        <v>0</v>
      </c>
      <c r="B346">
        <v>2</v>
      </c>
      <c r="C346">
        <v>28</v>
      </c>
      <c r="D346">
        <f>LOG10(E346)</f>
        <v>1.0211892990699381</v>
      </c>
      <c r="E346" s="3">
        <v>10.5</v>
      </c>
    </row>
    <row r="347" spans="1:5" x14ac:dyDescent="0.2">
      <c r="A347">
        <v>1</v>
      </c>
      <c r="B347">
        <v>2</v>
      </c>
      <c r="C347">
        <v>28</v>
      </c>
      <c r="D347">
        <f>LOG10(E347)</f>
        <v>1.1020905255118367</v>
      </c>
      <c r="E347" s="3">
        <v>12.65</v>
      </c>
    </row>
    <row r="348" spans="1:5" x14ac:dyDescent="0.2">
      <c r="A348">
        <v>0</v>
      </c>
      <c r="B348">
        <v>2</v>
      </c>
      <c r="C348">
        <v>28</v>
      </c>
      <c r="D348">
        <f>LOG10(E348)</f>
        <v>1.1139433523068367</v>
      </c>
      <c r="E348" s="3">
        <v>13</v>
      </c>
    </row>
    <row r="349" spans="1:5" x14ac:dyDescent="0.2">
      <c r="A349">
        <v>1</v>
      </c>
      <c r="B349">
        <v>2</v>
      </c>
      <c r="C349">
        <v>28</v>
      </c>
      <c r="D349">
        <f>LOG10(E349)</f>
        <v>1.1139433523068367</v>
      </c>
      <c r="E349" s="3">
        <v>13</v>
      </c>
    </row>
    <row r="350" spans="1:5" x14ac:dyDescent="0.2">
      <c r="A350">
        <v>1</v>
      </c>
      <c r="B350">
        <v>2</v>
      </c>
      <c r="C350">
        <v>28</v>
      </c>
      <c r="D350">
        <f>LOG10(E350)</f>
        <v>1.1139433523068367</v>
      </c>
      <c r="E350" s="3">
        <v>13</v>
      </c>
    </row>
    <row r="351" spans="1:5" x14ac:dyDescent="0.2">
      <c r="A351">
        <v>0</v>
      </c>
      <c r="B351">
        <v>2</v>
      </c>
      <c r="C351">
        <v>28</v>
      </c>
      <c r="D351">
        <f>LOG10(E351)</f>
        <v>1.1303337684950061</v>
      </c>
      <c r="E351" s="3">
        <v>13.5</v>
      </c>
    </row>
    <row r="352" spans="1:5" x14ac:dyDescent="0.2">
      <c r="A352">
        <v>0</v>
      </c>
      <c r="B352">
        <v>3</v>
      </c>
      <c r="C352">
        <v>28</v>
      </c>
      <c r="D352">
        <f>LOG10(E352)</f>
        <v>1.1583624920952498</v>
      </c>
      <c r="E352" s="3">
        <v>14.4</v>
      </c>
    </row>
    <row r="353" spans="1:5" x14ac:dyDescent="0.2">
      <c r="A353">
        <v>0</v>
      </c>
      <c r="B353">
        <v>3</v>
      </c>
      <c r="C353">
        <v>28</v>
      </c>
      <c r="D353">
        <f>LOG10(E353)</f>
        <v>1.2000292665537702</v>
      </c>
      <c r="E353" s="3">
        <v>15.85</v>
      </c>
    </row>
    <row r="354" spans="1:5" x14ac:dyDescent="0.2">
      <c r="A354">
        <v>0</v>
      </c>
      <c r="B354">
        <v>3</v>
      </c>
      <c r="C354">
        <v>28</v>
      </c>
      <c r="D354">
        <f>LOG10(E354)</f>
        <v>1.3526647996511005</v>
      </c>
      <c r="E354" s="3">
        <v>22.524999999999999</v>
      </c>
    </row>
    <row r="355" spans="1:5" x14ac:dyDescent="0.2">
      <c r="A355">
        <v>1</v>
      </c>
      <c r="B355">
        <v>2</v>
      </c>
      <c r="C355">
        <v>28</v>
      </c>
      <c r="D355">
        <f>LOG10(E355)</f>
        <v>1.3802112417116059</v>
      </c>
      <c r="E355" s="3">
        <v>24</v>
      </c>
    </row>
    <row r="356" spans="1:5" x14ac:dyDescent="0.2">
      <c r="A356">
        <v>1</v>
      </c>
      <c r="B356">
        <v>2</v>
      </c>
      <c r="C356">
        <v>28</v>
      </c>
      <c r="D356">
        <f>LOG10(E356)</f>
        <v>1.414973347970818</v>
      </c>
      <c r="E356" s="3">
        <v>26</v>
      </c>
    </row>
    <row r="357" spans="1:5" x14ac:dyDescent="0.2">
      <c r="A357">
        <v>1</v>
      </c>
      <c r="B357">
        <v>1</v>
      </c>
      <c r="C357">
        <v>28</v>
      </c>
      <c r="D357">
        <f>LOG10(E357)</f>
        <v>1.424064525417488</v>
      </c>
      <c r="E357" s="3">
        <v>26.55</v>
      </c>
    </row>
    <row r="358" spans="1:5" x14ac:dyDescent="0.2">
      <c r="A358">
        <v>0</v>
      </c>
      <c r="B358">
        <v>2</v>
      </c>
      <c r="C358">
        <v>28</v>
      </c>
      <c r="D358">
        <f>LOG10(E358)</f>
        <v>1.5185139398778875</v>
      </c>
      <c r="E358" s="3">
        <v>33</v>
      </c>
    </row>
    <row r="359" spans="1:5" x14ac:dyDescent="0.2">
      <c r="A359">
        <v>1</v>
      </c>
      <c r="B359">
        <v>1</v>
      </c>
      <c r="C359">
        <v>28</v>
      </c>
      <c r="D359">
        <f>LOG10(E359)</f>
        <v>1.550228353055094</v>
      </c>
      <c r="E359" s="3">
        <v>35.5</v>
      </c>
    </row>
    <row r="360" spans="1:5" x14ac:dyDescent="0.2">
      <c r="A360">
        <v>0</v>
      </c>
      <c r="B360">
        <v>1</v>
      </c>
      <c r="C360">
        <v>28</v>
      </c>
      <c r="D360">
        <f>LOG10(E360)</f>
        <v>1.6730209071288962</v>
      </c>
      <c r="E360" s="3">
        <v>47.1</v>
      </c>
    </row>
    <row r="361" spans="1:5" x14ac:dyDescent="0.2">
      <c r="A361">
        <v>0</v>
      </c>
      <c r="B361">
        <v>3</v>
      </c>
      <c r="C361">
        <v>28</v>
      </c>
      <c r="D361">
        <f>LOG10(E361)</f>
        <v>1.752016162781856</v>
      </c>
      <c r="E361" s="3">
        <v>56.495800000000003</v>
      </c>
    </row>
    <row r="362" spans="1:5" x14ac:dyDescent="0.2">
      <c r="A362">
        <v>0</v>
      </c>
      <c r="B362">
        <v>1</v>
      </c>
      <c r="C362">
        <v>28</v>
      </c>
      <c r="D362">
        <f>LOG10(E362)</f>
        <v>1.9147175152064853</v>
      </c>
      <c r="E362" s="3">
        <v>82.1708</v>
      </c>
    </row>
    <row r="363" spans="1:5" x14ac:dyDescent="0.2">
      <c r="A363">
        <v>0</v>
      </c>
      <c r="B363">
        <v>3</v>
      </c>
      <c r="C363">
        <v>28.5</v>
      </c>
      <c r="D363">
        <f>LOG10(E363)</f>
        <v>0.85909023992124911</v>
      </c>
      <c r="E363" s="3">
        <v>7.2291999999999996</v>
      </c>
    </row>
    <row r="364" spans="1:5" x14ac:dyDescent="0.2">
      <c r="A364">
        <v>0</v>
      </c>
      <c r="B364">
        <v>3</v>
      </c>
      <c r="C364">
        <v>28.5</v>
      </c>
      <c r="D364">
        <f>LOG10(E364)</f>
        <v>1.2068258760318498</v>
      </c>
      <c r="E364" s="3">
        <v>16.100000000000001</v>
      </c>
    </row>
    <row r="365" spans="1:5" x14ac:dyDescent="0.2">
      <c r="A365">
        <v>0</v>
      </c>
      <c r="B365">
        <v>3</v>
      </c>
      <c r="C365">
        <v>29</v>
      </c>
      <c r="D365">
        <f>LOG10(E365)</f>
        <v>0.84793031126515772</v>
      </c>
      <c r="E365" s="3">
        <v>7.0457999999999998</v>
      </c>
    </row>
    <row r="366" spans="1:5" x14ac:dyDescent="0.2">
      <c r="A366">
        <v>1</v>
      </c>
      <c r="B366">
        <v>3</v>
      </c>
      <c r="C366">
        <v>29</v>
      </c>
      <c r="D366">
        <f>LOG10(E366)</f>
        <v>0.88930170250631024</v>
      </c>
      <c r="E366" s="3">
        <v>7.75</v>
      </c>
    </row>
    <row r="367" spans="1:5" x14ac:dyDescent="0.2">
      <c r="A367">
        <v>0</v>
      </c>
      <c r="B367">
        <v>3</v>
      </c>
      <c r="C367">
        <v>29</v>
      </c>
      <c r="D367">
        <f>LOG10(E367)</f>
        <v>0.8907003976988751</v>
      </c>
      <c r="E367" s="3">
        <v>7.7750000000000004</v>
      </c>
    </row>
    <row r="368" spans="1:5" x14ac:dyDescent="0.2">
      <c r="A368">
        <v>0</v>
      </c>
      <c r="B368">
        <v>3</v>
      </c>
      <c r="C368">
        <v>29</v>
      </c>
      <c r="D368">
        <f>LOG10(E368)</f>
        <v>0.89625056246163814</v>
      </c>
      <c r="E368" s="3">
        <v>7.875</v>
      </c>
    </row>
    <row r="369" spans="1:5" x14ac:dyDescent="0.2">
      <c r="A369">
        <v>1</v>
      </c>
      <c r="B369">
        <v>3</v>
      </c>
      <c r="C369">
        <v>29</v>
      </c>
      <c r="D369">
        <f>LOG10(E369)</f>
        <v>0.89739613915544614</v>
      </c>
      <c r="E369" s="3">
        <v>7.8958000000000004</v>
      </c>
    </row>
    <row r="370" spans="1:5" x14ac:dyDescent="0.2">
      <c r="A370">
        <v>0</v>
      </c>
      <c r="B370">
        <v>3</v>
      </c>
      <c r="C370">
        <v>29</v>
      </c>
      <c r="D370">
        <f>LOG10(E370)</f>
        <v>0.90579588036786851</v>
      </c>
      <c r="E370" s="3">
        <v>8.0500000000000007</v>
      </c>
    </row>
    <row r="371" spans="1:5" x14ac:dyDescent="0.2">
      <c r="A371">
        <v>0</v>
      </c>
      <c r="B371">
        <v>3</v>
      </c>
      <c r="C371">
        <v>29</v>
      </c>
      <c r="D371">
        <f>LOG10(E371)</f>
        <v>0.97695948949035494</v>
      </c>
      <c r="E371" s="3">
        <v>9.4832999999999998</v>
      </c>
    </row>
    <row r="372" spans="1:5" x14ac:dyDescent="0.2">
      <c r="A372">
        <v>1</v>
      </c>
      <c r="B372">
        <v>3</v>
      </c>
      <c r="C372">
        <v>29</v>
      </c>
      <c r="D372">
        <f>LOG10(E372)</f>
        <v>0.97772360528884772</v>
      </c>
      <c r="E372" s="3">
        <v>9.5</v>
      </c>
    </row>
    <row r="373" spans="1:5" x14ac:dyDescent="0.2">
      <c r="A373">
        <v>0</v>
      </c>
      <c r="B373">
        <v>3</v>
      </c>
      <c r="C373">
        <v>29</v>
      </c>
      <c r="D373">
        <f>LOG10(E373)</f>
        <v>1.0196354710013165</v>
      </c>
      <c r="E373" s="3">
        <v>10.4625</v>
      </c>
    </row>
    <row r="374" spans="1:5" x14ac:dyDescent="0.2">
      <c r="A374">
        <v>0</v>
      </c>
      <c r="B374">
        <v>2</v>
      </c>
      <c r="C374">
        <v>29</v>
      </c>
      <c r="D374">
        <f>LOG10(E374)</f>
        <v>1.0211892990699381</v>
      </c>
      <c r="E374" s="3">
        <v>10.5</v>
      </c>
    </row>
    <row r="375" spans="1:5" x14ac:dyDescent="0.2">
      <c r="A375">
        <v>1</v>
      </c>
      <c r="B375">
        <v>2</v>
      </c>
      <c r="C375">
        <v>29</v>
      </c>
      <c r="D375">
        <f>LOG10(E375)</f>
        <v>1.0211892990699381</v>
      </c>
      <c r="E375" s="3">
        <v>10.5</v>
      </c>
    </row>
    <row r="376" spans="1:5" x14ac:dyDescent="0.2">
      <c r="A376">
        <v>1</v>
      </c>
      <c r="B376">
        <v>3</v>
      </c>
      <c r="C376">
        <v>29</v>
      </c>
      <c r="D376">
        <f>LOG10(E376)</f>
        <v>1.1831502182369711</v>
      </c>
      <c r="E376" s="3">
        <v>15.245799999999999</v>
      </c>
    </row>
    <row r="377" spans="1:5" x14ac:dyDescent="0.2">
      <c r="A377">
        <v>0</v>
      </c>
      <c r="B377">
        <v>2</v>
      </c>
      <c r="C377">
        <v>29</v>
      </c>
      <c r="D377">
        <f>LOG10(E377)</f>
        <v>1.3222192947339193</v>
      </c>
      <c r="E377" s="3">
        <v>21</v>
      </c>
    </row>
    <row r="378" spans="1:5" x14ac:dyDescent="0.2">
      <c r="A378">
        <v>0</v>
      </c>
      <c r="B378">
        <v>3</v>
      </c>
      <c r="C378">
        <v>29</v>
      </c>
      <c r="D378">
        <f>LOG10(E378)</f>
        <v>1.3237675832967799</v>
      </c>
      <c r="E378" s="3">
        <v>21.074999999999999</v>
      </c>
    </row>
    <row r="379" spans="1:5" x14ac:dyDescent="0.2">
      <c r="A379">
        <v>1</v>
      </c>
      <c r="B379">
        <v>2</v>
      </c>
      <c r="C379">
        <v>29</v>
      </c>
      <c r="D379">
        <f>LOG10(E379)</f>
        <v>1.414973347970818</v>
      </c>
      <c r="E379" s="3">
        <v>26</v>
      </c>
    </row>
    <row r="380" spans="1:5" x14ac:dyDescent="0.2">
      <c r="A380">
        <v>1</v>
      </c>
      <c r="B380">
        <v>2</v>
      </c>
      <c r="C380">
        <v>29</v>
      </c>
      <c r="D380">
        <f>LOG10(E380)</f>
        <v>1.414973347970818</v>
      </c>
      <c r="E380" s="3">
        <v>26</v>
      </c>
    </row>
    <row r="381" spans="1:5" x14ac:dyDescent="0.2">
      <c r="A381">
        <v>0</v>
      </c>
      <c r="B381">
        <v>2</v>
      </c>
      <c r="C381">
        <v>29</v>
      </c>
      <c r="D381">
        <f>LOG10(E381)</f>
        <v>1.442805759510192</v>
      </c>
      <c r="E381" s="3">
        <v>27.720800000000001</v>
      </c>
    </row>
    <row r="382" spans="1:5" x14ac:dyDescent="0.2">
      <c r="A382">
        <v>0</v>
      </c>
      <c r="B382">
        <v>1</v>
      </c>
      <c r="C382">
        <v>29</v>
      </c>
      <c r="D382">
        <f>LOG10(E382)</f>
        <v>1.4771212547196624</v>
      </c>
      <c r="E382" s="3">
        <v>30</v>
      </c>
    </row>
    <row r="383" spans="1:5" x14ac:dyDescent="0.2">
      <c r="A383">
        <v>0</v>
      </c>
      <c r="B383">
        <v>1</v>
      </c>
      <c r="C383">
        <v>29</v>
      </c>
      <c r="D383">
        <f>LOG10(E383)</f>
        <v>1.823474229170301</v>
      </c>
      <c r="E383" s="3">
        <v>66.599999999999994</v>
      </c>
    </row>
    <row r="384" spans="1:5" x14ac:dyDescent="0.2">
      <c r="A384">
        <v>1</v>
      </c>
      <c r="B384">
        <v>1</v>
      </c>
      <c r="C384">
        <v>29</v>
      </c>
      <c r="D384">
        <f>LOG10(E384)</f>
        <v>2.3249765656660264</v>
      </c>
      <c r="E384" s="3">
        <v>211.33750000000001</v>
      </c>
    </row>
    <row r="385" spans="1:5" x14ac:dyDescent="0.2">
      <c r="A385">
        <v>0</v>
      </c>
      <c r="B385">
        <v>3</v>
      </c>
      <c r="C385">
        <v>30</v>
      </c>
      <c r="D385">
        <f>LOG10(E385)</f>
        <v>0.85883785142858549</v>
      </c>
      <c r="E385" s="3">
        <v>7.2249999999999996</v>
      </c>
    </row>
    <row r="386" spans="1:5" x14ac:dyDescent="0.2">
      <c r="A386">
        <v>0</v>
      </c>
      <c r="B386">
        <v>3</v>
      </c>
      <c r="C386">
        <v>30</v>
      </c>
      <c r="D386">
        <f>LOG10(E386)</f>
        <v>0.85909023992124911</v>
      </c>
      <c r="E386" s="3">
        <v>7.2291999999999996</v>
      </c>
    </row>
    <row r="387" spans="1:5" x14ac:dyDescent="0.2">
      <c r="A387">
        <v>0</v>
      </c>
      <c r="B387">
        <v>3</v>
      </c>
      <c r="C387">
        <v>30</v>
      </c>
      <c r="D387">
        <f>LOG10(E387)</f>
        <v>0.86033800657099369</v>
      </c>
      <c r="E387" s="3">
        <v>7.25</v>
      </c>
    </row>
    <row r="388" spans="1:5" x14ac:dyDescent="0.2">
      <c r="A388">
        <v>0</v>
      </c>
      <c r="B388">
        <v>3</v>
      </c>
      <c r="C388">
        <v>30</v>
      </c>
      <c r="D388">
        <f>LOG10(E388)</f>
        <v>0.89739613915544614</v>
      </c>
      <c r="E388" s="3">
        <v>7.8958000000000004</v>
      </c>
    </row>
    <row r="389" spans="1:5" x14ac:dyDescent="0.2">
      <c r="A389">
        <v>0</v>
      </c>
      <c r="B389">
        <v>3</v>
      </c>
      <c r="C389">
        <v>30</v>
      </c>
      <c r="D389">
        <f>LOG10(E389)</f>
        <v>0.90579588036786851</v>
      </c>
      <c r="E389" s="3">
        <v>8.0500000000000007</v>
      </c>
    </row>
    <row r="390" spans="1:5" x14ac:dyDescent="0.2">
      <c r="A390">
        <v>0</v>
      </c>
      <c r="B390">
        <v>3</v>
      </c>
      <c r="C390">
        <v>30</v>
      </c>
      <c r="D390">
        <f>LOG10(E390)</f>
        <v>0.90579588036786851</v>
      </c>
      <c r="E390" s="3">
        <v>8.0500000000000007</v>
      </c>
    </row>
    <row r="391" spans="1:5" x14ac:dyDescent="0.2">
      <c r="A391">
        <v>0</v>
      </c>
      <c r="B391">
        <v>3</v>
      </c>
      <c r="C391">
        <v>30</v>
      </c>
      <c r="D391">
        <f>LOG10(E391)</f>
        <v>0.93764324761986317</v>
      </c>
      <c r="E391" s="3">
        <v>8.6624999999999996</v>
      </c>
    </row>
    <row r="392" spans="1:5" x14ac:dyDescent="0.2">
      <c r="A392">
        <v>1</v>
      </c>
      <c r="B392">
        <v>3</v>
      </c>
      <c r="C392">
        <v>30</v>
      </c>
      <c r="D392">
        <f>LOG10(E392)</f>
        <v>0.97772360528884772</v>
      </c>
      <c r="E392" s="3">
        <v>9.5</v>
      </c>
    </row>
    <row r="393" spans="1:5" x14ac:dyDescent="0.2">
      <c r="A393">
        <v>0</v>
      </c>
      <c r="B393">
        <v>2</v>
      </c>
      <c r="C393">
        <v>30</v>
      </c>
      <c r="D393">
        <f>LOG10(E393)</f>
        <v>1.0211892990699381</v>
      </c>
      <c r="E393" s="3">
        <v>10.5</v>
      </c>
    </row>
    <row r="394" spans="1:5" x14ac:dyDescent="0.2">
      <c r="A394">
        <v>1</v>
      </c>
      <c r="B394">
        <v>2</v>
      </c>
      <c r="C394">
        <v>30</v>
      </c>
      <c r="D394">
        <f>LOG10(E394)</f>
        <v>1.0916669575956846</v>
      </c>
      <c r="E394" s="3">
        <v>12.35</v>
      </c>
    </row>
    <row r="395" spans="1:5" x14ac:dyDescent="0.2">
      <c r="A395">
        <v>1</v>
      </c>
      <c r="B395">
        <v>3</v>
      </c>
      <c r="C395">
        <v>30</v>
      </c>
      <c r="D395">
        <f>LOG10(E395)</f>
        <v>1.0960405542954275</v>
      </c>
      <c r="E395" s="3">
        <v>12.475</v>
      </c>
    </row>
    <row r="396" spans="1:5" x14ac:dyDescent="0.2">
      <c r="A396">
        <v>0</v>
      </c>
      <c r="B396">
        <v>2</v>
      </c>
      <c r="C396">
        <v>30</v>
      </c>
      <c r="D396">
        <f>LOG10(E396)</f>
        <v>1.1139433523068367</v>
      </c>
      <c r="E396" s="3">
        <v>13</v>
      </c>
    </row>
    <row r="397" spans="1:5" x14ac:dyDescent="0.2">
      <c r="A397">
        <v>0</v>
      </c>
      <c r="B397">
        <v>2</v>
      </c>
      <c r="C397">
        <v>30</v>
      </c>
      <c r="D397">
        <f>LOG10(E397)</f>
        <v>1.1139433523068367</v>
      </c>
      <c r="E397" s="3">
        <v>13</v>
      </c>
    </row>
    <row r="398" spans="1:5" x14ac:dyDescent="0.2">
      <c r="A398">
        <v>0</v>
      </c>
      <c r="B398">
        <v>2</v>
      </c>
      <c r="C398">
        <v>30</v>
      </c>
      <c r="D398">
        <f>LOG10(E398)</f>
        <v>1.1139433523068367</v>
      </c>
      <c r="E398" s="3">
        <v>13</v>
      </c>
    </row>
    <row r="399" spans="1:5" x14ac:dyDescent="0.2">
      <c r="A399">
        <v>1</v>
      </c>
      <c r="B399">
        <v>2</v>
      </c>
      <c r="C399">
        <v>30</v>
      </c>
      <c r="D399">
        <f>LOG10(E399)</f>
        <v>1.1139433523068367</v>
      </c>
      <c r="E399" s="3">
        <v>13</v>
      </c>
    </row>
    <row r="400" spans="1:5" x14ac:dyDescent="0.2">
      <c r="A400">
        <v>0</v>
      </c>
      <c r="B400">
        <v>3</v>
      </c>
      <c r="C400">
        <v>30</v>
      </c>
      <c r="D400">
        <f>LOG10(E400)</f>
        <v>1.2068258760318498</v>
      </c>
      <c r="E400" s="3">
        <v>16.100000000000001</v>
      </c>
    </row>
    <row r="401" spans="1:5" x14ac:dyDescent="0.2">
      <c r="A401">
        <v>1</v>
      </c>
      <c r="B401">
        <v>2</v>
      </c>
      <c r="C401">
        <v>30</v>
      </c>
      <c r="D401">
        <f>LOG10(E401)</f>
        <v>1.3222192947339193</v>
      </c>
      <c r="E401" s="3">
        <v>21</v>
      </c>
    </row>
    <row r="402" spans="1:5" x14ac:dyDescent="0.2">
      <c r="A402">
        <v>0</v>
      </c>
      <c r="B402">
        <v>2</v>
      </c>
      <c r="C402">
        <v>30</v>
      </c>
      <c r="D402">
        <f>LOG10(E402)</f>
        <v>1.3802112417116059</v>
      </c>
      <c r="E402" s="3">
        <v>24</v>
      </c>
    </row>
    <row r="403" spans="1:5" x14ac:dyDescent="0.2">
      <c r="A403">
        <v>0</v>
      </c>
      <c r="B403">
        <v>3</v>
      </c>
      <c r="C403">
        <v>30</v>
      </c>
      <c r="D403">
        <f>LOG10(E403)</f>
        <v>1.3829171350875309</v>
      </c>
      <c r="E403" s="3">
        <v>24.15</v>
      </c>
    </row>
    <row r="404" spans="1:5" x14ac:dyDescent="0.2">
      <c r="A404">
        <v>0</v>
      </c>
      <c r="B404">
        <v>1</v>
      </c>
      <c r="C404">
        <v>30</v>
      </c>
      <c r="D404">
        <f>LOG10(E404)</f>
        <v>1.4432629874586951</v>
      </c>
      <c r="E404" s="3">
        <v>27.75</v>
      </c>
    </row>
    <row r="405" spans="1:5" x14ac:dyDescent="0.2">
      <c r="A405">
        <v>1</v>
      </c>
      <c r="B405">
        <v>1</v>
      </c>
      <c r="C405">
        <v>30</v>
      </c>
      <c r="D405">
        <f>LOG10(E405)</f>
        <v>1.4913616938342726</v>
      </c>
      <c r="E405" s="3">
        <v>31</v>
      </c>
    </row>
    <row r="406" spans="1:5" x14ac:dyDescent="0.2">
      <c r="A406">
        <v>1</v>
      </c>
      <c r="B406">
        <v>1</v>
      </c>
      <c r="C406">
        <v>30</v>
      </c>
      <c r="D406">
        <f>LOG10(E406)</f>
        <v>1.7553350809127826</v>
      </c>
      <c r="E406" s="3">
        <v>56.929200000000002</v>
      </c>
    </row>
    <row r="407" spans="1:5" x14ac:dyDescent="0.2">
      <c r="A407">
        <v>1</v>
      </c>
      <c r="B407">
        <v>1</v>
      </c>
      <c r="C407">
        <v>30</v>
      </c>
      <c r="D407">
        <f>LOG10(E407)</f>
        <v>1.9370161074648142</v>
      </c>
      <c r="E407" s="3">
        <v>86.5</v>
      </c>
    </row>
    <row r="408" spans="1:5" x14ac:dyDescent="0.2">
      <c r="A408">
        <v>1</v>
      </c>
      <c r="B408">
        <v>1</v>
      </c>
      <c r="C408">
        <v>30</v>
      </c>
      <c r="D408">
        <f>LOG10(E408)</f>
        <v>1.9708116108725178</v>
      </c>
      <c r="E408" s="3">
        <v>93.5</v>
      </c>
    </row>
    <row r="409" spans="1:5" x14ac:dyDescent="0.2">
      <c r="A409">
        <v>1</v>
      </c>
      <c r="B409">
        <v>1</v>
      </c>
      <c r="C409">
        <v>30</v>
      </c>
      <c r="D409">
        <f>LOG10(E409)</f>
        <v>2.0270436588491743</v>
      </c>
      <c r="E409" s="3">
        <v>106.425</v>
      </c>
    </row>
    <row r="410" spans="1:5" x14ac:dyDescent="0.2">
      <c r="A410">
        <v>0</v>
      </c>
      <c r="B410">
        <v>3</v>
      </c>
      <c r="C410">
        <v>30.5</v>
      </c>
      <c r="D410">
        <f>LOG10(E410)</f>
        <v>0.88930170250631024</v>
      </c>
      <c r="E410" s="3">
        <v>7.75</v>
      </c>
    </row>
    <row r="411" spans="1:5" x14ac:dyDescent="0.2">
      <c r="A411">
        <v>0</v>
      </c>
      <c r="B411">
        <v>3</v>
      </c>
      <c r="C411">
        <v>30.5</v>
      </c>
      <c r="D411">
        <f>LOG10(E411)</f>
        <v>0.90579588036786851</v>
      </c>
      <c r="E411" s="3">
        <v>8.0500000000000007</v>
      </c>
    </row>
    <row r="412" spans="1:5" x14ac:dyDescent="0.2">
      <c r="A412">
        <v>0</v>
      </c>
      <c r="B412">
        <v>3</v>
      </c>
      <c r="C412">
        <v>31</v>
      </c>
      <c r="D412">
        <f>LOG10(E412)</f>
        <v>0.88930170250631024</v>
      </c>
      <c r="E412" s="3">
        <v>7.75</v>
      </c>
    </row>
    <row r="413" spans="1:5" x14ac:dyDescent="0.2">
      <c r="A413">
        <v>0</v>
      </c>
      <c r="B413">
        <v>3</v>
      </c>
      <c r="C413">
        <v>31</v>
      </c>
      <c r="D413">
        <f>LOG10(E413)</f>
        <v>0.8907003976988751</v>
      </c>
      <c r="E413" s="3">
        <v>7.7750000000000004</v>
      </c>
    </row>
    <row r="414" spans="1:5" x14ac:dyDescent="0.2">
      <c r="A414">
        <v>0</v>
      </c>
      <c r="B414">
        <v>3</v>
      </c>
      <c r="C414">
        <v>31</v>
      </c>
      <c r="D414">
        <f>LOG10(E414)</f>
        <v>0.89510195598589926</v>
      </c>
      <c r="E414" s="3">
        <v>7.8541999999999996</v>
      </c>
    </row>
    <row r="415" spans="1:5" x14ac:dyDescent="0.2">
      <c r="A415">
        <v>1</v>
      </c>
      <c r="B415">
        <v>3</v>
      </c>
      <c r="C415">
        <v>31</v>
      </c>
      <c r="D415">
        <f>LOG10(E415)</f>
        <v>0.89899927088978915</v>
      </c>
      <c r="E415" s="3">
        <v>7.9249999999999998</v>
      </c>
    </row>
    <row r="416" spans="1:5" x14ac:dyDescent="0.2">
      <c r="A416">
        <v>1</v>
      </c>
      <c r="B416">
        <v>3</v>
      </c>
      <c r="C416">
        <v>31</v>
      </c>
      <c r="D416">
        <f>LOG10(E416)</f>
        <v>0.93868480575536073</v>
      </c>
      <c r="E416" s="3">
        <v>8.6832999999999991</v>
      </c>
    </row>
    <row r="417" spans="1:5" x14ac:dyDescent="0.2">
      <c r="A417">
        <v>0</v>
      </c>
      <c r="B417">
        <v>2</v>
      </c>
      <c r="C417">
        <v>31</v>
      </c>
      <c r="D417">
        <f>LOG10(E417)</f>
        <v>1.0211892990699381</v>
      </c>
      <c r="E417" s="3">
        <v>10.5</v>
      </c>
    </row>
    <row r="418" spans="1:5" x14ac:dyDescent="0.2">
      <c r="A418">
        <v>1</v>
      </c>
      <c r="B418">
        <v>2</v>
      </c>
      <c r="C418">
        <v>31</v>
      </c>
      <c r="D418">
        <f>LOG10(E418)</f>
        <v>1.1139433523068367</v>
      </c>
      <c r="E418" s="3">
        <v>13</v>
      </c>
    </row>
    <row r="419" spans="1:5" x14ac:dyDescent="0.2">
      <c r="A419">
        <v>0</v>
      </c>
      <c r="B419">
        <v>3</v>
      </c>
      <c r="C419">
        <v>31</v>
      </c>
      <c r="D419">
        <f>LOG10(E419)</f>
        <v>1.255272505103306</v>
      </c>
      <c r="E419" s="3">
        <v>18</v>
      </c>
    </row>
    <row r="420" spans="1:5" x14ac:dyDescent="0.2">
      <c r="A420">
        <v>1</v>
      </c>
      <c r="B420">
        <v>3</v>
      </c>
      <c r="C420">
        <v>31</v>
      </c>
      <c r="D420">
        <f>LOG10(E420)</f>
        <v>1.3122831657914784</v>
      </c>
      <c r="E420" s="3">
        <v>20.524999999999999</v>
      </c>
    </row>
    <row r="421" spans="1:5" x14ac:dyDescent="0.2">
      <c r="A421">
        <v>0</v>
      </c>
      <c r="B421">
        <v>2</v>
      </c>
      <c r="C421">
        <v>31</v>
      </c>
      <c r="D421">
        <f>LOG10(E421)</f>
        <v>1.4191293077419758</v>
      </c>
      <c r="E421" s="3">
        <v>26.25</v>
      </c>
    </row>
    <row r="422" spans="1:5" x14ac:dyDescent="0.2">
      <c r="A422">
        <v>1</v>
      </c>
      <c r="B422">
        <v>2</v>
      </c>
      <c r="C422">
        <v>31</v>
      </c>
      <c r="D422">
        <f>LOG10(E422)</f>
        <v>1.4191293077419758</v>
      </c>
      <c r="E422" s="3">
        <v>26.25</v>
      </c>
    </row>
    <row r="423" spans="1:5" x14ac:dyDescent="0.2">
      <c r="A423">
        <v>0</v>
      </c>
      <c r="B423">
        <v>2</v>
      </c>
      <c r="C423">
        <v>31</v>
      </c>
      <c r="D423">
        <f>LOG10(E423)</f>
        <v>1.5682510195617358</v>
      </c>
      <c r="E423" s="3">
        <v>37.004199999999997</v>
      </c>
    </row>
    <row r="424" spans="1:5" x14ac:dyDescent="0.2">
      <c r="A424">
        <v>0</v>
      </c>
      <c r="B424">
        <v>1</v>
      </c>
      <c r="C424">
        <v>31</v>
      </c>
      <c r="D424">
        <f>LOG10(E424)</f>
        <v>1.7032552570755082</v>
      </c>
      <c r="E424" s="3">
        <v>50.495800000000003</v>
      </c>
    </row>
    <row r="425" spans="1:5" x14ac:dyDescent="0.2">
      <c r="A425">
        <v>0</v>
      </c>
      <c r="B425">
        <v>1</v>
      </c>
      <c r="C425">
        <v>31</v>
      </c>
      <c r="D425">
        <f>LOG10(E425)</f>
        <v>1.7160033436347992</v>
      </c>
      <c r="E425" s="3">
        <v>52</v>
      </c>
    </row>
    <row r="426" spans="1:5" x14ac:dyDescent="0.2">
      <c r="A426">
        <v>1</v>
      </c>
      <c r="B426">
        <v>1</v>
      </c>
      <c r="C426">
        <v>31</v>
      </c>
      <c r="D426">
        <f>LOG10(E426)</f>
        <v>1.7558748556724915</v>
      </c>
      <c r="E426" s="3">
        <v>57</v>
      </c>
    </row>
    <row r="427" spans="1:5" x14ac:dyDescent="0.2">
      <c r="A427">
        <v>1</v>
      </c>
      <c r="B427">
        <v>1</v>
      </c>
      <c r="C427">
        <v>31</v>
      </c>
      <c r="D427">
        <f>LOG10(E427)</f>
        <v>2.0541340708512235</v>
      </c>
      <c r="E427" s="3">
        <v>113.27500000000001</v>
      </c>
    </row>
    <row r="428" spans="1:5" x14ac:dyDescent="0.2">
      <c r="A428">
        <v>1</v>
      </c>
      <c r="B428">
        <v>1</v>
      </c>
      <c r="C428">
        <v>31</v>
      </c>
      <c r="D428">
        <f>LOG10(E428)</f>
        <v>2.2171329451128217</v>
      </c>
      <c r="E428" s="3">
        <v>164.86670000000001</v>
      </c>
    </row>
    <row r="429" spans="1:5" x14ac:dyDescent="0.2">
      <c r="A429">
        <v>0</v>
      </c>
      <c r="B429">
        <v>3</v>
      </c>
      <c r="C429">
        <v>32</v>
      </c>
      <c r="D429">
        <f>LOG10(E429)</f>
        <v>0.88930170250631024</v>
      </c>
      <c r="E429" s="3">
        <v>7.75</v>
      </c>
    </row>
    <row r="430" spans="1:5" x14ac:dyDescent="0.2">
      <c r="A430">
        <v>1</v>
      </c>
      <c r="B430">
        <v>3</v>
      </c>
      <c r="C430">
        <v>32</v>
      </c>
      <c r="D430">
        <f>LOG10(E430)</f>
        <v>0.89510195598589926</v>
      </c>
      <c r="E430" s="3">
        <v>7.8541999999999996</v>
      </c>
    </row>
    <row r="431" spans="1:5" x14ac:dyDescent="0.2">
      <c r="A431">
        <v>0</v>
      </c>
      <c r="B431">
        <v>3</v>
      </c>
      <c r="C431">
        <v>32</v>
      </c>
      <c r="D431">
        <f>LOG10(E431)</f>
        <v>0.89739613915544614</v>
      </c>
      <c r="E431" s="3">
        <v>7.8958000000000004</v>
      </c>
    </row>
    <row r="432" spans="1:5" x14ac:dyDescent="0.2">
      <c r="A432">
        <v>0</v>
      </c>
      <c r="B432">
        <v>3</v>
      </c>
      <c r="C432">
        <v>32</v>
      </c>
      <c r="D432">
        <f>LOG10(E432)</f>
        <v>0.89899927088978915</v>
      </c>
      <c r="E432" s="3">
        <v>7.9249999999999998</v>
      </c>
    </row>
    <row r="433" spans="1:5" x14ac:dyDescent="0.2">
      <c r="A433">
        <v>0</v>
      </c>
      <c r="B433">
        <v>3</v>
      </c>
      <c r="C433">
        <v>32</v>
      </c>
      <c r="D433">
        <f>LOG10(E433)</f>
        <v>0.89899927088978915</v>
      </c>
      <c r="E433" s="3">
        <v>7.9249999999999998</v>
      </c>
    </row>
    <row r="434" spans="1:5" x14ac:dyDescent="0.2">
      <c r="A434">
        <v>1</v>
      </c>
      <c r="B434">
        <v>3</v>
      </c>
      <c r="C434">
        <v>32</v>
      </c>
      <c r="D434">
        <f>LOG10(E434)</f>
        <v>0.89899927088978915</v>
      </c>
      <c r="E434" s="3">
        <v>7.9249999999999998</v>
      </c>
    </row>
    <row r="435" spans="1:5" x14ac:dyDescent="0.2">
      <c r="A435">
        <v>1</v>
      </c>
      <c r="B435">
        <v>3</v>
      </c>
      <c r="C435">
        <v>32</v>
      </c>
      <c r="D435">
        <f>LOG10(E435)</f>
        <v>0.90579588036786851</v>
      </c>
      <c r="E435" s="3">
        <v>8.0500000000000007</v>
      </c>
    </row>
    <row r="436" spans="1:5" x14ac:dyDescent="0.2">
      <c r="A436">
        <v>0</v>
      </c>
      <c r="B436">
        <v>3</v>
      </c>
      <c r="C436">
        <v>32</v>
      </c>
      <c r="D436">
        <f>LOG10(E436)</f>
        <v>0.92233613077587961</v>
      </c>
      <c r="E436" s="3">
        <v>8.3625000000000007</v>
      </c>
    </row>
    <row r="437" spans="1:5" x14ac:dyDescent="0.2">
      <c r="A437">
        <v>0</v>
      </c>
      <c r="B437">
        <v>2</v>
      </c>
      <c r="C437">
        <v>32</v>
      </c>
      <c r="D437">
        <f>LOG10(E437)</f>
        <v>1.0211892990699381</v>
      </c>
      <c r="E437" s="3">
        <v>10.5</v>
      </c>
    </row>
    <row r="438" spans="1:5" x14ac:dyDescent="0.2">
      <c r="A438">
        <v>1</v>
      </c>
      <c r="B438">
        <v>2</v>
      </c>
      <c r="C438">
        <v>32</v>
      </c>
      <c r="D438">
        <f>LOG10(E438)</f>
        <v>1.1139433523068367</v>
      </c>
      <c r="E438" s="3">
        <v>13</v>
      </c>
    </row>
    <row r="439" spans="1:5" x14ac:dyDescent="0.2">
      <c r="A439">
        <v>0</v>
      </c>
      <c r="B439">
        <v>3</v>
      </c>
      <c r="C439">
        <v>32</v>
      </c>
      <c r="D439">
        <f>LOG10(E439)</f>
        <v>1.1903316981702914</v>
      </c>
      <c r="E439" s="3">
        <v>15.5</v>
      </c>
    </row>
    <row r="440" spans="1:5" x14ac:dyDescent="0.2">
      <c r="A440">
        <v>0</v>
      </c>
      <c r="B440">
        <v>3</v>
      </c>
      <c r="C440">
        <v>32</v>
      </c>
      <c r="D440">
        <f>LOG10(E440)</f>
        <v>1.2000292665537702</v>
      </c>
      <c r="E440" s="3">
        <v>15.85</v>
      </c>
    </row>
    <row r="441" spans="1:5" x14ac:dyDescent="0.2">
      <c r="A441">
        <v>1</v>
      </c>
      <c r="B441">
        <v>2</v>
      </c>
      <c r="C441">
        <v>32</v>
      </c>
      <c r="D441">
        <f>LOG10(E441)</f>
        <v>1.414973347970818</v>
      </c>
      <c r="E441" s="3">
        <v>26</v>
      </c>
    </row>
    <row r="442" spans="1:5" x14ac:dyDescent="0.2">
      <c r="A442">
        <v>1</v>
      </c>
      <c r="B442">
        <v>1</v>
      </c>
      <c r="C442">
        <v>32</v>
      </c>
      <c r="D442">
        <f>LOG10(E442)</f>
        <v>1.4842998393467859</v>
      </c>
      <c r="E442" s="3">
        <v>30.5</v>
      </c>
    </row>
    <row r="443" spans="1:5" x14ac:dyDescent="0.2">
      <c r="A443">
        <v>1</v>
      </c>
      <c r="B443">
        <v>3</v>
      </c>
      <c r="C443">
        <v>32</v>
      </c>
      <c r="D443">
        <f>LOG10(E443)</f>
        <v>1.752016162781856</v>
      </c>
      <c r="E443" s="3">
        <v>56.495800000000003</v>
      </c>
    </row>
    <row r="444" spans="1:5" x14ac:dyDescent="0.2">
      <c r="A444">
        <v>1</v>
      </c>
      <c r="B444">
        <v>3</v>
      </c>
      <c r="C444">
        <v>32</v>
      </c>
      <c r="D444">
        <f>LOG10(E444)</f>
        <v>1.752016162781856</v>
      </c>
      <c r="E444" s="3">
        <v>56.495800000000003</v>
      </c>
    </row>
    <row r="445" spans="1:5" x14ac:dyDescent="0.2">
      <c r="A445">
        <v>0</v>
      </c>
      <c r="B445">
        <v>2</v>
      </c>
      <c r="C445">
        <v>32</v>
      </c>
      <c r="D445">
        <f>LOG10(E445)</f>
        <v>1.866287339084195</v>
      </c>
      <c r="E445" s="3">
        <v>73.5</v>
      </c>
    </row>
    <row r="446" spans="1:5" x14ac:dyDescent="0.2">
      <c r="A446">
        <v>1</v>
      </c>
      <c r="B446">
        <v>1</v>
      </c>
      <c r="C446">
        <v>32</v>
      </c>
      <c r="D446">
        <f>LOG10(E446)</f>
        <v>1.8824772923418707</v>
      </c>
      <c r="E446" s="3">
        <v>76.291700000000006</v>
      </c>
    </row>
    <row r="447" spans="1:5" x14ac:dyDescent="0.2">
      <c r="A447">
        <v>1</v>
      </c>
      <c r="B447">
        <v>2</v>
      </c>
      <c r="C447">
        <v>32.5</v>
      </c>
      <c r="D447">
        <f>LOG10(E447)</f>
        <v>1.1139433523068367</v>
      </c>
      <c r="E447" s="3">
        <v>13</v>
      </c>
    </row>
    <row r="448" spans="1:5" x14ac:dyDescent="0.2">
      <c r="A448">
        <v>0</v>
      </c>
      <c r="B448">
        <v>2</v>
      </c>
      <c r="C448">
        <v>32.5</v>
      </c>
      <c r="D448">
        <f>LOG10(E448)</f>
        <v>1.4781449821731452</v>
      </c>
      <c r="E448" s="3">
        <v>30.070799999999998</v>
      </c>
    </row>
    <row r="449" spans="1:5" x14ac:dyDescent="0.2">
      <c r="A449">
        <v>0</v>
      </c>
      <c r="B449">
        <v>1</v>
      </c>
      <c r="C449">
        <v>33</v>
      </c>
      <c r="D449">
        <f>LOG10(E449)</f>
        <v>0.69897000433601886</v>
      </c>
      <c r="E449" s="3">
        <v>5</v>
      </c>
    </row>
    <row r="450" spans="1:5" x14ac:dyDescent="0.2">
      <c r="A450">
        <v>0</v>
      </c>
      <c r="B450">
        <v>3</v>
      </c>
      <c r="C450">
        <v>33</v>
      </c>
      <c r="D450">
        <f>LOG10(E450)</f>
        <v>0.8907003976988751</v>
      </c>
      <c r="E450" s="3">
        <v>7.7750000000000004</v>
      </c>
    </row>
    <row r="451" spans="1:5" x14ac:dyDescent="0.2">
      <c r="A451">
        <v>0</v>
      </c>
      <c r="B451">
        <v>3</v>
      </c>
      <c r="C451">
        <v>33</v>
      </c>
      <c r="D451">
        <f>LOG10(E451)</f>
        <v>0.89739613915544614</v>
      </c>
      <c r="E451" s="3">
        <v>7.8958000000000004</v>
      </c>
    </row>
    <row r="452" spans="1:5" x14ac:dyDescent="0.2">
      <c r="A452">
        <v>0</v>
      </c>
      <c r="B452">
        <v>3</v>
      </c>
      <c r="C452">
        <v>33</v>
      </c>
      <c r="D452">
        <f>LOG10(E452)</f>
        <v>0.89739613915544614</v>
      </c>
      <c r="E452" s="3">
        <v>7.8958000000000004</v>
      </c>
    </row>
    <row r="453" spans="1:5" x14ac:dyDescent="0.2">
      <c r="A453">
        <v>0</v>
      </c>
      <c r="B453">
        <v>3</v>
      </c>
      <c r="C453">
        <v>33</v>
      </c>
      <c r="D453">
        <f>LOG10(E453)</f>
        <v>0.9372269275963212</v>
      </c>
      <c r="E453" s="3">
        <v>8.6541999999999994</v>
      </c>
    </row>
    <row r="454" spans="1:5" x14ac:dyDescent="0.2">
      <c r="A454">
        <v>0</v>
      </c>
      <c r="B454">
        <v>3</v>
      </c>
      <c r="C454">
        <v>33</v>
      </c>
      <c r="D454">
        <f>LOG10(E454)</f>
        <v>0.93764324761986317</v>
      </c>
      <c r="E454" s="3">
        <v>8.6624999999999996</v>
      </c>
    </row>
    <row r="455" spans="1:5" x14ac:dyDescent="0.2">
      <c r="A455">
        <v>0</v>
      </c>
      <c r="B455">
        <v>3</v>
      </c>
      <c r="C455">
        <v>33</v>
      </c>
      <c r="D455">
        <f>LOG10(E455)</f>
        <v>0.97772360528884772</v>
      </c>
      <c r="E455" s="3">
        <v>9.5</v>
      </c>
    </row>
    <row r="456" spans="1:5" x14ac:dyDescent="0.2">
      <c r="A456">
        <v>0</v>
      </c>
      <c r="B456">
        <v>2</v>
      </c>
      <c r="C456">
        <v>33</v>
      </c>
      <c r="D456">
        <f>LOG10(E456)</f>
        <v>1.0890215007950061</v>
      </c>
      <c r="E456" s="3">
        <v>12.275</v>
      </c>
    </row>
    <row r="457" spans="1:5" x14ac:dyDescent="0.2">
      <c r="A457">
        <v>1</v>
      </c>
      <c r="B457">
        <v>3</v>
      </c>
      <c r="C457">
        <v>33</v>
      </c>
      <c r="D457">
        <f>LOG10(E457)</f>
        <v>1.2000292665537702</v>
      </c>
      <c r="E457" s="3">
        <v>15.85</v>
      </c>
    </row>
    <row r="458" spans="1:5" x14ac:dyDescent="0.2">
      <c r="A458">
        <v>0</v>
      </c>
      <c r="B458">
        <v>3</v>
      </c>
      <c r="C458">
        <v>33</v>
      </c>
      <c r="D458">
        <f>LOG10(E458)</f>
        <v>1.3122831657914784</v>
      </c>
      <c r="E458" s="3">
        <v>20.524999999999999</v>
      </c>
    </row>
    <row r="459" spans="1:5" x14ac:dyDescent="0.2">
      <c r="A459">
        <v>1</v>
      </c>
      <c r="B459">
        <v>2</v>
      </c>
      <c r="C459">
        <v>33</v>
      </c>
      <c r="D459">
        <f>LOG10(E459)</f>
        <v>1.414973347970818</v>
      </c>
      <c r="E459" s="3">
        <v>26</v>
      </c>
    </row>
    <row r="460" spans="1:5" x14ac:dyDescent="0.2">
      <c r="A460">
        <v>1</v>
      </c>
      <c r="B460">
        <v>2</v>
      </c>
      <c r="C460">
        <v>33</v>
      </c>
      <c r="D460">
        <f>LOG10(E460)</f>
        <v>1.4432629874586951</v>
      </c>
      <c r="E460" s="3">
        <v>27.75</v>
      </c>
    </row>
    <row r="461" spans="1:5" x14ac:dyDescent="0.2">
      <c r="A461">
        <v>1</v>
      </c>
      <c r="B461">
        <v>1</v>
      </c>
      <c r="C461">
        <v>33</v>
      </c>
      <c r="D461">
        <f>LOG10(E461)</f>
        <v>1.725094521081469</v>
      </c>
      <c r="E461" s="3">
        <v>53.1</v>
      </c>
    </row>
    <row r="462" spans="1:5" x14ac:dyDescent="0.2">
      <c r="A462">
        <v>1</v>
      </c>
      <c r="B462">
        <v>1</v>
      </c>
      <c r="C462">
        <v>33</v>
      </c>
      <c r="D462">
        <f>LOG10(E462)</f>
        <v>1.9370161074648142</v>
      </c>
      <c r="E462" s="3">
        <v>86.5</v>
      </c>
    </row>
    <row r="463" spans="1:5" x14ac:dyDescent="0.2">
      <c r="A463">
        <v>1</v>
      </c>
      <c r="B463">
        <v>1</v>
      </c>
      <c r="C463">
        <v>33</v>
      </c>
      <c r="D463">
        <f>LOG10(E463)</f>
        <v>1.954242509439325</v>
      </c>
      <c r="E463" s="3">
        <v>90</v>
      </c>
    </row>
    <row r="464" spans="1:5" x14ac:dyDescent="0.2">
      <c r="A464">
        <v>0</v>
      </c>
      <c r="B464">
        <v>3</v>
      </c>
      <c r="C464">
        <v>34</v>
      </c>
      <c r="D464">
        <f>LOG10(E464)</f>
        <v>0.81263264489175169</v>
      </c>
      <c r="E464" s="3">
        <v>6.4958</v>
      </c>
    </row>
    <row r="465" spans="1:5" x14ac:dyDescent="0.2">
      <c r="A465">
        <v>0</v>
      </c>
      <c r="B465">
        <v>3</v>
      </c>
      <c r="C465">
        <v>34</v>
      </c>
      <c r="D465">
        <f>LOG10(E465)</f>
        <v>0.90579588036786851</v>
      </c>
      <c r="E465" s="3">
        <v>8.0500000000000007</v>
      </c>
    </row>
    <row r="466" spans="1:5" x14ac:dyDescent="0.2">
      <c r="A466">
        <v>0</v>
      </c>
      <c r="B466">
        <v>3</v>
      </c>
      <c r="C466">
        <v>34</v>
      </c>
      <c r="D466">
        <f>LOG10(E466)</f>
        <v>0.90579588036786851</v>
      </c>
      <c r="E466" s="3">
        <v>8.0500000000000007</v>
      </c>
    </row>
    <row r="467" spans="1:5" x14ac:dyDescent="0.2">
      <c r="A467">
        <v>1</v>
      </c>
      <c r="B467">
        <v>2</v>
      </c>
      <c r="C467">
        <v>34</v>
      </c>
      <c r="D467">
        <f>LOG10(E467)</f>
        <v>1.0211892990699381</v>
      </c>
      <c r="E467" s="3">
        <v>10.5</v>
      </c>
    </row>
    <row r="468" spans="1:5" x14ac:dyDescent="0.2">
      <c r="A468">
        <v>0</v>
      </c>
      <c r="B468">
        <v>2</v>
      </c>
      <c r="C468">
        <v>34</v>
      </c>
      <c r="D468">
        <f>LOG10(E468)</f>
        <v>1.1139433523068367</v>
      </c>
      <c r="E468" s="3">
        <v>13</v>
      </c>
    </row>
    <row r="469" spans="1:5" x14ac:dyDescent="0.2">
      <c r="A469">
        <v>0</v>
      </c>
      <c r="B469">
        <v>2</v>
      </c>
      <c r="C469">
        <v>34</v>
      </c>
      <c r="D469">
        <f>LOG10(E469)</f>
        <v>1.1139433523068367</v>
      </c>
      <c r="E469" s="3">
        <v>13</v>
      </c>
    </row>
    <row r="470" spans="1:5" x14ac:dyDescent="0.2">
      <c r="A470">
        <v>1</v>
      </c>
      <c r="B470">
        <v>2</v>
      </c>
      <c r="C470">
        <v>34</v>
      </c>
      <c r="D470">
        <f>LOG10(E470)</f>
        <v>1.1139433523068367</v>
      </c>
      <c r="E470" s="3">
        <v>13</v>
      </c>
    </row>
    <row r="471" spans="1:5" x14ac:dyDescent="0.2">
      <c r="A471">
        <v>1</v>
      </c>
      <c r="B471">
        <v>2</v>
      </c>
      <c r="C471">
        <v>34</v>
      </c>
      <c r="D471">
        <f>LOG10(E471)</f>
        <v>1.1139433523068367</v>
      </c>
      <c r="E471" s="3">
        <v>13</v>
      </c>
    </row>
    <row r="472" spans="1:5" x14ac:dyDescent="0.2">
      <c r="A472">
        <v>0</v>
      </c>
      <c r="B472">
        <v>3</v>
      </c>
      <c r="C472">
        <v>34</v>
      </c>
      <c r="D472">
        <f>LOG10(E472)</f>
        <v>1.1583624920952498</v>
      </c>
      <c r="E472" s="3">
        <v>14.4</v>
      </c>
    </row>
    <row r="473" spans="1:5" x14ac:dyDescent="0.2">
      <c r="A473">
        <v>0</v>
      </c>
      <c r="B473">
        <v>2</v>
      </c>
      <c r="C473">
        <v>34</v>
      </c>
      <c r="D473">
        <f>LOG10(E473)</f>
        <v>1.3222192947339193</v>
      </c>
      <c r="E473" s="3">
        <v>21</v>
      </c>
    </row>
    <row r="474" spans="1:5" x14ac:dyDescent="0.2">
      <c r="A474">
        <v>0</v>
      </c>
      <c r="B474">
        <v>2</v>
      </c>
      <c r="C474">
        <v>34</v>
      </c>
      <c r="D474">
        <f>LOG10(E474)</f>
        <v>1.3222192947339193</v>
      </c>
      <c r="E474" s="3">
        <v>21</v>
      </c>
    </row>
    <row r="475" spans="1:5" x14ac:dyDescent="0.2">
      <c r="A475">
        <v>1</v>
      </c>
      <c r="B475">
        <v>2</v>
      </c>
      <c r="C475">
        <v>34</v>
      </c>
      <c r="D475">
        <f>LOG10(E475)</f>
        <v>1.3617278360175928</v>
      </c>
      <c r="E475" s="3">
        <v>23</v>
      </c>
    </row>
    <row r="476" spans="1:5" x14ac:dyDescent="0.2">
      <c r="A476">
        <v>0</v>
      </c>
      <c r="B476">
        <v>2</v>
      </c>
      <c r="C476">
        <v>34</v>
      </c>
      <c r="D476">
        <f>LOG10(E476)</f>
        <v>1.414973347970818</v>
      </c>
      <c r="E476" s="3">
        <v>26</v>
      </c>
    </row>
    <row r="477" spans="1:5" x14ac:dyDescent="0.2">
      <c r="A477">
        <v>1</v>
      </c>
      <c r="B477">
        <v>1</v>
      </c>
      <c r="C477">
        <v>34</v>
      </c>
      <c r="D477">
        <f>LOG10(E477)</f>
        <v>1.424064525417488</v>
      </c>
      <c r="E477" s="3">
        <v>26.55</v>
      </c>
    </row>
    <row r="478" spans="1:5" x14ac:dyDescent="0.2">
      <c r="A478">
        <v>1</v>
      </c>
      <c r="B478">
        <v>2</v>
      </c>
      <c r="C478">
        <v>34</v>
      </c>
      <c r="D478">
        <f>LOG10(E478)</f>
        <v>1.5118833609788744</v>
      </c>
      <c r="E478" s="3">
        <v>32.5</v>
      </c>
    </row>
    <row r="479" spans="1:5" x14ac:dyDescent="0.2">
      <c r="A479">
        <v>0</v>
      </c>
      <c r="B479">
        <v>3</v>
      </c>
      <c r="C479">
        <v>34.5</v>
      </c>
      <c r="D479">
        <f>LOG10(E479)</f>
        <v>0.80871724204924744</v>
      </c>
      <c r="E479" s="3">
        <v>6.4375</v>
      </c>
    </row>
    <row r="480" spans="1:5" x14ac:dyDescent="0.2">
      <c r="A480">
        <v>0</v>
      </c>
      <c r="B480">
        <v>3</v>
      </c>
      <c r="C480">
        <v>35</v>
      </c>
      <c r="D480">
        <f>LOG10(E480)</f>
        <v>0.84818911699139865</v>
      </c>
      <c r="E480" s="3">
        <v>7.05</v>
      </c>
    </row>
    <row r="481" spans="1:5" x14ac:dyDescent="0.2">
      <c r="A481">
        <v>0</v>
      </c>
      <c r="B481">
        <v>3</v>
      </c>
      <c r="C481">
        <v>35</v>
      </c>
      <c r="D481">
        <f>LOG10(E481)</f>
        <v>0.85278486868054781</v>
      </c>
      <c r="E481" s="3">
        <v>7.125</v>
      </c>
    </row>
    <row r="482" spans="1:5" x14ac:dyDescent="0.2">
      <c r="A482">
        <v>0</v>
      </c>
      <c r="B482">
        <v>3</v>
      </c>
      <c r="C482">
        <v>35</v>
      </c>
      <c r="D482">
        <f>LOG10(E482)</f>
        <v>0.89739613915544614</v>
      </c>
      <c r="E482" s="3">
        <v>7.8958000000000004</v>
      </c>
    </row>
    <row r="483" spans="1:5" x14ac:dyDescent="0.2">
      <c r="A483">
        <v>0</v>
      </c>
      <c r="B483">
        <v>3</v>
      </c>
      <c r="C483">
        <v>35</v>
      </c>
      <c r="D483">
        <f>LOG10(E483)</f>
        <v>0.90579588036786851</v>
      </c>
      <c r="E483" s="3">
        <v>8.0500000000000007</v>
      </c>
    </row>
    <row r="484" spans="1:5" x14ac:dyDescent="0.2">
      <c r="A484">
        <v>0</v>
      </c>
      <c r="B484">
        <v>3</v>
      </c>
      <c r="C484">
        <v>35</v>
      </c>
      <c r="D484">
        <f>LOG10(E484)</f>
        <v>0.90579588036786851</v>
      </c>
      <c r="E484" s="3">
        <v>8.0500000000000007</v>
      </c>
    </row>
    <row r="485" spans="1:5" x14ac:dyDescent="0.2">
      <c r="A485">
        <v>0</v>
      </c>
      <c r="B485">
        <v>2</v>
      </c>
      <c r="C485">
        <v>35</v>
      </c>
      <c r="D485">
        <f>LOG10(E485)</f>
        <v>1.0211892990699381</v>
      </c>
      <c r="E485" s="3">
        <v>10.5</v>
      </c>
    </row>
    <row r="486" spans="1:5" x14ac:dyDescent="0.2">
      <c r="A486">
        <v>1</v>
      </c>
      <c r="B486">
        <v>3</v>
      </c>
      <c r="C486">
        <v>35</v>
      </c>
      <c r="D486">
        <f>LOG10(E486)</f>
        <v>1.3064250275506875</v>
      </c>
      <c r="E486" s="3">
        <v>20.25</v>
      </c>
    </row>
    <row r="487" spans="1:5" x14ac:dyDescent="0.2">
      <c r="A487">
        <v>1</v>
      </c>
      <c r="B487">
        <v>2</v>
      </c>
      <c r="C487">
        <v>35</v>
      </c>
      <c r="D487">
        <f>LOG10(E487)</f>
        <v>1.3222192947339193</v>
      </c>
      <c r="E487" s="3">
        <v>21</v>
      </c>
    </row>
    <row r="488" spans="1:5" x14ac:dyDescent="0.2">
      <c r="A488">
        <v>0</v>
      </c>
      <c r="B488">
        <v>2</v>
      </c>
      <c r="C488">
        <v>35</v>
      </c>
      <c r="D488">
        <f>LOG10(E488)</f>
        <v>1.414973347970818</v>
      </c>
      <c r="E488" s="3">
        <v>26</v>
      </c>
    </row>
    <row r="489" spans="1:5" x14ac:dyDescent="0.2">
      <c r="A489">
        <v>1</v>
      </c>
      <c r="B489">
        <v>1</v>
      </c>
      <c r="C489">
        <v>35</v>
      </c>
      <c r="D489">
        <f>LOG10(E489)</f>
        <v>1.4197492856943776</v>
      </c>
      <c r="E489" s="3">
        <v>26.287500000000001</v>
      </c>
    </row>
    <row r="490" spans="1:5" x14ac:dyDescent="0.2">
      <c r="A490">
        <v>1</v>
      </c>
      <c r="B490">
        <v>1</v>
      </c>
      <c r="C490">
        <v>35</v>
      </c>
      <c r="D490">
        <f>LOG10(E490)</f>
        <v>1.424064525417488</v>
      </c>
      <c r="E490" s="3">
        <v>26.55</v>
      </c>
    </row>
    <row r="491" spans="1:5" x14ac:dyDescent="0.2">
      <c r="A491">
        <v>1</v>
      </c>
      <c r="B491">
        <v>1</v>
      </c>
      <c r="C491">
        <v>35</v>
      </c>
      <c r="D491">
        <f>LOG10(E491)</f>
        <v>1.7160033436347992</v>
      </c>
      <c r="E491" s="3">
        <v>52</v>
      </c>
    </row>
    <row r="492" spans="1:5" x14ac:dyDescent="0.2">
      <c r="A492">
        <v>1</v>
      </c>
      <c r="B492">
        <v>1</v>
      </c>
      <c r="C492">
        <v>35</v>
      </c>
      <c r="D492">
        <f>LOG10(E492)</f>
        <v>1.725094521081469</v>
      </c>
      <c r="E492" s="3">
        <v>53.1</v>
      </c>
    </row>
    <row r="493" spans="1:5" x14ac:dyDescent="0.2">
      <c r="A493">
        <v>1</v>
      </c>
      <c r="B493">
        <v>1</v>
      </c>
      <c r="C493">
        <v>35</v>
      </c>
      <c r="D493">
        <f>LOG10(E493)</f>
        <v>1.9215564277264083</v>
      </c>
      <c r="E493" s="3">
        <v>83.474999999999994</v>
      </c>
    </row>
    <row r="494" spans="1:5" x14ac:dyDescent="0.2">
      <c r="A494">
        <v>1</v>
      </c>
      <c r="B494">
        <v>1</v>
      </c>
      <c r="C494">
        <v>35</v>
      </c>
      <c r="D494">
        <f>LOG10(E494)</f>
        <v>1.954242509439325</v>
      </c>
      <c r="E494" s="3">
        <v>90</v>
      </c>
    </row>
    <row r="495" spans="1:5" x14ac:dyDescent="0.2">
      <c r="A495">
        <v>1</v>
      </c>
      <c r="B495">
        <v>1</v>
      </c>
      <c r="C495">
        <v>35</v>
      </c>
      <c r="D495">
        <f>LOG10(E495)</f>
        <v>2.1323663284011247</v>
      </c>
      <c r="E495" s="3">
        <v>135.63329999999999</v>
      </c>
    </row>
    <row r="496" spans="1:5" x14ac:dyDescent="0.2">
      <c r="A496">
        <v>1</v>
      </c>
      <c r="B496">
        <v>1</v>
      </c>
      <c r="C496">
        <v>35</v>
      </c>
      <c r="D496">
        <f>LOG10(E496)</f>
        <v>2.7095491090238699</v>
      </c>
      <c r="E496" s="3">
        <v>512.32920000000001</v>
      </c>
    </row>
    <row r="497" spans="1:5" x14ac:dyDescent="0.2">
      <c r="A497">
        <v>1</v>
      </c>
      <c r="B497">
        <v>1</v>
      </c>
      <c r="C497">
        <v>35</v>
      </c>
      <c r="D497">
        <f>LOG10(E497)</f>
        <v>2.7095491090238699</v>
      </c>
      <c r="E497" s="3">
        <v>512.32920000000001</v>
      </c>
    </row>
    <row r="498" spans="1:5" x14ac:dyDescent="0.2">
      <c r="A498">
        <v>0</v>
      </c>
      <c r="B498">
        <v>3</v>
      </c>
      <c r="C498">
        <v>36</v>
      </c>
      <c r="D498">
        <f>LOG10(E498)</f>
        <v>0.87481799035902574</v>
      </c>
      <c r="E498" s="3">
        <v>7.4958</v>
      </c>
    </row>
    <row r="499" spans="1:5" x14ac:dyDescent="0.2">
      <c r="A499">
        <v>0</v>
      </c>
      <c r="B499">
        <v>3</v>
      </c>
      <c r="C499">
        <v>36</v>
      </c>
      <c r="D499">
        <f>LOG10(E499)</f>
        <v>0.89739613915544614</v>
      </c>
      <c r="E499" s="3">
        <v>7.8958000000000004</v>
      </c>
    </row>
    <row r="500" spans="1:5" x14ac:dyDescent="0.2">
      <c r="A500">
        <v>0</v>
      </c>
      <c r="B500">
        <v>2</v>
      </c>
      <c r="C500">
        <v>36</v>
      </c>
      <c r="D500">
        <f>LOG10(E500)</f>
        <v>1.0211892990699381</v>
      </c>
      <c r="E500" s="3">
        <v>10.5</v>
      </c>
    </row>
    <row r="501" spans="1:5" x14ac:dyDescent="0.2">
      <c r="A501">
        <v>0</v>
      </c>
      <c r="B501">
        <v>2</v>
      </c>
      <c r="C501">
        <v>36</v>
      </c>
      <c r="D501">
        <f>LOG10(E501)</f>
        <v>1.1097472377132287</v>
      </c>
      <c r="E501" s="3">
        <v>12.875</v>
      </c>
    </row>
    <row r="502" spans="1:5" x14ac:dyDescent="0.2">
      <c r="A502">
        <v>0</v>
      </c>
      <c r="B502">
        <v>2</v>
      </c>
      <c r="C502">
        <v>36</v>
      </c>
      <c r="D502">
        <f>LOG10(E502)</f>
        <v>1.1139433523068367</v>
      </c>
      <c r="E502" s="3">
        <v>13</v>
      </c>
    </row>
    <row r="503" spans="1:5" x14ac:dyDescent="0.2">
      <c r="A503">
        <v>1</v>
      </c>
      <c r="B503">
        <v>2</v>
      </c>
      <c r="C503">
        <v>36</v>
      </c>
      <c r="D503">
        <f>LOG10(E503)</f>
        <v>1.1139433523068367</v>
      </c>
      <c r="E503" s="3">
        <v>13</v>
      </c>
    </row>
    <row r="504" spans="1:5" x14ac:dyDescent="0.2">
      <c r="A504">
        <v>1</v>
      </c>
      <c r="B504">
        <v>2</v>
      </c>
      <c r="C504">
        <v>36</v>
      </c>
      <c r="D504">
        <f>LOG10(E504)</f>
        <v>1.1139433523068367</v>
      </c>
      <c r="E504" s="3">
        <v>13</v>
      </c>
    </row>
    <row r="505" spans="1:5" x14ac:dyDescent="0.2">
      <c r="A505">
        <v>0</v>
      </c>
      <c r="B505">
        <v>3</v>
      </c>
      <c r="C505">
        <v>36</v>
      </c>
      <c r="D505">
        <f>LOG10(E505)</f>
        <v>1.1917303933628562</v>
      </c>
      <c r="E505" s="3">
        <v>15.55</v>
      </c>
    </row>
    <row r="506" spans="1:5" x14ac:dyDescent="0.2">
      <c r="A506">
        <v>1</v>
      </c>
      <c r="B506">
        <v>3</v>
      </c>
      <c r="C506">
        <v>36</v>
      </c>
      <c r="D506">
        <f>LOG10(E506)</f>
        <v>1.2405492482825997</v>
      </c>
      <c r="E506" s="3">
        <v>17.399999999999999</v>
      </c>
    </row>
    <row r="507" spans="1:5" x14ac:dyDescent="0.2">
      <c r="A507">
        <v>0</v>
      </c>
      <c r="B507">
        <v>3</v>
      </c>
      <c r="C507">
        <v>36</v>
      </c>
      <c r="D507">
        <f>LOG10(E507)</f>
        <v>1.3829171350875309</v>
      </c>
      <c r="E507" s="3">
        <v>24.15</v>
      </c>
    </row>
    <row r="508" spans="1:5" x14ac:dyDescent="0.2">
      <c r="A508">
        <v>1</v>
      </c>
      <c r="B508">
        <v>2</v>
      </c>
      <c r="C508">
        <v>36</v>
      </c>
      <c r="D508">
        <f>LOG10(E508)</f>
        <v>1.414973347970818</v>
      </c>
      <c r="E508" s="3">
        <v>26</v>
      </c>
    </row>
    <row r="509" spans="1:5" x14ac:dyDescent="0.2">
      <c r="A509">
        <v>1</v>
      </c>
      <c r="B509">
        <v>1</v>
      </c>
      <c r="C509">
        <v>36</v>
      </c>
      <c r="D509">
        <f>LOG10(E509)</f>
        <v>1.4197492856943776</v>
      </c>
      <c r="E509" s="3">
        <v>26.287500000000001</v>
      </c>
    </row>
    <row r="510" spans="1:5" x14ac:dyDescent="0.2">
      <c r="A510">
        <v>1</v>
      </c>
      <c r="B510">
        <v>1</v>
      </c>
      <c r="C510">
        <v>36</v>
      </c>
      <c r="D510">
        <f>LOG10(E510)</f>
        <v>1.4213982463157129</v>
      </c>
      <c r="E510" s="3">
        <v>26.387499999999999</v>
      </c>
    </row>
    <row r="511" spans="1:5" x14ac:dyDescent="0.2">
      <c r="A511">
        <v>0</v>
      </c>
      <c r="B511">
        <v>2</v>
      </c>
      <c r="C511">
        <v>36</v>
      </c>
      <c r="D511">
        <f>LOG10(E511)</f>
        <v>1.4432629874586951</v>
      </c>
      <c r="E511" s="3">
        <v>27.75</v>
      </c>
    </row>
    <row r="512" spans="1:5" x14ac:dyDescent="0.2">
      <c r="A512">
        <v>0</v>
      </c>
      <c r="B512">
        <v>1</v>
      </c>
      <c r="C512">
        <v>36</v>
      </c>
      <c r="D512">
        <f>LOG10(E512)</f>
        <v>1.6034150454129286</v>
      </c>
      <c r="E512" s="3">
        <v>40.125</v>
      </c>
    </row>
    <row r="513" spans="1:5" x14ac:dyDescent="0.2">
      <c r="A513">
        <v>1</v>
      </c>
      <c r="B513">
        <v>1</v>
      </c>
      <c r="C513">
        <v>36</v>
      </c>
      <c r="D513">
        <f>LOG10(E513)</f>
        <v>1.8512583487190752</v>
      </c>
      <c r="E513" s="3">
        <v>71</v>
      </c>
    </row>
    <row r="514" spans="1:5" x14ac:dyDescent="0.2">
      <c r="A514">
        <v>0</v>
      </c>
      <c r="B514">
        <v>1</v>
      </c>
      <c r="C514">
        <v>36</v>
      </c>
      <c r="D514">
        <f>LOG10(E514)</f>
        <v>1.8968016976649216</v>
      </c>
      <c r="E514" s="3">
        <v>78.849999999999994</v>
      </c>
    </row>
    <row r="515" spans="1:5" x14ac:dyDescent="0.2">
      <c r="A515">
        <v>1</v>
      </c>
      <c r="B515">
        <v>1</v>
      </c>
      <c r="C515">
        <v>36</v>
      </c>
      <c r="D515">
        <f>LOG10(E515)</f>
        <v>2.0791812460476247</v>
      </c>
      <c r="E515" s="3">
        <v>120</v>
      </c>
    </row>
    <row r="516" spans="1:5" x14ac:dyDescent="0.2">
      <c r="A516">
        <v>1</v>
      </c>
      <c r="B516">
        <v>1</v>
      </c>
      <c r="C516">
        <v>36</v>
      </c>
      <c r="D516">
        <f>LOG10(E516)</f>
        <v>2.0791812460476247</v>
      </c>
      <c r="E516" s="3">
        <v>120</v>
      </c>
    </row>
    <row r="517" spans="1:5" x14ac:dyDescent="0.2">
      <c r="A517">
        <v>1</v>
      </c>
      <c r="B517">
        <v>1</v>
      </c>
      <c r="C517">
        <v>36</v>
      </c>
      <c r="D517">
        <f>LOG10(E517)</f>
        <v>2.1323663284011247</v>
      </c>
      <c r="E517" s="3">
        <v>135.63329999999999</v>
      </c>
    </row>
    <row r="518" spans="1:5" x14ac:dyDescent="0.2">
      <c r="A518">
        <v>1</v>
      </c>
      <c r="B518">
        <v>1</v>
      </c>
      <c r="C518">
        <v>36</v>
      </c>
      <c r="D518">
        <f>LOG10(E518)</f>
        <v>2.7095491090238699</v>
      </c>
      <c r="E518" s="3">
        <v>512.32920000000001</v>
      </c>
    </row>
    <row r="519" spans="1:5" x14ac:dyDescent="0.2">
      <c r="A519">
        <v>0</v>
      </c>
      <c r="B519">
        <v>2</v>
      </c>
      <c r="C519">
        <v>36.5</v>
      </c>
      <c r="D519">
        <f>LOG10(E519)</f>
        <v>1.414973347970818</v>
      </c>
      <c r="E519" s="3">
        <v>26</v>
      </c>
    </row>
    <row r="520" spans="1:5" x14ac:dyDescent="0.2">
      <c r="A520">
        <v>0</v>
      </c>
      <c r="B520">
        <v>3</v>
      </c>
      <c r="C520">
        <v>37</v>
      </c>
      <c r="D520">
        <f>LOG10(E520)</f>
        <v>0.89899927088978915</v>
      </c>
      <c r="E520" s="3">
        <v>7.9249999999999998</v>
      </c>
    </row>
    <row r="521" spans="1:5" x14ac:dyDescent="0.2">
      <c r="A521">
        <v>0</v>
      </c>
      <c r="B521">
        <v>3</v>
      </c>
      <c r="C521">
        <v>37</v>
      </c>
      <c r="D521">
        <f>LOG10(E521)</f>
        <v>0.98170537695703741</v>
      </c>
      <c r="E521" s="3">
        <v>9.5875000000000004</v>
      </c>
    </row>
    <row r="522" spans="1:5" x14ac:dyDescent="0.2">
      <c r="A522">
        <v>0</v>
      </c>
      <c r="B522">
        <v>2</v>
      </c>
      <c r="C522">
        <v>37</v>
      </c>
      <c r="D522">
        <f>LOG10(E522)</f>
        <v>1.414973347970818</v>
      </c>
      <c r="E522" s="3">
        <v>26</v>
      </c>
    </row>
    <row r="523" spans="1:5" x14ac:dyDescent="0.2">
      <c r="A523">
        <v>0</v>
      </c>
      <c r="B523">
        <v>1</v>
      </c>
      <c r="C523">
        <v>37</v>
      </c>
      <c r="D523">
        <f>LOG10(E523)</f>
        <v>1.4727564493172123</v>
      </c>
      <c r="E523" s="3">
        <v>29.7</v>
      </c>
    </row>
    <row r="524" spans="1:5" x14ac:dyDescent="0.2">
      <c r="A524">
        <v>1</v>
      </c>
      <c r="B524">
        <v>1</v>
      </c>
      <c r="C524">
        <v>37</v>
      </c>
      <c r="D524">
        <f>LOG10(E524)</f>
        <v>1.7206074294781684</v>
      </c>
      <c r="E524" s="3">
        <v>52.554200000000002</v>
      </c>
    </row>
    <row r="525" spans="1:5" x14ac:dyDescent="0.2">
      <c r="A525">
        <v>0</v>
      </c>
      <c r="B525">
        <v>1</v>
      </c>
      <c r="C525">
        <v>37</v>
      </c>
      <c r="D525">
        <f>LOG10(E525)</f>
        <v>1.725094521081469</v>
      </c>
      <c r="E525" s="3">
        <v>53.1</v>
      </c>
    </row>
    <row r="526" spans="1:5" x14ac:dyDescent="0.2">
      <c r="A526">
        <v>0</v>
      </c>
      <c r="B526">
        <v>3</v>
      </c>
      <c r="C526">
        <v>38</v>
      </c>
      <c r="D526">
        <f>LOG10(E526)</f>
        <v>0.84818911699139865</v>
      </c>
      <c r="E526" s="3">
        <v>7.05</v>
      </c>
    </row>
    <row r="527" spans="1:5" x14ac:dyDescent="0.2">
      <c r="A527">
        <v>0</v>
      </c>
      <c r="B527">
        <v>3</v>
      </c>
      <c r="C527">
        <v>38</v>
      </c>
      <c r="D527">
        <f>LOG10(E527)</f>
        <v>0.89739613915544614</v>
      </c>
      <c r="E527" s="3">
        <v>7.8958000000000004</v>
      </c>
    </row>
    <row r="528" spans="1:5" x14ac:dyDescent="0.2">
      <c r="A528">
        <v>0</v>
      </c>
      <c r="B528">
        <v>3</v>
      </c>
      <c r="C528">
        <v>38</v>
      </c>
      <c r="D528">
        <f>LOG10(E528)</f>
        <v>0.93764324761986317</v>
      </c>
      <c r="E528" s="3">
        <v>8.6624999999999996</v>
      </c>
    </row>
    <row r="529" spans="1:5" x14ac:dyDescent="0.2">
      <c r="A529">
        <v>0</v>
      </c>
      <c r="B529">
        <v>2</v>
      </c>
      <c r="C529">
        <v>38</v>
      </c>
      <c r="D529">
        <f>LOG10(E529)</f>
        <v>1.1139433523068367</v>
      </c>
      <c r="E529" s="3">
        <v>13</v>
      </c>
    </row>
    <row r="530" spans="1:5" x14ac:dyDescent="0.2">
      <c r="A530">
        <v>1</v>
      </c>
      <c r="B530">
        <v>3</v>
      </c>
      <c r="C530">
        <v>38</v>
      </c>
      <c r="D530">
        <f>LOG10(E530)</f>
        <v>1.4967567257209788</v>
      </c>
      <c r="E530" s="3">
        <v>31.387499999999999</v>
      </c>
    </row>
    <row r="531" spans="1:5" x14ac:dyDescent="0.2">
      <c r="A531">
        <v>1</v>
      </c>
      <c r="B531">
        <v>1</v>
      </c>
      <c r="C531">
        <v>38</v>
      </c>
      <c r="D531">
        <f>LOG10(E531)</f>
        <v>1.8529877967894248</v>
      </c>
      <c r="E531" s="3">
        <v>71.283299999999997</v>
      </c>
    </row>
    <row r="532" spans="1:5" x14ac:dyDescent="0.2">
      <c r="A532">
        <v>1</v>
      </c>
      <c r="B532">
        <v>1</v>
      </c>
      <c r="C532">
        <v>38</v>
      </c>
      <c r="D532">
        <f>LOG10(E532)</f>
        <v>1.9030899869919435</v>
      </c>
      <c r="E532" s="3">
        <v>80</v>
      </c>
    </row>
    <row r="533" spans="1:5" x14ac:dyDescent="0.2">
      <c r="A533">
        <v>1</v>
      </c>
      <c r="B533">
        <v>1</v>
      </c>
      <c r="C533">
        <v>38</v>
      </c>
      <c r="D533">
        <f>LOG10(E533)</f>
        <v>1.954242509439325</v>
      </c>
      <c r="E533" s="3">
        <v>90</v>
      </c>
    </row>
    <row r="534" spans="1:5" x14ac:dyDescent="0.2">
      <c r="A534">
        <v>0</v>
      </c>
      <c r="B534">
        <v>1</v>
      </c>
      <c r="C534">
        <v>38</v>
      </c>
      <c r="D534">
        <f>LOG10(E534)</f>
        <v>2.1860022688507756</v>
      </c>
      <c r="E534" s="3">
        <v>153.46250000000001</v>
      </c>
    </row>
    <row r="535" spans="1:5" x14ac:dyDescent="0.2">
      <c r="A535">
        <v>1</v>
      </c>
      <c r="B535">
        <v>1</v>
      </c>
      <c r="C535">
        <v>38</v>
      </c>
      <c r="D535">
        <f>LOG10(E535)</f>
        <v>2.35702912303943</v>
      </c>
      <c r="E535" s="3">
        <v>227.52500000000001</v>
      </c>
    </row>
    <row r="536" spans="1:5" x14ac:dyDescent="0.2">
      <c r="A536">
        <v>0</v>
      </c>
      <c r="B536">
        <v>3</v>
      </c>
      <c r="C536">
        <v>39</v>
      </c>
      <c r="D536">
        <f>LOG10(E536)</f>
        <v>0.89899927088978915</v>
      </c>
      <c r="E536" s="3">
        <v>7.9249999999999998</v>
      </c>
    </row>
    <row r="537" spans="1:5" x14ac:dyDescent="0.2">
      <c r="A537">
        <v>1</v>
      </c>
      <c r="B537">
        <v>3</v>
      </c>
      <c r="C537">
        <v>39</v>
      </c>
      <c r="D537">
        <f>LOG10(E537)</f>
        <v>0.89899927088978915</v>
      </c>
      <c r="E537" s="3">
        <v>7.9249999999999998</v>
      </c>
    </row>
    <row r="538" spans="1:5" x14ac:dyDescent="0.2">
      <c r="A538">
        <v>0</v>
      </c>
      <c r="B538">
        <v>2</v>
      </c>
      <c r="C538">
        <v>39</v>
      </c>
      <c r="D538">
        <f>LOG10(E538)</f>
        <v>1.1139433523068367</v>
      </c>
      <c r="E538" s="3">
        <v>13</v>
      </c>
    </row>
    <row r="539" spans="1:5" x14ac:dyDescent="0.2">
      <c r="A539">
        <v>0</v>
      </c>
      <c r="B539">
        <v>2</v>
      </c>
      <c r="C539">
        <v>39</v>
      </c>
      <c r="D539">
        <f>LOG10(E539)</f>
        <v>1.1139433523068367</v>
      </c>
      <c r="E539" s="3">
        <v>13</v>
      </c>
    </row>
    <row r="540" spans="1:5" x14ac:dyDescent="0.2">
      <c r="A540">
        <v>0</v>
      </c>
      <c r="B540">
        <v>3</v>
      </c>
      <c r="C540">
        <v>39</v>
      </c>
      <c r="D540">
        <f>LOG10(E540)</f>
        <v>1.3829171350875309</v>
      </c>
      <c r="E540" s="3">
        <v>24.15</v>
      </c>
    </row>
    <row r="541" spans="1:5" x14ac:dyDescent="0.2">
      <c r="A541">
        <v>0</v>
      </c>
      <c r="B541">
        <v>2</v>
      </c>
      <c r="C541">
        <v>39</v>
      </c>
      <c r="D541">
        <f>LOG10(E541)</f>
        <v>1.414973347970818</v>
      </c>
      <c r="E541" s="3">
        <v>26</v>
      </c>
    </row>
    <row r="542" spans="1:5" x14ac:dyDescent="0.2">
      <c r="A542">
        <v>0</v>
      </c>
      <c r="B542">
        <v>3</v>
      </c>
      <c r="C542">
        <v>39</v>
      </c>
      <c r="D542">
        <f>LOG10(E542)</f>
        <v>1.4642659340340753</v>
      </c>
      <c r="E542" s="3">
        <v>29.125</v>
      </c>
    </row>
    <row r="543" spans="1:5" x14ac:dyDescent="0.2">
      <c r="A543">
        <v>0</v>
      </c>
      <c r="B543">
        <v>3</v>
      </c>
      <c r="C543">
        <v>39</v>
      </c>
      <c r="D543">
        <f>LOG10(E543)</f>
        <v>1.4951973183654574</v>
      </c>
      <c r="E543" s="3">
        <v>31.274999999999999</v>
      </c>
    </row>
    <row r="544" spans="1:5" x14ac:dyDescent="0.2">
      <c r="A544">
        <v>0</v>
      </c>
      <c r="B544">
        <v>3</v>
      </c>
      <c r="C544">
        <v>39</v>
      </c>
      <c r="D544">
        <f>LOG10(E544)</f>
        <v>1.4951973183654574</v>
      </c>
      <c r="E544" s="3">
        <v>31.274999999999999</v>
      </c>
    </row>
    <row r="545" spans="1:5" x14ac:dyDescent="0.2">
      <c r="A545">
        <v>1</v>
      </c>
      <c r="B545">
        <v>1</v>
      </c>
      <c r="C545">
        <v>39</v>
      </c>
      <c r="D545">
        <f>LOG10(E545)</f>
        <v>1.7474118078864234</v>
      </c>
      <c r="E545" s="3">
        <v>55.9</v>
      </c>
    </row>
    <row r="546" spans="1:5" x14ac:dyDescent="0.2">
      <c r="A546">
        <v>1</v>
      </c>
      <c r="B546">
        <v>1</v>
      </c>
      <c r="C546">
        <v>39</v>
      </c>
      <c r="D546">
        <f>LOG10(E546)</f>
        <v>1.9011857801371503</v>
      </c>
      <c r="E546" s="3">
        <v>79.650000000000006</v>
      </c>
    </row>
    <row r="547" spans="1:5" x14ac:dyDescent="0.2">
      <c r="A547">
        <v>1</v>
      </c>
      <c r="B547">
        <v>1</v>
      </c>
      <c r="C547">
        <v>39</v>
      </c>
      <c r="D547">
        <f>LOG10(E547)</f>
        <v>1.9199056024948609</v>
      </c>
      <c r="E547" s="3">
        <v>83.158299999999997</v>
      </c>
    </row>
    <row r="548" spans="1:5" x14ac:dyDescent="0.2">
      <c r="A548">
        <v>1</v>
      </c>
      <c r="B548">
        <v>1</v>
      </c>
      <c r="C548">
        <v>39</v>
      </c>
      <c r="D548">
        <f>LOG10(E548)</f>
        <v>2.0448661425064016</v>
      </c>
      <c r="E548" s="3">
        <v>110.88330000000001</v>
      </c>
    </row>
    <row r="549" spans="1:5" x14ac:dyDescent="0.2">
      <c r="A549">
        <v>0</v>
      </c>
      <c r="B549">
        <v>3</v>
      </c>
      <c r="C549">
        <v>40</v>
      </c>
      <c r="D549">
        <f>LOG10(E549)</f>
        <v>0.85883785142858549</v>
      </c>
      <c r="E549" s="3">
        <v>7.2249999999999996</v>
      </c>
    </row>
    <row r="550" spans="1:5" x14ac:dyDescent="0.2">
      <c r="A550">
        <v>0</v>
      </c>
      <c r="B550">
        <v>3</v>
      </c>
      <c r="C550">
        <v>40</v>
      </c>
      <c r="D550">
        <f>LOG10(E550)</f>
        <v>0.89739613915544614</v>
      </c>
      <c r="E550" s="3">
        <v>7.8958000000000004</v>
      </c>
    </row>
    <row r="551" spans="1:5" x14ac:dyDescent="0.2">
      <c r="A551">
        <v>0</v>
      </c>
      <c r="B551">
        <v>3</v>
      </c>
      <c r="C551">
        <v>40</v>
      </c>
      <c r="D551">
        <f>LOG10(E551)</f>
        <v>0.97657921864010988</v>
      </c>
      <c r="E551" s="3">
        <v>9.4749999999999996</v>
      </c>
    </row>
    <row r="552" spans="1:5" x14ac:dyDescent="0.2">
      <c r="A552">
        <v>1</v>
      </c>
      <c r="B552">
        <v>2</v>
      </c>
      <c r="C552">
        <v>40</v>
      </c>
      <c r="D552">
        <f>LOG10(E552)</f>
        <v>1.1139433523068367</v>
      </c>
      <c r="E552" s="3">
        <v>13</v>
      </c>
    </row>
    <row r="553" spans="1:5" x14ac:dyDescent="0.2">
      <c r="A553">
        <v>0</v>
      </c>
      <c r="B553">
        <v>3</v>
      </c>
      <c r="C553">
        <v>40</v>
      </c>
      <c r="D553">
        <f>LOG10(E553)</f>
        <v>1.1903316981702914</v>
      </c>
      <c r="E553" s="3">
        <v>15.5</v>
      </c>
    </row>
    <row r="554" spans="1:5" x14ac:dyDescent="0.2">
      <c r="A554">
        <v>1</v>
      </c>
      <c r="B554">
        <v>2</v>
      </c>
      <c r="C554">
        <v>40</v>
      </c>
      <c r="D554">
        <f>LOG10(E554)</f>
        <v>1.1972805581256194</v>
      </c>
      <c r="E554" s="3">
        <v>15.75</v>
      </c>
    </row>
    <row r="555" spans="1:5" x14ac:dyDescent="0.2">
      <c r="A555">
        <v>0</v>
      </c>
      <c r="B555">
        <v>1</v>
      </c>
      <c r="C555">
        <v>40</v>
      </c>
      <c r="D555">
        <f>LOG10(E555)</f>
        <v>1.442805759510192</v>
      </c>
      <c r="E555" s="3">
        <v>27.720800000000001</v>
      </c>
    </row>
    <row r="556" spans="1:5" x14ac:dyDescent="0.2">
      <c r="A556">
        <v>0</v>
      </c>
      <c r="B556">
        <v>3</v>
      </c>
      <c r="C556">
        <v>40</v>
      </c>
      <c r="D556">
        <f>LOG10(E556)</f>
        <v>1.4456042032735976</v>
      </c>
      <c r="E556" s="3">
        <v>27.9</v>
      </c>
    </row>
    <row r="557" spans="1:5" x14ac:dyDescent="0.2">
      <c r="A557">
        <v>1</v>
      </c>
      <c r="B557">
        <v>1</v>
      </c>
      <c r="C557">
        <v>40</v>
      </c>
      <c r="D557">
        <f>LOG10(E557)</f>
        <v>1.4913616938342726</v>
      </c>
      <c r="E557" s="3">
        <v>31</v>
      </c>
    </row>
    <row r="558" spans="1:5" x14ac:dyDescent="0.2">
      <c r="A558">
        <v>1</v>
      </c>
      <c r="B558">
        <v>2</v>
      </c>
      <c r="C558">
        <v>40</v>
      </c>
      <c r="D558">
        <f>LOG10(E558)</f>
        <v>1.5910646070264991</v>
      </c>
      <c r="E558" s="3">
        <v>39</v>
      </c>
    </row>
    <row r="559" spans="1:5" x14ac:dyDescent="0.2">
      <c r="A559">
        <v>1</v>
      </c>
      <c r="B559">
        <v>1</v>
      </c>
      <c r="C559">
        <v>40</v>
      </c>
      <c r="D559">
        <f>LOG10(E559)</f>
        <v>2.1287222843384268</v>
      </c>
      <c r="E559" s="3">
        <v>134.5</v>
      </c>
    </row>
    <row r="560" spans="1:5" x14ac:dyDescent="0.2">
      <c r="A560">
        <v>1</v>
      </c>
      <c r="B560">
        <v>1</v>
      </c>
      <c r="C560">
        <v>40</v>
      </c>
      <c r="D560">
        <f>LOG10(E560)</f>
        <v>2.1860022688507756</v>
      </c>
      <c r="E560" s="3">
        <v>153.46250000000001</v>
      </c>
    </row>
    <row r="561" spans="1:5" x14ac:dyDescent="0.2">
      <c r="A561">
        <v>0</v>
      </c>
      <c r="B561">
        <v>3</v>
      </c>
      <c r="C561">
        <v>40.5</v>
      </c>
      <c r="D561">
        <f>LOG10(E561)</f>
        <v>0.88930170250631024</v>
      </c>
      <c r="E561" s="3">
        <v>7.75</v>
      </c>
    </row>
    <row r="562" spans="1:5" x14ac:dyDescent="0.2">
      <c r="A562">
        <v>0</v>
      </c>
      <c r="B562">
        <v>3</v>
      </c>
      <c r="C562">
        <v>40.5</v>
      </c>
      <c r="D562">
        <f>LOG10(E562)</f>
        <v>1.1613680022349748</v>
      </c>
      <c r="E562" s="3">
        <v>14.5</v>
      </c>
    </row>
    <row r="563" spans="1:5" x14ac:dyDescent="0.2">
      <c r="A563">
        <v>0</v>
      </c>
      <c r="B563">
        <v>3</v>
      </c>
      <c r="C563">
        <v>41</v>
      </c>
      <c r="D563">
        <f>LOG10(E563)</f>
        <v>0.85278486868054781</v>
      </c>
      <c r="E563" s="3">
        <v>7.125</v>
      </c>
    </row>
    <row r="564" spans="1:5" x14ac:dyDescent="0.2">
      <c r="A564">
        <v>0</v>
      </c>
      <c r="B564">
        <v>3</v>
      </c>
      <c r="C564">
        <v>41</v>
      </c>
      <c r="D564">
        <f>LOG10(E564)</f>
        <v>1.1494746859656342</v>
      </c>
      <c r="E564" s="3">
        <v>14.1083</v>
      </c>
    </row>
    <row r="565" spans="1:5" x14ac:dyDescent="0.2">
      <c r="A565">
        <v>1</v>
      </c>
      <c r="B565">
        <v>2</v>
      </c>
      <c r="C565">
        <v>41</v>
      </c>
      <c r="D565">
        <f>LOG10(E565)</f>
        <v>1.2900346113625181</v>
      </c>
      <c r="E565" s="3">
        <v>19.5</v>
      </c>
    </row>
    <row r="566" spans="1:5" x14ac:dyDescent="0.2">
      <c r="A566">
        <v>0</v>
      </c>
      <c r="B566">
        <v>3</v>
      </c>
      <c r="C566">
        <v>41</v>
      </c>
      <c r="D566">
        <f>LOG10(E566)</f>
        <v>1.3056200329144576</v>
      </c>
      <c r="E566" s="3">
        <v>20.212499999999999</v>
      </c>
    </row>
    <row r="567" spans="1:5" x14ac:dyDescent="0.2">
      <c r="A567">
        <v>0</v>
      </c>
      <c r="B567">
        <v>3</v>
      </c>
      <c r="C567">
        <v>41</v>
      </c>
      <c r="D567">
        <f>LOG10(E567)</f>
        <v>1.598653742636051</v>
      </c>
      <c r="E567" s="3">
        <v>39.6875</v>
      </c>
    </row>
    <row r="568" spans="1:5" x14ac:dyDescent="0.2">
      <c r="A568">
        <v>1</v>
      </c>
      <c r="B568">
        <v>1</v>
      </c>
      <c r="C568">
        <v>41</v>
      </c>
      <c r="D568">
        <f>LOG10(E568)</f>
        <v>2.1287222843384268</v>
      </c>
      <c r="E568" s="3">
        <v>134.5</v>
      </c>
    </row>
    <row r="569" spans="1:5" x14ac:dyDescent="0.2">
      <c r="A569">
        <v>0</v>
      </c>
      <c r="B569">
        <v>3</v>
      </c>
      <c r="C569">
        <v>42</v>
      </c>
      <c r="D569">
        <f>LOG10(E569)</f>
        <v>0.87794695162918823</v>
      </c>
      <c r="E569" s="3">
        <v>7.55</v>
      </c>
    </row>
    <row r="570" spans="1:5" x14ac:dyDescent="0.2">
      <c r="A570">
        <v>0</v>
      </c>
      <c r="B570">
        <v>3</v>
      </c>
      <c r="C570">
        <v>42</v>
      </c>
      <c r="D570">
        <f>LOG10(E570)</f>
        <v>0.88366143515361761</v>
      </c>
      <c r="E570" s="3">
        <v>7.65</v>
      </c>
    </row>
    <row r="571" spans="1:5" x14ac:dyDescent="0.2">
      <c r="A571">
        <v>0</v>
      </c>
      <c r="B571">
        <v>3</v>
      </c>
      <c r="C571">
        <v>42</v>
      </c>
      <c r="D571">
        <f>LOG10(E571)</f>
        <v>0.92449637903411186</v>
      </c>
      <c r="E571" s="3">
        <v>8.4041999999999994</v>
      </c>
    </row>
    <row r="572" spans="1:5" x14ac:dyDescent="0.2">
      <c r="A572">
        <v>0</v>
      </c>
      <c r="B572">
        <v>3</v>
      </c>
      <c r="C572">
        <v>42</v>
      </c>
      <c r="D572">
        <f>LOG10(E572)</f>
        <v>0.93764324761986317</v>
      </c>
      <c r="E572" s="3">
        <v>8.6624999999999996</v>
      </c>
    </row>
    <row r="573" spans="1:5" x14ac:dyDescent="0.2">
      <c r="A573">
        <v>0</v>
      </c>
      <c r="B573">
        <v>2</v>
      </c>
      <c r="C573">
        <v>42</v>
      </c>
      <c r="D573">
        <f>LOG10(E573)</f>
        <v>1.1139433523068367</v>
      </c>
      <c r="E573" s="3">
        <v>13</v>
      </c>
    </row>
    <row r="574" spans="1:5" x14ac:dyDescent="0.2">
      <c r="A574">
        <v>1</v>
      </c>
      <c r="B574">
        <v>2</v>
      </c>
      <c r="C574">
        <v>42</v>
      </c>
      <c r="D574">
        <f>LOG10(E574)</f>
        <v>1.1139433523068367</v>
      </c>
      <c r="E574" s="3">
        <v>13</v>
      </c>
    </row>
    <row r="575" spans="1:5" x14ac:dyDescent="0.2">
      <c r="A575">
        <v>1</v>
      </c>
      <c r="B575">
        <v>2</v>
      </c>
      <c r="C575">
        <v>42</v>
      </c>
      <c r="D575">
        <f>LOG10(E575)</f>
        <v>1.1139433523068367</v>
      </c>
      <c r="E575" s="3">
        <v>13</v>
      </c>
    </row>
    <row r="576" spans="1:5" x14ac:dyDescent="0.2">
      <c r="A576">
        <v>1</v>
      </c>
      <c r="B576">
        <v>2</v>
      </c>
      <c r="C576">
        <v>42</v>
      </c>
      <c r="D576">
        <f>LOG10(E576)</f>
        <v>1.414973347970818</v>
      </c>
      <c r="E576" s="3">
        <v>26</v>
      </c>
    </row>
    <row r="577" spans="1:5" x14ac:dyDescent="0.2">
      <c r="A577">
        <v>1</v>
      </c>
      <c r="B577">
        <v>1</v>
      </c>
      <c r="C577">
        <v>42</v>
      </c>
      <c r="D577">
        <f>LOG10(E577)</f>
        <v>1.4197492856943776</v>
      </c>
      <c r="E577" s="3">
        <v>26.287500000000001</v>
      </c>
    </row>
    <row r="578" spans="1:5" x14ac:dyDescent="0.2">
      <c r="A578">
        <v>0</v>
      </c>
      <c r="B578">
        <v>2</v>
      </c>
      <c r="C578">
        <v>42</v>
      </c>
      <c r="D578">
        <f>LOG10(E578)</f>
        <v>1.4313637641589874</v>
      </c>
      <c r="E578" s="3">
        <v>27</v>
      </c>
    </row>
    <row r="579" spans="1:5" x14ac:dyDescent="0.2">
      <c r="A579">
        <v>0</v>
      </c>
      <c r="B579">
        <v>1</v>
      </c>
      <c r="C579">
        <v>42</v>
      </c>
      <c r="D579">
        <f>LOG10(E579)</f>
        <v>1.7160033436347992</v>
      </c>
      <c r="E579" s="3">
        <v>52</v>
      </c>
    </row>
    <row r="580" spans="1:5" x14ac:dyDescent="0.2">
      <c r="A580">
        <v>1</v>
      </c>
      <c r="B580">
        <v>1</v>
      </c>
      <c r="C580">
        <v>42</v>
      </c>
      <c r="D580">
        <f>LOG10(E580)</f>
        <v>1.7206074294781684</v>
      </c>
      <c r="E580" s="3">
        <v>52.554200000000002</v>
      </c>
    </row>
    <row r="581" spans="1:5" x14ac:dyDescent="0.2">
      <c r="A581">
        <v>1</v>
      </c>
      <c r="B581">
        <v>1</v>
      </c>
      <c r="C581">
        <v>42</v>
      </c>
      <c r="D581">
        <f>LOG10(E581)</f>
        <v>2.35702912303943</v>
      </c>
      <c r="E581" s="3">
        <v>227.52500000000001</v>
      </c>
    </row>
    <row r="582" spans="1:5" x14ac:dyDescent="0.2">
      <c r="A582">
        <v>0</v>
      </c>
      <c r="B582">
        <v>3</v>
      </c>
      <c r="C582">
        <v>43</v>
      </c>
      <c r="D582">
        <f>LOG10(E582)</f>
        <v>0.80955971463526777</v>
      </c>
      <c r="E582" s="3">
        <v>6.45</v>
      </c>
    </row>
    <row r="583" spans="1:5" x14ac:dyDescent="0.2">
      <c r="A583">
        <v>0</v>
      </c>
      <c r="B583">
        <v>3</v>
      </c>
      <c r="C583">
        <v>43</v>
      </c>
      <c r="D583">
        <f>LOG10(E583)</f>
        <v>0.90579588036786851</v>
      </c>
      <c r="E583" s="3">
        <v>8.0500000000000007</v>
      </c>
    </row>
    <row r="584" spans="1:5" x14ac:dyDescent="0.2">
      <c r="A584">
        <v>0</v>
      </c>
      <c r="B584">
        <v>2</v>
      </c>
      <c r="C584">
        <v>43</v>
      </c>
      <c r="D584">
        <f>LOG10(E584)</f>
        <v>1.4191293077419758</v>
      </c>
      <c r="E584" s="3">
        <v>26.25</v>
      </c>
    </row>
    <row r="585" spans="1:5" x14ac:dyDescent="0.2">
      <c r="A585">
        <v>0</v>
      </c>
      <c r="B585">
        <v>3</v>
      </c>
      <c r="C585">
        <v>43</v>
      </c>
      <c r="D585">
        <f>LOG10(E585)</f>
        <v>1.6711728427150832</v>
      </c>
      <c r="E585" s="3">
        <v>46.9</v>
      </c>
    </row>
    <row r="586" spans="1:5" x14ac:dyDescent="0.2">
      <c r="A586">
        <v>1</v>
      </c>
      <c r="B586">
        <v>1</v>
      </c>
      <c r="C586">
        <v>43</v>
      </c>
      <c r="D586">
        <f>LOG10(E586)</f>
        <v>2.3249765656660264</v>
      </c>
      <c r="E586" s="3">
        <v>211.33750000000001</v>
      </c>
    </row>
    <row r="587" spans="1:5" x14ac:dyDescent="0.2">
      <c r="A587">
        <v>1</v>
      </c>
      <c r="B587">
        <v>3</v>
      </c>
      <c r="C587">
        <v>44</v>
      </c>
      <c r="D587">
        <f>LOG10(E587)</f>
        <v>0.89899927088978915</v>
      </c>
      <c r="E587" s="3">
        <v>7.9249999999999998</v>
      </c>
    </row>
    <row r="588" spans="1:5" x14ac:dyDescent="0.2">
      <c r="A588">
        <v>0</v>
      </c>
      <c r="B588">
        <v>3</v>
      </c>
      <c r="C588">
        <v>44</v>
      </c>
      <c r="D588">
        <f>LOG10(E588)</f>
        <v>0.90579588036786851</v>
      </c>
      <c r="E588" s="3">
        <v>8.0500000000000007</v>
      </c>
    </row>
    <row r="589" spans="1:5" x14ac:dyDescent="0.2">
      <c r="A589">
        <v>0</v>
      </c>
      <c r="B589">
        <v>3</v>
      </c>
      <c r="C589">
        <v>44</v>
      </c>
      <c r="D589">
        <f>LOG10(E589)</f>
        <v>0.90579588036786851</v>
      </c>
      <c r="E589" s="3">
        <v>8.0500000000000007</v>
      </c>
    </row>
    <row r="590" spans="1:5" x14ac:dyDescent="0.2">
      <c r="A590">
        <v>0</v>
      </c>
      <c r="B590">
        <v>3</v>
      </c>
      <c r="C590">
        <v>44</v>
      </c>
      <c r="D590">
        <f>LOG10(E590)</f>
        <v>1.2068258760318498</v>
      </c>
      <c r="E590" s="3">
        <v>16.100000000000001</v>
      </c>
    </row>
    <row r="591" spans="1:5" x14ac:dyDescent="0.2">
      <c r="A591">
        <v>0</v>
      </c>
      <c r="B591">
        <v>2</v>
      </c>
      <c r="C591">
        <v>44</v>
      </c>
      <c r="D591">
        <f>LOG10(E591)</f>
        <v>1.414973347970818</v>
      </c>
      <c r="E591" s="3">
        <v>26</v>
      </c>
    </row>
    <row r="592" spans="1:5" x14ac:dyDescent="0.2">
      <c r="A592">
        <v>0</v>
      </c>
      <c r="B592">
        <v>2</v>
      </c>
      <c r="C592">
        <v>44</v>
      </c>
      <c r="D592">
        <f>LOG10(E592)</f>
        <v>1.414973347970818</v>
      </c>
      <c r="E592" s="3">
        <v>26</v>
      </c>
    </row>
    <row r="593" spans="1:5" x14ac:dyDescent="0.2">
      <c r="A593">
        <v>1</v>
      </c>
      <c r="B593">
        <v>1</v>
      </c>
      <c r="C593">
        <v>44</v>
      </c>
      <c r="D593">
        <f>LOG10(E593)</f>
        <v>1.442805759510192</v>
      </c>
      <c r="E593" s="3">
        <v>27.720800000000001</v>
      </c>
    </row>
    <row r="594" spans="1:5" x14ac:dyDescent="0.2">
      <c r="A594">
        <v>1</v>
      </c>
      <c r="B594">
        <v>1</v>
      </c>
      <c r="C594">
        <v>44</v>
      </c>
      <c r="D594">
        <f>LOG10(E594)</f>
        <v>1.7632722186425993</v>
      </c>
      <c r="E594" s="3">
        <v>57.979199999999999</v>
      </c>
    </row>
    <row r="595" spans="1:5" x14ac:dyDescent="0.2">
      <c r="A595">
        <v>0</v>
      </c>
      <c r="B595">
        <v>1</v>
      </c>
      <c r="C595">
        <v>44</v>
      </c>
      <c r="D595">
        <f>LOG10(E595)</f>
        <v>1.954242509439325</v>
      </c>
      <c r="E595" s="3">
        <v>90</v>
      </c>
    </row>
    <row r="596" spans="1:5" x14ac:dyDescent="0.2">
      <c r="A596">
        <v>0</v>
      </c>
      <c r="B596">
        <v>3</v>
      </c>
      <c r="C596">
        <v>45</v>
      </c>
      <c r="D596">
        <f>LOG10(E596)</f>
        <v>0.84354421194563511</v>
      </c>
      <c r="E596" s="3">
        <v>6.9749999999999996</v>
      </c>
    </row>
    <row r="597" spans="1:5" x14ac:dyDescent="0.2">
      <c r="A597">
        <v>0</v>
      </c>
      <c r="B597">
        <v>3</v>
      </c>
      <c r="C597">
        <v>45</v>
      </c>
      <c r="D597">
        <f>LOG10(E597)</f>
        <v>0.88930170250631024</v>
      </c>
      <c r="E597" s="3">
        <v>7.75</v>
      </c>
    </row>
    <row r="598" spans="1:5" x14ac:dyDescent="0.2">
      <c r="A598">
        <v>1</v>
      </c>
      <c r="B598">
        <v>3</v>
      </c>
      <c r="C598">
        <v>45</v>
      </c>
      <c r="D598">
        <f>LOG10(E598)</f>
        <v>0.90579588036786851</v>
      </c>
      <c r="E598" s="3">
        <v>8.0500000000000007</v>
      </c>
    </row>
    <row r="599" spans="1:5" x14ac:dyDescent="0.2">
      <c r="A599">
        <v>1</v>
      </c>
      <c r="B599">
        <v>2</v>
      </c>
      <c r="C599">
        <v>45</v>
      </c>
      <c r="D599">
        <f>LOG10(E599)</f>
        <v>1.1303337684950061</v>
      </c>
      <c r="E599" s="3">
        <v>13.5</v>
      </c>
    </row>
    <row r="600" spans="1:5" x14ac:dyDescent="0.2">
      <c r="A600">
        <v>0</v>
      </c>
      <c r="B600">
        <v>3</v>
      </c>
      <c r="C600">
        <v>45</v>
      </c>
      <c r="D600">
        <f>LOG10(E600)</f>
        <v>1.1599940596732181</v>
      </c>
      <c r="E600" s="3">
        <v>14.4542</v>
      </c>
    </row>
    <row r="601" spans="1:5" x14ac:dyDescent="0.2">
      <c r="A601">
        <v>1</v>
      </c>
      <c r="B601">
        <v>2</v>
      </c>
      <c r="C601">
        <v>45</v>
      </c>
      <c r="D601">
        <f>LOG10(E601)</f>
        <v>1.4191293077419758</v>
      </c>
      <c r="E601" s="3">
        <v>26.25</v>
      </c>
    </row>
    <row r="602" spans="1:5" x14ac:dyDescent="0.2">
      <c r="A602">
        <v>0</v>
      </c>
      <c r="B602">
        <v>1</v>
      </c>
      <c r="C602">
        <v>45</v>
      </c>
      <c r="D602">
        <f>LOG10(E602)</f>
        <v>1.424064525417488</v>
      </c>
      <c r="E602" s="3">
        <v>26.55</v>
      </c>
    </row>
    <row r="603" spans="1:5" x14ac:dyDescent="0.2">
      <c r="A603">
        <v>1</v>
      </c>
      <c r="B603">
        <v>1</v>
      </c>
      <c r="C603">
        <v>45</v>
      </c>
      <c r="D603">
        <f>LOG10(E603)</f>
        <v>1.424064525417488</v>
      </c>
      <c r="E603" s="3">
        <v>26.55</v>
      </c>
    </row>
    <row r="604" spans="1:5" x14ac:dyDescent="0.2">
      <c r="A604">
        <v>0</v>
      </c>
      <c r="B604">
        <v>3</v>
      </c>
      <c r="C604">
        <v>45</v>
      </c>
      <c r="D604">
        <f>LOG10(E604)</f>
        <v>1.4456042032735976</v>
      </c>
      <c r="E604" s="3">
        <v>27.9</v>
      </c>
    </row>
    <row r="605" spans="1:5" x14ac:dyDescent="0.2">
      <c r="A605">
        <v>0</v>
      </c>
      <c r="B605">
        <v>1</v>
      </c>
      <c r="C605">
        <v>45</v>
      </c>
      <c r="D605">
        <f>LOG10(E605)</f>
        <v>1.550228353055094</v>
      </c>
      <c r="E605" s="3">
        <v>35.5</v>
      </c>
    </row>
    <row r="606" spans="1:5" x14ac:dyDescent="0.2">
      <c r="A606">
        <v>0</v>
      </c>
      <c r="B606">
        <v>1</v>
      </c>
      <c r="C606">
        <v>45</v>
      </c>
      <c r="D606">
        <f>LOG10(E606)</f>
        <v>1.9215564277264083</v>
      </c>
      <c r="E606" s="3">
        <v>83.474999999999994</v>
      </c>
    </row>
    <row r="607" spans="1:5" x14ac:dyDescent="0.2">
      <c r="A607">
        <v>1</v>
      </c>
      <c r="B607">
        <v>1</v>
      </c>
      <c r="C607">
        <v>45</v>
      </c>
      <c r="D607">
        <f>LOG10(E607)</f>
        <v>2.2171329451128217</v>
      </c>
      <c r="E607" s="3">
        <v>164.86670000000001</v>
      </c>
    </row>
    <row r="608" spans="1:5" x14ac:dyDescent="0.2">
      <c r="A608">
        <v>0</v>
      </c>
      <c r="B608">
        <v>3</v>
      </c>
      <c r="C608">
        <v>45.5</v>
      </c>
      <c r="D608">
        <f>LOG10(E608)</f>
        <v>0.85883785142858549</v>
      </c>
      <c r="E608" s="3">
        <v>7.2249999999999996</v>
      </c>
    </row>
    <row r="609" spans="1:5" x14ac:dyDescent="0.2">
      <c r="A609">
        <v>0</v>
      </c>
      <c r="B609">
        <v>1</v>
      </c>
      <c r="C609">
        <v>45.5</v>
      </c>
      <c r="D609">
        <f>LOG10(E609)</f>
        <v>1.4548448600085102</v>
      </c>
      <c r="E609" s="3">
        <v>28.5</v>
      </c>
    </row>
    <row r="610" spans="1:5" x14ac:dyDescent="0.2">
      <c r="A610">
        <v>0</v>
      </c>
      <c r="B610">
        <v>2</v>
      </c>
      <c r="C610">
        <v>46</v>
      </c>
      <c r="D610">
        <f>LOG10(E610)</f>
        <v>1.414973347970818</v>
      </c>
      <c r="E610" s="3">
        <v>26</v>
      </c>
    </row>
    <row r="611" spans="1:5" x14ac:dyDescent="0.2">
      <c r="A611">
        <v>0</v>
      </c>
      <c r="B611">
        <v>1</v>
      </c>
      <c r="C611">
        <v>46</v>
      </c>
      <c r="D611">
        <f>LOG10(E611)</f>
        <v>1.7865739780238268</v>
      </c>
      <c r="E611" s="3">
        <v>61.174999999999997</v>
      </c>
    </row>
    <row r="612" spans="1:5" x14ac:dyDescent="0.2">
      <c r="A612">
        <v>0</v>
      </c>
      <c r="B612">
        <v>1</v>
      </c>
      <c r="C612">
        <v>46</v>
      </c>
      <c r="D612">
        <f>LOG10(E612)</f>
        <v>1.8987251815894934</v>
      </c>
      <c r="E612" s="3">
        <v>79.2</v>
      </c>
    </row>
    <row r="613" spans="1:5" x14ac:dyDescent="0.2">
      <c r="A613">
        <v>0</v>
      </c>
      <c r="B613">
        <v>3</v>
      </c>
      <c r="C613">
        <v>47</v>
      </c>
      <c r="D613">
        <f>LOG10(E613)</f>
        <v>0.86033800657099369</v>
      </c>
      <c r="E613" s="3">
        <v>7.25</v>
      </c>
    </row>
    <row r="614" spans="1:5" x14ac:dyDescent="0.2">
      <c r="A614">
        <v>0</v>
      </c>
      <c r="B614">
        <v>3</v>
      </c>
      <c r="C614">
        <v>47</v>
      </c>
      <c r="D614">
        <f>LOG10(E614)</f>
        <v>0.95424250943932487</v>
      </c>
      <c r="E614" s="3">
        <v>9</v>
      </c>
    </row>
    <row r="615" spans="1:5" x14ac:dyDescent="0.2">
      <c r="A615">
        <v>0</v>
      </c>
      <c r="B615">
        <v>3</v>
      </c>
      <c r="C615">
        <v>47</v>
      </c>
      <c r="D615">
        <f>LOG10(E615)</f>
        <v>1.1613680022349748</v>
      </c>
      <c r="E615" s="3">
        <v>14.5</v>
      </c>
    </row>
    <row r="616" spans="1:5" x14ac:dyDescent="0.2">
      <c r="A616">
        <v>0</v>
      </c>
      <c r="B616">
        <v>2</v>
      </c>
      <c r="C616">
        <v>47</v>
      </c>
      <c r="D616">
        <f>LOG10(E616)</f>
        <v>1.1760912590556813</v>
      </c>
      <c r="E616" s="3">
        <v>15</v>
      </c>
    </row>
    <row r="617" spans="1:5" x14ac:dyDescent="0.2">
      <c r="A617">
        <v>0</v>
      </c>
      <c r="B617">
        <v>1</v>
      </c>
      <c r="C617">
        <v>47</v>
      </c>
      <c r="D617">
        <f>LOG10(E617)</f>
        <v>1.4080278556705621</v>
      </c>
      <c r="E617" s="3">
        <v>25.587499999999999</v>
      </c>
    </row>
    <row r="618" spans="1:5" x14ac:dyDescent="0.2">
      <c r="A618">
        <v>0</v>
      </c>
      <c r="B618">
        <v>1</v>
      </c>
      <c r="C618">
        <v>47</v>
      </c>
      <c r="D618">
        <f>LOG10(E618)</f>
        <v>1.5317445218427028</v>
      </c>
      <c r="E618" s="3">
        <v>34.020800000000001</v>
      </c>
    </row>
    <row r="619" spans="1:5" x14ac:dyDescent="0.2">
      <c r="A619">
        <v>0</v>
      </c>
      <c r="B619">
        <v>1</v>
      </c>
      <c r="C619">
        <v>47</v>
      </c>
      <c r="D619">
        <f>LOG10(E619)</f>
        <v>1.5854607295085006</v>
      </c>
      <c r="E619" s="3">
        <v>38.5</v>
      </c>
    </row>
    <row r="620" spans="1:5" x14ac:dyDescent="0.2">
      <c r="A620">
        <v>0</v>
      </c>
      <c r="B620">
        <v>1</v>
      </c>
      <c r="C620">
        <v>47</v>
      </c>
      <c r="D620">
        <f>LOG10(E620)</f>
        <v>1.7160033436347992</v>
      </c>
      <c r="E620" s="3">
        <v>52</v>
      </c>
    </row>
    <row r="621" spans="1:5" x14ac:dyDescent="0.2">
      <c r="A621">
        <v>1</v>
      </c>
      <c r="B621">
        <v>1</v>
      </c>
      <c r="C621">
        <v>47</v>
      </c>
      <c r="D621">
        <f>LOG10(E621)</f>
        <v>1.7206074294781684</v>
      </c>
      <c r="E621" s="3">
        <v>52.554200000000002</v>
      </c>
    </row>
    <row r="622" spans="1:5" x14ac:dyDescent="0.2">
      <c r="A622">
        <v>0</v>
      </c>
      <c r="B622">
        <v>3</v>
      </c>
      <c r="C622">
        <v>48</v>
      </c>
      <c r="D622">
        <f>LOG10(E622)</f>
        <v>0.89510195598589926</v>
      </c>
      <c r="E622" s="3">
        <v>7.8541999999999996</v>
      </c>
    </row>
    <row r="623" spans="1:5" x14ac:dyDescent="0.2">
      <c r="A623">
        <v>0</v>
      </c>
      <c r="B623">
        <v>2</v>
      </c>
      <c r="C623">
        <v>48</v>
      </c>
      <c r="D623">
        <f>LOG10(E623)</f>
        <v>1.1139433523068367</v>
      </c>
      <c r="E623" s="3">
        <v>13</v>
      </c>
    </row>
    <row r="624" spans="1:5" x14ac:dyDescent="0.2">
      <c r="A624">
        <v>1</v>
      </c>
      <c r="B624">
        <v>1</v>
      </c>
      <c r="C624">
        <v>48</v>
      </c>
      <c r="D624">
        <f>LOG10(E624)</f>
        <v>1.4137891175813366</v>
      </c>
      <c r="E624" s="3">
        <v>25.929200000000002</v>
      </c>
    </row>
    <row r="625" spans="1:5" x14ac:dyDescent="0.2">
      <c r="A625">
        <v>1</v>
      </c>
      <c r="B625">
        <v>1</v>
      </c>
      <c r="C625">
        <v>48</v>
      </c>
      <c r="D625">
        <f>LOG10(E625)</f>
        <v>1.424064525417488</v>
      </c>
      <c r="E625" s="3">
        <v>26.55</v>
      </c>
    </row>
    <row r="626" spans="1:5" x14ac:dyDescent="0.2">
      <c r="A626">
        <v>0</v>
      </c>
      <c r="B626">
        <v>3</v>
      </c>
      <c r="C626">
        <v>48</v>
      </c>
      <c r="D626">
        <f>LOG10(E626)</f>
        <v>1.5362427068383191</v>
      </c>
      <c r="E626" s="3">
        <v>34.375</v>
      </c>
    </row>
    <row r="627" spans="1:5" x14ac:dyDescent="0.2">
      <c r="A627">
        <v>1</v>
      </c>
      <c r="B627">
        <v>1</v>
      </c>
      <c r="C627">
        <v>48</v>
      </c>
      <c r="D627">
        <f>LOG10(E627)</f>
        <v>1.5976951859255124</v>
      </c>
      <c r="E627" s="3">
        <v>39.6</v>
      </c>
    </row>
    <row r="628" spans="1:5" x14ac:dyDescent="0.2">
      <c r="A628">
        <v>1</v>
      </c>
      <c r="B628">
        <v>1</v>
      </c>
      <c r="C628">
        <v>48</v>
      </c>
      <c r="D628">
        <f>LOG10(E628)</f>
        <v>1.7160033436347992</v>
      </c>
      <c r="E628" s="3">
        <v>52</v>
      </c>
    </row>
    <row r="629" spans="1:5" x14ac:dyDescent="0.2">
      <c r="A629">
        <v>1</v>
      </c>
      <c r="B629">
        <v>2</v>
      </c>
      <c r="C629">
        <v>48</v>
      </c>
      <c r="D629">
        <f>LOG10(E629)</f>
        <v>1.8129133566428555</v>
      </c>
      <c r="E629" s="3">
        <v>65</v>
      </c>
    </row>
    <row r="630" spans="1:5" x14ac:dyDescent="0.2">
      <c r="A630">
        <v>1</v>
      </c>
      <c r="B630">
        <v>1</v>
      </c>
      <c r="C630">
        <v>48</v>
      </c>
      <c r="D630">
        <f>LOG10(E630)</f>
        <v>1.8849606701491657</v>
      </c>
      <c r="E630" s="3">
        <v>76.729200000000006</v>
      </c>
    </row>
    <row r="631" spans="1:5" x14ac:dyDescent="0.2">
      <c r="A631">
        <v>1</v>
      </c>
      <c r="B631">
        <v>1</v>
      </c>
      <c r="C631">
        <v>49</v>
      </c>
      <c r="D631">
        <f>LOG10(E631)</f>
        <v>1.4137891175813366</v>
      </c>
      <c r="E631" s="3">
        <v>25.929200000000002</v>
      </c>
    </row>
    <row r="632" spans="1:5" x14ac:dyDescent="0.2">
      <c r="A632">
        <v>1</v>
      </c>
      <c r="B632">
        <v>1</v>
      </c>
      <c r="C632">
        <v>49</v>
      </c>
      <c r="D632">
        <f>LOG10(E632)</f>
        <v>1.7553350809127826</v>
      </c>
      <c r="E632" s="3">
        <v>56.929200000000002</v>
      </c>
    </row>
    <row r="633" spans="1:5" x14ac:dyDescent="0.2">
      <c r="A633">
        <v>1</v>
      </c>
      <c r="B633">
        <v>1</v>
      </c>
      <c r="C633">
        <v>49</v>
      </c>
      <c r="D633">
        <f>LOG10(E633)</f>
        <v>1.8849606701491657</v>
      </c>
      <c r="E633" s="3">
        <v>76.729200000000006</v>
      </c>
    </row>
    <row r="634" spans="1:5" x14ac:dyDescent="0.2">
      <c r="A634">
        <v>1</v>
      </c>
      <c r="B634">
        <v>1</v>
      </c>
      <c r="C634">
        <v>49</v>
      </c>
      <c r="D634">
        <f>LOG10(E634)</f>
        <v>1.9498981753481495</v>
      </c>
      <c r="E634" s="3">
        <v>89.104200000000006</v>
      </c>
    </row>
    <row r="635" spans="1:5" x14ac:dyDescent="0.2">
      <c r="A635">
        <v>0</v>
      </c>
      <c r="B635">
        <v>1</v>
      </c>
      <c r="C635">
        <v>49</v>
      </c>
      <c r="D635">
        <f>LOG10(E635)</f>
        <v>2.0448661425064016</v>
      </c>
      <c r="E635" s="3">
        <v>110.88330000000001</v>
      </c>
    </row>
    <row r="636" spans="1:5" x14ac:dyDescent="0.2">
      <c r="A636">
        <v>0</v>
      </c>
      <c r="B636">
        <v>3</v>
      </c>
      <c r="C636">
        <v>50</v>
      </c>
      <c r="D636">
        <f>LOG10(E636)</f>
        <v>0.90579588036786851</v>
      </c>
      <c r="E636" s="3">
        <v>8.0500000000000007</v>
      </c>
    </row>
    <row r="637" spans="1:5" x14ac:dyDescent="0.2">
      <c r="A637">
        <v>1</v>
      </c>
      <c r="B637">
        <v>2</v>
      </c>
      <c r="C637">
        <v>50</v>
      </c>
      <c r="D637">
        <f>LOG10(E637)</f>
        <v>1.0211892990699381</v>
      </c>
      <c r="E637" s="3">
        <v>10.5</v>
      </c>
    </row>
    <row r="638" spans="1:5" x14ac:dyDescent="0.2">
      <c r="A638">
        <v>1</v>
      </c>
      <c r="B638">
        <v>2</v>
      </c>
      <c r="C638">
        <v>50</v>
      </c>
      <c r="D638">
        <f>LOG10(E638)</f>
        <v>1.0211892990699381</v>
      </c>
      <c r="E638" s="3">
        <v>10.5</v>
      </c>
    </row>
    <row r="639" spans="1:5" x14ac:dyDescent="0.2">
      <c r="A639">
        <v>0</v>
      </c>
      <c r="B639">
        <v>2</v>
      </c>
      <c r="C639">
        <v>50</v>
      </c>
      <c r="D639">
        <f>LOG10(E639)</f>
        <v>1.1139433523068367</v>
      </c>
      <c r="E639" s="3">
        <v>13</v>
      </c>
    </row>
    <row r="640" spans="1:5" x14ac:dyDescent="0.2">
      <c r="A640">
        <v>1</v>
      </c>
      <c r="B640">
        <v>2</v>
      </c>
      <c r="C640">
        <v>50</v>
      </c>
      <c r="D640">
        <f>LOG10(E640)</f>
        <v>1.414973347970818</v>
      </c>
      <c r="E640" s="3">
        <v>26</v>
      </c>
    </row>
    <row r="641" spans="1:5" x14ac:dyDescent="0.2">
      <c r="A641">
        <v>0</v>
      </c>
      <c r="B641">
        <v>1</v>
      </c>
      <c r="C641">
        <v>50</v>
      </c>
      <c r="D641">
        <f>LOG10(E641)</f>
        <v>1.4580710082030826</v>
      </c>
      <c r="E641" s="3">
        <v>28.712499999999999</v>
      </c>
    </row>
    <row r="642" spans="1:5" x14ac:dyDescent="0.2">
      <c r="A642">
        <v>0</v>
      </c>
      <c r="B642">
        <v>1</v>
      </c>
      <c r="C642">
        <v>50</v>
      </c>
      <c r="D642">
        <f>LOG10(E642)</f>
        <v>1.7474118078864234</v>
      </c>
      <c r="E642" s="3">
        <v>55.9</v>
      </c>
    </row>
    <row r="643" spans="1:5" x14ac:dyDescent="0.2">
      <c r="A643">
        <v>0</v>
      </c>
      <c r="B643">
        <v>1</v>
      </c>
      <c r="C643">
        <v>50</v>
      </c>
      <c r="D643">
        <f>LOG10(E643)</f>
        <v>2.0270436588491743</v>
      </c>
      <c r="E643" s="3">
        <v>106.425</v>
      </c>
    </row>
    <row r="644" spans="1:5" x14ac:dyDescent="0.2">
      <c r="A644">
        <v>1</v>
      </c>
      <c r="B644">
        <v>1</v>
      </c>
      <c r="C644">
        <v>50</v>
      </c>
      <c r="D644">
        <f>LOG10(E644)</f>
        <v>2.1259689630925562</v>
      </c>
      <c r="E644" s="3">
        <v>133.65</v>
      </c>
    </row>
    <row r="645" spans="1:5" x14ac:dyDescent="0.2">
      <c r="A645">
        <v>1</v>
      </c>
      <c r="B645">
        <v>1</v>
      </c>
      <c r="C645">
        <v>50</v>
      </c>
      <c r="D645">
        <f>LOG10(E645)</f>
        <v>2.3936117000197399</v>
      </c>
      <c r="E645" s="3">
        <v>247.52080000000001</v>
      </c>
    </row>
    <row r="646" spans="1:5" x14ac:dyDescent="0.2">
      <c r="A646">
        <v>0</v>
      </c>
      <c r="B646">
        <v>3</v>
      </c>
      <c r="C646">
        <v>51</v>
      </c>
      <c r="D646">
        <f>LOG10(E646)</f>
        <v>0.84844776858140869</v>
      </c>
      <c r="E646" s="3">
        <v>7.0541999999999998</v>
      </c>
    </row>
    <row r="647" spans="1:5" x14ac:dyDescent="0.2">
      <c r="A647">
        <v>0</v>
      </c>
      <c r="B647">
        <v>3</v>
      </c>
      <c r="C647">
        <v>51</v>
      </c>
      <c r="D647">
        <f>LOG10(E647)</f>
        <v>0.88930170250631024</v>
      </c>
      <c r="E647" s="3">
        <v>7.75</v>
      </c>
    </row>
    <row r="648" spans="1:5" x14ac:dyDescent="0.2">
      <c r="A648">
        <v>0</v>
      </c>
      <c r="B648">
        <v>3</v>
      </c>
      <c r="C648">
        <v>51</v>
      </c>
      <c r="D648">
        <f>LOG10(E648)</f>
        <v>0.90579588036786851</v>
      </c>
      <c r="E648" s="3">
        <v>8.0500000000000007</v>
      </c>
    </row>
    <row r="649" spans="1:5" x14ac:dyDescent="0.2">
      <c r="A649">
        <v>0</v>
      </c>
      <c r="B649">
        <v>2</v>
      </c>
      <c r="C649">
        <v>51</v>
      </c>
      <c r="D649">
        <f>LOG10(E649)</f>
        <v>1.0977777345392834</v>
      </c>
      <c r="E649" s="3">
        <v>12.525</v>
      </c>
    </row>
    <row r="650" spans="1:5" x14ac:dyDescent="0.2">
      <c r="A650">
        <v>1</v>
      </c>
      <c r="B650">
        <v>1</v>
      </c>
      <c r="C650">
        <v>51</v>
      </c>
      <c r="D650">
        <f>LOG10(E650)</f>
        <v>1.424064525417488</v>
      </c>
      <c r="E650" s="3">
        <v>26.55</v>
      </c>
    </row>
    <row r="651" spans="1:5" x14ac:dyDescent="0.2">
      <c r="A651">
        <v>0</v>
      </c>
      <c r="B651">
        <v>1</v>
      </c>
      <c r="C651">
        <v>51</v>
      </c>
      <c r="D651">
        <f>LOG10(E651)</f>
        <v>1.7880212236551114</v>
      </c>
      <c r="E651" s="3">
        <v>61.379199999999997</v>
      </c>
    </row>
    <row r="652" spans="1:5" x14ac:dyDescent="0.2">
      <c r="A652">
        <v>1</v>
      </c>
      <c r="B652">
        <v>1</v>
      </c>
      <c r="C652">
        <v>51</v>
      </c>
      <c r="D652">
        <f>LOG10(E652)</f>
        <v>1.8918623600932356</v>
      </c>
      <c r="E652" s="3">
        <v>77.958299999999994</v>
      </c>
    </row>
    <row r="653" spans="1:5" x14ac:dyDescent="0.2">
      <c r="A653">
        <v>0</v>
      </c>
      <c r="B653">
        <v>2</v>
      </c>
      <c r="C653">
        <v>52</v>
      </c>
      <c r="D653">
        <f>LOG10(E653)</f>
        <v>1.1139433523068367</v>
      </c>
      <c r="E653" s="3">
        <v>13</v>
      </c>
    </row>
    <row r="654" spans="1:5" x14ac:dyDescent="0.2">
      <c r="A654">
        <v>0</v>
      </c>
      <c r="B654">
        <v>2</v>
      </c>
      <c r="C654">
        <v>52</v>
      </c>
      <c r="D654">
        <f>LOG10(E654)</f>
        <v>1.1303337684950061</v>
      </c>
      <c r="E654" s="3">
        <v>13.5</v>
      </c>
    </row>
    <row r="655" spans="1:5" x14ac:dyDescent="0.2">
      <c r="A655">
        <v>1</v>
      </c>
      <c r="B655">
        <v>1</v>
      </c>
      <c r="C655">
        <v>52</v>
      </c>
      <c r="D655">
        <f>LOG10(E655)</f>
        <v>1.4842998393467859</v>
      </c>
      <c r="E655" s="3">
        <v>30.5</v>
      </c>
    </row>
    <row r="656" spans="1:5" x14ac:dyDescent="0.2">
      <c r="A656">
        <v>1</v>
      </c>
      <c r="B656">
        <v>1</v>
      </c>
      <c r="C656">
        <v>52</v>
      </c>
      <c r="D656">
        <f>LOG10(E656)</f>
        <v>1.8935770228194533</v>
      </c>
      <c r="E656" s="3">
        <v>78.2667</v>
      </c>
    </row>
    <row r="657" spans="1:5" x14ac:dyDescent="0.2">
      <c r="A657">
        <v>0</v>
      </c>
      <c r="B657">
        <v>1</v>
      </c>
      <c r="C657">
        <v>52</v>
      </c>
      <c r="D657">
        <f>LOG10(E657)</f>
        <v>1.9011857801371503</v>
      </c>
      <c r="E657" s="3">
        <v>79.650000000000006</v>
      </c>
    </row>
    <row r="658" spans="1:5" x14ac:dyDescent="0.2">
      <c r="A658">
        <v>1</v>
      </c>
      <c r="B658">
        <v>1</v>
      </c>
      <c r="C658">
        <v>52</v>
      </c>
      <c r="D658">
        <f>LOG10(E658)</f>
        <v>1.9708116108725178</v>
      </c>
      <c r="E658" s="3">
        <v>93.5</v>
      </c>
    </row>
    <row r="659" spans="1:5" x14ac:dyDescent="0.2">
      <c r="A659">
        <v>1</v>
      </c>
      <c r="B659">
        <v>1</v>
      </c>
      <c r="C659">
        <v>53</v>
      </c>
      <c r="D659">
        <f>LOG10(E659)</f>
        <v>1.7116317892369115</v>
      </c>
      <c r="E659" s="3">
        <v>51.479199999999999</v>
      </c>
    </row>
    <row r="660" spans="1:5" x14ac:dyDescent="0.2">
      <c r="A660">
        <v>0</v>
      </c>
      <c r="B660">
        <v>2</v>
      </c>
      <c r="C660">
        <v>54</v>
      </c>
      <c r="D660">
        <f>LOG10(E660)</f>
        <v>1.146128035678238</v>
      </c>
      <c r="E660" s="3">
        <v>14</v>
      </c>
    </row>
    <row r="661" spans="1:5" x14ac:dyDescent="0.2">
      <c r="A661">
        <v>1</v>
      </c>
      <c r="B661">
        <v>2</v>
      </c>
      <c r="C661">
        <v>54</v>
      </c>
      <c r="D661">
        <f>LOG10(E661)</f>
        <v>1.3617278360175928</v>
      </c>
      <c r="E661" s="3">
        <v>23</v>
      </c>
    </row>
    <row r="662" spans="1:5" x14ac:dyDescent="0.2">
      <c r="A662">
        <v>0</v>
      </c>
      <c r="B662">
        <v>2</v>
      </c>
      <c r="C662">
        <v>54</v>
      </c>
      <c r="D662">
        <f>LOG10(E662)</f>
        <v>1.414973347970818</v>
      </c>
      <c r="E662" s="3">
        <v>26</v>
      </c>
    </row>
    <row r="663" spans="1:5" x14ac:dyDescent="0.2">
      <c r="A663">
        <v>0</v>
      </c>
      <c r="B663">
        <v>2</v>
      </c>
      <c r="C663">
        <v>54</v>
      </c>
      <c r="D663">
        <f>LOG10(E663)</f>
        <v>1.414973347970818</v>
      </c>
      <c r="E663" s="3">
        <v>26</v>
      </c>
    </row>
    <row r="664" spans="1:5" x14ac:dyDescent="0.2">
      <c r="A664">
        <v>0</v>
      </c>
      <c r="B664">
        <v>1</v>
      </c>
      <c r="C664">
        <v>54</v>
      </c>
      <c r="D664">
        <f>LOG10(E664)</f>
        <v>1.7148534478370294</v>
      </c>
      <c r="E664" s="3">
        <v>51.862499999999997</v>
      </c>
    </row>
    <row r="665" spans="1:5" x14ac:dyDescent="0.2">
      <c r="A665">
        <v>1</v>
      </c>
      <c r="B665">
        <v>1</v>
      </c>
      <c r="C665">
        <v>54</v>
      </c>
      <c r="D665">
        <f>LOG10(E665)</f>
        <v>1.7737864449811935</v>
      </c>
      <c r="E665" s="3">
        <v>59.4</v>
      </c>
    </row>
    <row r="666" spans="1:5" x14ac:dyDescent="0.2">
      <c r="A666">
        <v>0</v>
      </c>
      <c r="B666">
        <v>1</v>
      </c>
      <c r="C666">
        <v>54</v>
      </c>
      <c r="D666">
        <f>LOG10(E666)</f>
        <v>1.8881092595069318</v>
      </c>
      <c r="E666" s="3">
        <v>77.287499999999994</v>
      </c>
    </row>
    <row r="667" spans="1:5" x14ac:dyDescent="0.2">
      <c r="A667">
        <v>1</v>
      </c>
      <c r="B667">
        <v>1</v>
      </c>
      <c r="C667">
        <v>54</v>
      </c>
      <c r="D667">
        <f>LOG10(E667)</f>
        <v>1.8935770228194533</v>
      </c>
      <c r="E667" s="3">
        <v>78.2667</v>
      </c>
    </row>
    <row r="668" spans="1:5" x14ac:dyDescent="0.2">
      <c r="A668">
        <v>1</v>
      </c>
      <c r="B668">
        <v>2</v>
      </c>
      <c r="C668">
        <v>55</v>
      </c>
      <c r="D668">
        <f>LOG10(E668)</f>
        <v>1.2041199826559248</v>
      </c>
      <c r="E668" s="3">
        <v>16</v>
      </c>
    </row>
    <row r="669" spans="1:5" x14ac:dyDescent="0.2">
      <c r="A669">
        <v>0</v>
      </c>
      <c r="B669">
        <v>1</v>
      </c>
      <c r="C669">
        <v>55</v>
      </c>
      <c r="D669">
        <f>LOG10(E669)</f>
        <v>1.4842998393467859</v>
      </c>
      <c r="E669" s="3">
        <v>30.5</v>
      </c>
    </row>
    <row r="670" spans="1:5" x14ac:dyDescent="0.2">
      <c r="A670">
        <v>0</v>
      </c>
      <c r="B670">
        <v>3</v>
      </c>
      <c r="C670">
        <v>55.5</v>
      </c>
      <c r="D670">
        <f>LOG10(E670)</f>
        <v>0.90579588036786851</v>
      </c>
      <c r="E670" s="3">
        <v>8.0500000000000007</v>
      </c>
    </row>
    <row r="671" spans="1:5" x14ac:dyDescent="0.2">
      <c r="A671">
        <v>0</v>
      </c>
      <c r="B671">
        <v>1</v>
      </c>
      <c r="C671">
        <v>56</v>
      </c>
      <c r="D671">
        <f>LOG10(E671)</f>
        <v>1.424064525417488</v>
      </c>
      <c r="E671" s="3">
        <v>26.55</v>
      </c>
    </row>
    <row r="672" spans="1:5" x14ac:dyDescent="0.2">
      <c r="A672">
        <v>0</v>
      </c>
      <c r="B672">
        <v>1</v>
      </c>
      <c r="C672">
        <v>56</v>
      </c>
      <c r="D672">
        <f>LOG10(E672)</f>
        <v>1.4870789565323452</v>
      </c>
      <c r="E672" s="3">
        <v>30.695799999999998</v>
      </c>
    </row>
    <row r="673" spans="1:5" x14ac:dyDescent="0.2">
      <c r="A673">
        <v>1</v>
      </c>
      <c r="B673">
        <v>1</v>
      </c>
      <c r="C673">
        <v>56</v>
      </c>
      <c r="D673">
        <f>LOG10(E673)</f>
        <v>1.550228353055094</v>
      </c>
      <c r="E673" s="3">
        <v>35.5</v>
      </c>
    </row>
    <row r="674" spans="1:5" x14ac:dyDescent="0.2">
      <c r="A674">
        <v>1</v>
      </c>
      <c r="B674">
        <v>1</v>
      </c>
      <c r="C674">
        <v>56</v>
      </c>
      <c r="D674">
        <f>LOG10(E674)</f>
        <v>1.9199056024948609</v>
      </c>
      <c r="E674" s="3">
        <v>83.158299999999997</v>
      </c>
    </row>
    <row r="675" spans="1:5" x14ac:dyDescent="0.2">
      <c r="A675">
        <v>0</v>
      </c>
      <c r="B675">
        <v>2</v>
      </c>
      <c r="C675">
        <v>57</v>
      </c>
      <c r="D675">
        <f>LOG10(E675)</f>
        <v>1.0211892990699381</v>
      </c>
      <c r="E675" s="3">
        <v>10.5</v>
      </c>
    </row>
    <row r="676" spans="1:5" x14ac:dyDescent="0.2">
      <c r="A676">
        <v>0</v>
      </c>
      <c r="B676">
        <v>2</v>
      </c>
      <c r="C676">
        <v>57</v>
      </c>
      <c r="D676">
        <f>LOG10(E676)</f>
        <v>1.0916669575956846</v>
      </c>
      <c r="E676" s="3">
        <v>12.35</v>
      </c>
    </row>
    <row r="677" spans="1:5" x14ac:dyDescent="0.2">
      <c r="A677">
        <v>1</v>
      </c>
      <c r="B677">
        <v>1</v>
      </c>
      <c r="C677">
        <v>58</v>
      </c>
      <c r="D677">
        <f>LOG10(E677)</f>
        <v>1.424064525417488</v>
      </c>
      <c r="E677" s="3">
        <v>26.55</v>
      </c>
    </row>
    <row r="678" spans="1:5" x14ac:dyDescent="0.2">
      <c r="A678">
        <v>0</v>
      </c>
      <c r="B678">
        <v>1</v>
      </c>
      <c r="C678">
        <v>58</v>
      </c>
      <c r="D678">
        <f>LOG10(E678)</f>
        <v>1.4727564493172123</v>
      </c>
      <c r="E678" s="3">
        <v>29.7</v>
      </c>
    </row>
    <row r="679" spans="1:5" x14ac:dyDescent="0.2">
      <c r="A679">
        <v>0</v>
      </c>
      <c r="B679">
        <v>1</v>
      </c>
      <c r="C679">
        <v>58</v>
      </c>
      <c r="D679">
        <f>LOG10(E679)</f>
        <v>2.0541340708512235</v>
      </c>
      <c r="E679" s="3">
        <v>113.27500000000001</v>
      </c>
    </row>
    <row r="680" spans="1:5" x14ac:dyDescent="0.2">
      <c r="A680">
        <v>1</v>
      </c>
      <c r="B680">
        <v>1</v>
      </c>
      <c r="C680">
        <v>58</v>
      </c>
      <c r="D680">
        <f>LOG10(E680)</f>
        <v>2.1658992812362761</v>
      </c>
      <c r="E680" s="3">
        <v>146.52080000000001</v>
      </c>
    </row>
    <row r="681" spans="1:5" x14ac:dyDescent="0.2">
      <c r="A681">
        <v>1</v>
      </c>
      <c r="B681">
        <v>1</v>
      </c>
      <c r="C681">
        <v>58</v>
      </c>
      <c r="D681">
        <f>LOG10(E681)</f>
        <v>2.1860022688507756</v>
      </c>
      <c r="E681" s="3">
        <v>153.46250000000001</v>
      </c>
    </row>
    <row r="682" spans="1:5" x14ac:dyDescent="0.2">
      <c r="A682">
        <v>0</v>
      </c>
      <c r="B682">
        <v>3</v>
      </c>
      <c r="C682">
        <v>59</v>
      </c>
      <c r="D682">
        <f>LOG10(E682)</f>
        <v>0.86033800657099369</v>
      </c>
      <c r="E682" s="3">
        <v>7.25</v>
      </c>
    </row>
    <row r="683" spans="1:5" x14ac:dyDescent="0.2">
      <c r="A683">
        <v>0</v>
      </c>
      <c r="B683">
        <v>2</v>
      </c>
      <c r="C683">
        <v>59</v>
      </c>
      <c r="D683">
        <f>LOG10(E683)</f>
        <v>1.1303337684950061</v>
      </c>
      <c r="E683" s="3">
        <v>13.5</v>
      </c>
    </row>
    <row r="684" spans="1:5" x14ac:dyDescent="0.2">
      <c r="A684">
        <v>0</v>
      </c>
      <c r="B684">
        <v>1</v>
      </c>
      <c r="C684">
        <v>60</v>
      </c>
      <c r="D684">
        <f>LOG10(E684)</f>
        <v>1.424064525417488</v>
      </c>
      <c r="E684" s="3">
        <v>26.55</v>
      </c>
    </row>
    <row r="685" spans="1:5" x14ac:dyDescent="0.2">
      <c r="A685">
        <v>0</v>
      </c>
      <c r="B685">
        <v>2</v>
      </c>
      <c r="C685">
        <v>60</v>
      </c>
      <c r="D685">
        <f>LOG10(E685)</f>
        <v>1.5910646070264991</v>
      </c>
      <c r="E685" s="3">
        <v>39</v>
      </c>
    </row>
    <row r="686" spans="1:5" x14ac:dyDescent="0.2">
      <c r="A686">
        <v>1</v>
      </c>
      <c r="B686">
        <v>1</v>
      </c>
      <c r="C686">
        <v>60</v>
      </c>
      <c r="D686">
        <f>LOG10(E686)</f>
        <v>1.8765065042658811</v>
      </c>
      <c r="E686" s="3">
        <v>75.25</v>
      </c>
    </row>
    <row r="687" spans="1:5" x14ac:dyDescent="0.2">
      <c r="A687">
        <v>1</v>
      </c>
      <c r="B687">
        <v>1</v>
      </c>
      <c r="C687">
        <v>60</v>
      </c>
      <c r="D687">
        <f>LOG10(E687)</f>
        <v>1.8987251815894934</v>
      </c>
      <c r="E687" s="3">
        <v>79.2</v>
      </c>
    </row>
    <row r="688" spans="1:5" x14ac:dyDescent="0.2">
      <c r="A688">
        <v>0</v>
      </c>
      <c r="B688">
        <v>3</v>
      </c>
      <c r="C688">
        <v>61</v>
      </c>
      <c r="D688">
        <f>LOG10(E688)</f>
        <v>0.79501055863144632</v>
      </c>
      <c r="E688" s="3">
        <v>6.2374999999999998</v>
      </c>
    </row>
    <row r="689" spans="1:5" x14ac:dyDescent="0.2">
      <c r="A689">
        <v>0</v>
      </c>
      <c r="B689">
        <v>1</v>
      </c>
      <c r="C689">
        <v>61</v>
      </c>
      <c r="D689">
        <f>LOG10(E689)</f>
        <v>1.5094821018329212</v>
      </c>
      <c r="E689" s="3">
        <v>32.320799999999998</v>
      </c>
    </row>
    <row r="690" spans="1:5" x14ac:dyDescent="0.2">
      <c r="A690">
        <v>0</v>
      </c>
      <c r="B690">
        <v>1</v>
      </c>
      <c r="C690">
        <v>61</v>
      </c>
      <c r="D690">
        <f>LOG10(E690)</f>
        <v>1.5250448070368452</v>
      </c>
      <c r="E690" s="3">
        <v>33.5</v>
      </c>
    </row>
    <row r="691" spans="1:5" x14ac:dyDescent="0.2">
      <c r="A691">
        <v>1</v>
      </c>
      <c r="B691">
        <v>2</v>
      </c>
      <c r="C691">
        <v>62</v>
      </c>
      <c r="D691">
        <f>LOG10(E691)</f>
        <v>1.0211892990699381</v>
      </c>
      <c r="E691" s="3">
        <v>10.5</v>
      </c>
    </row>
    <row r="692" spans="1:5" x14ac:dyDescent="0.2">
      <c r="A692">
        <v>0</v>
      </c>
      <c r="B692">
        <v>1</v>
      </c>
      <c r="C692">
        <v>62</v>
      </c>
      <c r="D692">
        <f>LOG10(E692)</f>
        <v>1.424064525417488</v>
      </c>
      <c r="E692" s="3">
        <v>26.55</v>
      </c>
    </row>
    <row r="693" spans="1:5" x14ac:dyDescent="0.2">
      <c r="A693">
        <v>0</v>
      </c>
      <c r="B693">
        <v>1</v>
      </c>
      <c r="C693">
        <v>62</v>
      </c>
      <c r="D693">
        <f>LOG10(E693)</f>
        <v>1.424064525417488</v>
      </c>
      <c r="E693" s="3">
        <v>26.55</v>
      </c>
    </row>
    <row r="694" spans="1:5" x14ac:dyDescent="0.2">
      <c r="A694">
        <v>1</v>
      </c>
      <c r="B694">
        <v>1</v>
      </c>
      <c r="C694">
        <v>62</v>
      </c>
      <c r="D694">
        <f>LOG10(E694)</f>
        <v>1.9030899869919435</v>
      </c>
      <c r="E694" s="3">
        <v>80</v>
      </c>
    </row>
    <row r="695" spans="1:5" x14ac:dyDescent="0.2">
      <c r="A695">
        <v>1</v>
      </c>
      <c r="B695">
        <v>3</v>
      </c>
      <c r="C695">
        <v>63</v>
      </c>
      <c r="D695">
        <f>LOG10(E695)</f>
        <v>0.98170537695703741</v>
      </c>
      <c r="E695" s="3">
        <v>9.5875000000000004</v>
      </c>
    </row>
    <row r="696" spans="1:5" x14ac:dyDescent="0.2">
      <c r="A696">
        <v>1</v>
      </c>
      <c r="B696">
        <v>1</v>
      </c>
      <c r="C696">
        <v>63</v>
      </c>
      <c r="D696">
        <f>LOG10(E696)</f>
        <v>1.8918623600932356</v>
      </c>
      <c r="E696" s="3">
        <v>77.958299999999994</v>
      </c>
    </row>
    <row r="697" spans="1:5" x14ac:dyDescent="0.2">
      <c r="A697">
        <v>0</v>
      </c>
      <c r="B697">
        <v>1</v>
      </c>
      <c r="C697">
        <v>64</v>
      </c>
      <c r="D697">
        <f>LOG10(E697)</f>
        <v>1.414973347970818</v>
      </c>
      <c r="E697" s="3">
        <v>26</v>
      </c>
    </row>
    <row r="698" spans="1:5" x14ac:dyDescent="0.2">
      <c r="A698">
        <v>0</v>
      </c>
      <c r="B698">
        <v>1</v>
      </c>
      <c r="C698">
        <v>64</v>
      </c>
      <c r="D698">
        <f>LOG10(E698)</f>
        <v>2.419955748489758</v>
      </c>
      <c r="E698" s="3">
        <v>263</v>
      </c>
    </row>
    <row r="699" spans="1:5" x14ac:dyDescent="0.2">
      <c r="A699">
        <v>0</v>
      </c>
      <c r="B699">
        <v>3</v>
      </c>
      <c r="C699">
        <v>65</v>
      </c>
      <c r="D699">
        <f>LOG10(E699)</f>
        <v>0.88930170250631024</v>
      </c>
      <c r="E699" s="3">
        <v>7.75</v>
      </c>
    </row>
    <row r="700" spans="1:5" x14ac:dyDescent="0.2">
      <c r="A700">
        <v>0</v>
      </c>
      <c r="B700">
        <v>1</v>
      </c>
      <c r="C700">
        <v>65</v>
      </c>
      <c r="D700">
        <f>LOG10(E700)</f>
        <v>1.424064525417488</v>
      </c>
      <c r="E700" s="3">
        <v>26.55</v>
      </c>
    </row>
    <row r="701" spans="1:5" x14ac:dyDescent="0.2">
      <c r="A701">
        <v>0</v>
      </c>
      <c r="B701">
        <v>1</v>
      </c>
      <c r="C701">
        <v>65</v>
      </c>
      <c r="D701">
        <f>LOG10(E701)</f>
        <v>1.79224596625906</v>
      </c>
      <c r="E701" s="3">
        <v>61.979199999999999</v>
      </c>
    </row>
    <row r="702" spans="1:5" x14ac:dyDescent="0.2">
      <c r="A702">
        <v>0</v>
      </c>
      <c r="B702">
        <v>2</v>
      </c>
      <c r="C702">
        <v>66</v>
      </c>
      <c r="D702">
        <f>LOG10(E702)</f>
        <v>1.0211892990699381</v>
      </c>
      <c r="E702" s="3">
        <v>10.5</v>
      </c>
    </row>
    <row r="703" spans="1:5" x14ac:dyDescent="0.2">
      <c r="A703">
        <v>0</v>
      </c>
      <c r="B703">
        <v>2</v>
      </c>
      <c r="C703">
        <v>70</v>
      </c>
      <c r="D703">
        <f>LOG10(E703)</f>
        <v>1.0211892990699381</v>
      </c>
      <c r="E703" s="3">
        <v>10.5</v>
      </c>
    </row>
    <row r="704" spans="1:5" x14ac:dyDescent="0.2">
      <c r="A704">
        <v>0</v>
      </c>
      <c r="B704">
        <v>1</v>
      </c>
      <c r="C704">
        <v>70</v>
      </c>
      <c r="D704">
        <f>LOG10(E704)</f>
        <v>1.8512583487190752</v>
      </c>
      <c r="E704" s="3">
        <v>71</v>
      </c>
    </row>
    <row r="705" spans="1:5" x14ac:dyDescent="0.2">
      <c r="A705">
        <v>0</v>
      </c>
      <c r="B705">
        <v>3</v>
      </c>
      <c r="C705">
        <v>70.5</v>
      </c>
      <c r="D705">
        <f>LOG10(E705)</f>
        <v>0.88930170250631024</v>
      </c>
      <c r="E705" s="3">
        <v>7.75</v>
      </c>
    </row>
    <row r="706" spans="1:5" x14ac:dyDescent="0.2">
      <c r="A706">
        <v>0</v>
      </c>
      <c r="B706">
        <v>1</v>
      </c>
      <c r="C706">
        <v>71</v>
      </c>
      <c r="D706">
        <f>LOG10(E706)</f>
        <v>1.5397558775130562</v>
      </c>
      <c r="E706" s="3">
        <v>34.654200000000003</v>
      </c>
    </row>
    <row r="707" spans="1:5" x14ac:dyDescent="0.2">
      <c r="A707">
        <v>0</v>
      </c>
      <c r="B707">
        <v>1</v>
      </c>
      <c r="C707">
        <v>71</v>
      </c>
      <c r="D707">
        <f>LOG10(E707)</f>
        <v>1.6946420465991241</v>
      </c>
      <c r="E707" s="3">
        <v>49.504199999999997</v>
      </c>
    </row>
    <row r="708" spans="1:5" x14ac:dyDescent="0.2">
      <c r="A708">
        <v>0</v>
      </c>
      <c r="B708">
        <v>3</v>
      </c>
      <c r="C708">
        <v>74</v>
      </c>
      <c r="D708">
        <f>LOG10(E708)</f>
        <v>0.8907003976988751</v>
      </c>
      <c r="E708" s="3">
        <v>7.7750000000000004</v>
      </c>
    </row>
    <row r="709" spans="1:5" x14ac:dyDescent="0.2">
      <c r="A709">
        <v>1</v>
      </c>
      <c r="B709">
        <v>1</v>
      </c>
      <c r="C709">
        <v>80</v>
      </c>
      <c r="D709">
        <f>LOG10(E709)</f>
        <v>1.4771212547196624</v>
      </c>
      <c r="E709" s="3">
        <v>30</v>
      </c>
    </row>
  </sheetData>
  <autoFilter ref="D1:D894" xr:uid="{09185CD6-A224-044F-8F62-790E5BC1B68C}"/>
  <sortState xmlns:xlrd2="http://schemas.microsoft.com/office/spreadsheetml/2017/richdata2" ref="A2:E710">
    <sortCondition ref="C2:C710"/>
    <sortCondition ref="E2:E710"/>
  </sortState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>
      <selection activeCell="H20" sqref="H20"/>
    </sheetView>
  </sheetViews>
  <sheetFormatPr baseColWidth="10" defaultRowHeight="16" x14ac:dyDescent="0.2"/>
  <sheetData>
    <row r="1" spans="1:3" x14ac:dyDescent="0.2">
      <c r="A1" t="s">
        <v>1253</v>
      </c>
    </row>
    <row r="2" spans="1:3" ht="17" thickBot="1" x14ac:dyDescent="0.25"/>
    <row r="3" spans="1:3" x14ac:dyDescent="0.2">
      <c r="A3" s="2"/>
      <c r="B3" s="2">
        <v>0</v>
      </c>
      <c r="C3" s="2">
        <v>7.25</v>
      </c>
    </row>
    <row r="4" spans="1:3" x14ac:dyDescent="0.2">
      <c r="A4" t="s">
        <v>1254</v>
      </c>
      <c r="B4">
        <v>0.38755020080321284</v>
      </c>
      <c r="C4">
        <v>31.879759839357387</v>
      </c>
    </row>
    <row r="5" spans="1:3" x14ac:dyDescent="0.2">
      <c r="A5" t="s">
        <v>1255</v>
      </c>
      <c r="B5">
        <v>0.23783261819915477</v>
      </c>
      <c r="C5">
        <v>2273.0689238068385</v>
      </c>
    </row>
    <row r="6" spans="1:3" x14ac:dyDescent="0.2">
      <c r="A6" t="s">
        <v>1228</v>
      </c>
      <c r="B6">
        <v>498</v>
      </c>
      <c r="C6">
        <v>498</v>
      </c>
    </row>
    <row r="7" spans="1:3" x14ac:dyDescent="0.2">
      <c r="A7" t="s">
        <v>1256</v>
      </c>
      <c r="B7">
        <v>1136.6533782125189</v>
      </c>
    </row>
    <row r="8" spans="1:3" x14ac:dyDescent="0.2">
      <c r="A8" t="s">
        <v>1257</v>
      </c>
      <c r="B8">
        <v>0</v>
      </c>
    </row>
    <row r="9" spans="1:3" x14ac:dyDescent="0.2">
      <c r="A9" t="s">
        <v>1234</v>
      </c>
      <c r="B9">
        <v>994</v>
      </c>
    </row>
    <row r="10" spans="1:3" x14ac:dyDescent="0.2">
      <c r="A10" t="s">
        <v>1240</v>
      </c>
      <c r="B10">
        <v>-14.739704734882226</v>
      </c>
    </row>
    <row r="11" spans="1:3" x14ac:dyDescent="0.2">
      <c r="A11" t="s">
        <v>1258</v>
      </c>
      <c r="B11">
        <v>6.3902659656254036E-45</v>
      </c>
    </row>
    <row r="12" spans="1:3" x14ac:dyDescent="0.2">
      <c r="A12" t="s">
        <v>1259</v>
      </c>
      <c r="B12">
        <v>1.6463880323021438</v>
      </c>
    </row>
    <row r="13" spans="1:3" x14ac:dyDescent="0.2">
      <c r="A13" t="s">
        <v>1260</v>
      </c>
      <c r="B13">
        <v>1.2780531931250807E-44</v>
      </c>
    </row>
    <row r="14" spans="1:3" ht="17" thickBot="1" x14ac:dyDescent="0.25">
      <c r="A14" s="1" t="s">
        <v>1261</v>
      </c>
      <c r="B14" s="1">
        <v>1.962353434594907</v>
      </c>
      <c r="C14" s="1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"/>
  <sheetViews>
    <sheetView workbookViewId="0">
      <selection activeCell="H22" sqref="H22"/>
    </sheetView>
  </sheetViews>
  <sheetFormatPr baseColWidth="10" defaultRowHeight="16" x14ac:dyDescent="0.2"/>
  <sheetData>
    <row r="1" spans="1:3" x14ac:dyDescent="0.2">
      <c r="A1" s="2"/>
      <c r="B1" s="2" t="s">
        <v>2</v>
      </c>
      <c r="C1" s="2" t="s">
        <v>5</v>
      </c>
    </row>
    <row r="2" spans="1:3" x14ac:dyDescent="0.2">
      <c r="A2" t="s">
        <v>2</v>
      </c>
      <c r="B2">
        <v>1</v>
      </c>
    </row>
    <row r="3" spans="1:3" ht="17" thickBot="1" x14ac:dyDescent="0.25">
      <c r="A3" s="1" t="s">
        <v>5</v>
      </c>
      <c r="B3" s="1">
        <v>-0.37243198220261825</v>
      </c>
      <c r="C3" s="1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92"/>
  <sheetViews>
    <sheetView workbookViewId="0">
      <selection activeCell="C1" sqref="C1:C1048576"/>
    </sheetView>
  </sheetViews>
  <sheetFormatPr baseColWidth="10" defaultRowHeight="16" x14ac:dyDescent="0.2"/>
  <sheetData>
    <row r="1" spans="1:2" x14ac:dyDescent="0.2">
      <c r="A1" t="s">
        <v>2</v>
      </c>
      <c r="B1" t="s">
        <v>5</v>
      </c>
    </row>
    <row r="2" spans="1:2" x14ac:dyDescent="0.2">
      <c r="A2">
        <v>3</v>
      </c>
      <c r="B2">
        <v>22</v>
      </c>
    </row>
    <row r="3" spans="1:2" x14ac:dyDescent="0.2">
      <c r="A3">
        <v>1</v>
      </c>
      <c r="B3">
        <v>38</v>
      </c>
    </row>
    <row r="4" spans="1:2" x14ac:dyDescent="0.2">
      <c r="A4">
        <v>3</v>
      </c>
      <c r="B4">
        <v>26</v>
      </c>
    </row>
    <row r="5" spans="1:2" x14ac:dyDescent="0.2">
      <c r="A5">
        <v>1</v>
      </c>
      <c r="B5">
        <v>35</v>
      </c>
    </row>
    <row r="6" spans="1:2" x14ac:dyDescent="0.2">
      <c r="A6">
        <v>3</v>
      </c>
      <c r="B6">
        <v>35</v>
      </c>
    </row>
    <row r="7" spans="1:2" x14ac:dyDescent="0.2">
      <c r="A7">
        <v>3</v>
      </c>
    </row>
    <row r="8" spans="1:2" x14ac:dyDescent="0.2">
      <c r="A8">
        <v>1</v>
      </c>
      <c r="B8">
        <v>54</v>
      </c>
    </row>
    <row r="9" spans="1:2" x14ac:dyDescent="0.2">
      <c r="A9">
        <v>3</v>
      </c>
      <c r="B9">
        <v>2</v>
      </c>
    </row>
    <row r="10" spans="1:2" x14ac:dyDescent="0.2">
      <c r="A10">
        <v>3</v>
      </c>
      <c r="B10">
        <v>27</v>
      </c>
    </row>
    <row r="11" spans="1:2" x14ac:dyDescent="0.2">
      <c r="A11">
        <v>2</v>
      </c>
      <c r="B11">
        <v>14</v>
      </c>
    </row>
    <row r="12" spans="1:2" x14ac:dyDescent="0.2">
      <c r="A12">
        <v>3</v>
      </c>
      <c r="B12">
        <v>4</v>
      </c>
    </row>
    <row r="13" spans="1:2" x14ac:dyDescent="0.2">
      <c r="A13">
        <v>1</v>
      </c>
      <c r="B13">
        <v>58</v>
      </c>
    </row>
    <row r="14" spans="1:2" x14ac:dyDescent="0.2">
      <c r="A14">
        <v>3</v>
      </c>
      <c r="B14">
        <v>20</v>
      </c>
    </row>
    <row r="15" spans="1:2" x14ac:dyDescent="0.2">
      <c r="A15">
        <v>3</v>
      </c>
      <c r="B15">
        <v>39</v>
      </c>
    </row>
    <row r="16" spans="1:2" x14ac:dyDescent="0.2">
      <c r="A16">
        <v>3</v>
      </c>
      <c r="B16">
        <v>14</v>
      </c>
    </row>
    <row r="17" spans="1:2" x14ac:dyDescent="0.2">
      <c r="A17">
        <v>2</v>
      </c>
      <c r="B17">
        <v>55</v>
      </c>
    </row>
    <row r="18" spans="1:2" x14ac:dyDescent="0.2">
      <c r="A18">
        <v>3</v>
      </c>
      <c r="B18">
        <v>2</v>
      </c>
    </row>
    <row r="19" spans="1:2" x14ac:dyDescent="0.2">
      <c r="A19">
        <v>2</v>
      </c>
    </row>
    <row r="20" spans="1:2" x14ac:dyDescent="0.2">
      <c r="A20">
        <v>3</v>
      </c>
      <c r="B20">
        <v>31</v>
      </c>
    </row>
    <row r="21" spans="1:2" x14ac:dyDescent="0.2">
      <c r="A21">
        <v>3</v>
      </c>
    </row>
    <row r="22" spans="1:2" x14ac:dyDescent="0.2">
      <c r="A22">
        <v>2</v>
      </c>
      <c r="B22">
        <v>35</v>
      </c>
    </row>
    <row r="23" spans="1:2" x14ac:dyDescent="0.2">
      <c r="A23">
        <v>2</v>
      </c>
      <c r="B23">
        <v>34</v>
      </c>
    </row>
    <row r="24" spans="1:2" x14ac:dyDescent="0.2">
      <c r="A24">
        <v>3</v>
      </c>
      <c r="B24">
        <v>15</v>
      </c>
    </row>
    <row r="25" spans="1:2" x14ac:dyDescent="0.2">
      <c r="A25">
        <v>1</v>
      </c>
      <c r="B25">
        <v>28</v>
      </c>
    </row>
    <row r="26" spans="1:2" x14ac:dyDescent="0.2">
      <c r="A26">
        <v>3</v>
      </c>
      <c r="B26">
        <v>8</v>
      </c>
    </row>
    <row r="27" spans="1:2" x14ac:dyDescent="0.2">
      <c r="A27">
        <v>3</v>
      </c>
      <c r="B27">
        <v>38</v>
      </c>
    </row>
    <row r="28" spans="1:2" x14ac:dyDescent="0.2">
      <c r="A28">
        <v>3</v>
      </c>
    </row>
    <row r="29" spans="1:2" x14ac:dyDescent="0.2">
      <c r="A29">
        <v>1</v>
      </c>
      <c r="B29">
        <v>19</v>
      </c>
    </row>
    <row r="30" spans="1:2" x14ac:dyDescent="0.2">
      <c r="A30">
        <v>3</v>
      </c>
    </row>
    <row r="31" spans="1:2" x14ac:dyDescent="0.2">
      <c r="A31">
        <v>3</v>
      </c>
    </row>
    <row r="32" spans="1:2" x14ac:dyDescent="0.2">
      <c r="A32">
        <v>1</v>
      </c>
      <c r="B32">
        <v>40</v>
      </c>
    </row>
    <row r="33" spans="1:2" x14ac:dyDescent="0.2">
      <c r="A33">
        <v>1</v>
      </c>
    </row>
    <row r="34" spans="1:2" x14ac:dyDescent="0.2">
      <c r="A34">
        <v>3</v>
      </c>
    </row>
    <row r="35" spans="1:2" x14ac:dyDescent="0.2">
      <c r="A35">
        <v>2</v>
      </c>
      <c r="B35">
        <v>66</v>
      </c>
    </row>
    <row r="36" spans="1:2" x14ac:dyDescent="0.2">
      <c r="A36">
        <v>1</v>
      </c>
      <c r="B36">
        <v>28</v>
      </c>
    </row>
    <row r="37" spans="1:2" x14ac:dyDescent="0.2">
      <c r="A37">
        <v>1</v>
      </c>
      <c r="B37">
        <v>42</v>
      </c>
    </row>
    <row r="38" spans="1:2" x14ac:dyDescent="0.2">
      <c r="A38">
        <v>3</v>
      </c>
    </row>
    <row r="39" spans="1:2" x14ac:dyDescent="0.2">
      <c r="A39">
        <v>3</v>
      </c>
      <c r="B39">
        <v>21</v>
      </c>
    </row>
    <row r="40" spans="1:2" x14ac:dyDescent="0.2">
      <c r="A40">
        <v>3</v>
      </c>
      <c r="B40">
        <v>18</v>
      </c>
    </row>
    <row r="41" spans="1:2" x14ac:dyDescent="0.2">
      <c r="A41">
        <v>3</v>
      </c>
      <c r="B41">
        <v>14</v>
      </c>
    </row>
    <row r="42" spans="1:2" x14ac:dyDescent="0.2">
      <c r="A42">
        <v>3</v>
      </c>
      <c r="B42">
        <v>40</v>
      </c>
    </row>
    <row r="43" spans="1:2" x14ac:dyDescent="0.2">
      <c r="A43">
        <v>2</v>
      </c>
      <c r="B43">
        <v>27</v>
      </c>
    </row>
    <row r="44" spans="1:2" x14ac:dyDescent="0.2">
      <c r="A44">
        <v>3</v>
      </c>
    </row>
    <row r="45" spans="1:2" x14ac:dyDescent="0.2">
      <c r="A45">
        <v>2</v>
      </c>
      <c r="B45">
        <v>3</v>
      </c>
    </row>
    <row r="46" spans="1:2" x14ac:dyDescent="0.2">
      <c r="A46">
        <v>3</v>
      </c>
      <c r="B46">
        <v>19</v>
      </c>
    </row>
    <row r="47" spans="1:2" x14ac:dyDescent="0.2">
      <c r="A47">
        <v>3</v>
      </c>
    </row>
    <row r="48" spans="1:2" x14ac:dyDescent="0.2">
      <c r="A48">
        <v>3</v>
      </c>
    </row>
    <row r="49" spans="1:2" x14ac:dyDescent="0.2">
      <c r="A49">
        <v>3</v>
      </c>
    </row>
    <row r="50" spans="1:2" x14ac:dyDescent="0.2">
      <c r="A50">
        <v>3</v>
      </c>
    </row>
    <row r="51" spans="1:2" x14ac:dyDescent="0.2">
      <c r="A51">
        <v>3</v>
      </c>
      <c r="B51">
        <v>18</v>
      </c>
    </row>
    <row r="52" spans="1:2" x14ac:dyDescent="0.2">
      <c r="A52">
        <v>3</v>
      </c>
      <c r="B52">
        <v>7</v>
      </c>
    </row>
    <row r="53" spans="1:2" x14ac:dyDescent="0.2">
      <c r="A53">
        <v>3</v>
      </c>
      <c r="B53">
        <v>21</v>
      </c>
    </row>
    <row r="54" spans="1:2" x14ac:dyDescent="0.2">
      <c r="A54">
        <v>1</v>
      </c>
      <c r="B54">
        <v>49</v>
      </c>
    </row>
    <row r="55" spans="1:2" x14ac:dyDescent="0.2">
      <c r="A55">
        <v>2</v>
      </c>
      <c r="B55">
        <v>29</v>
      </c>
    </row>
    <row r="56" spans="1:2" x14ac:dyDescent="0.2">
      <c r="A56">
        <v>1</v>
      </c>
      <c r="B56">
        <v>65</v>
      </c>
    </row>
    <row r="57" spans="1:2" x14ac:dyDescent="0.2">
      <c r="A57">
        <v>1</v>
      </c>
    </row>
    <row r="58" spans="1:2" x14ac:dyDescent="0.2">
      <c r="A58">
        <v>2</v>
      </c>
      <c r="B58">
        <v>21</v>
      </c>
    </row>
    <row r="59" spans="1:2" x14ac:dyDescent="0.2">
      <c r="A59">
        <v>3</v>
      </c>
      <c r="B59">
        <v>28.5</v>
      </c>
    </row>
    <row r="60" spans="1:2" x14ac:dyDescent="0.2">
      <c r="A60">
        <v>2</v>
      </c>
      <c r="B60">
        <v>5</v>
      </c>
    </row>
    <row r="61" spans="1:2" x14ac:dyDescent="0.2">
      <c r="A61">
        <v>3</v>
      </c>
      <c r="B61">
        <v>11</v>
      </c>
    </row>
    <row r="62" spans="1:2" x14ac:dyDescent="0.2">
      <c r="A62">
        <v>3</v>
      </c>
      <c r="B62">
        <v>22</v>
      </c>
    </row>
    <row r="63" spans="1:2" x14ac:dyDescent="0.2">
      <c r="A63">
        <v>1</v>
      </c>
      <c r="B63">
        <v>38</v>
      </c>
    </row>
    <row r="64" spans="1:2" x14ac:dyDescent="0.2">
      <c r="A64">
        <v>1</v>
      </c>
      <c r="B64">
        <v>45</v>
      </c>
    </row>
    <row r="65" spans="1:2" x14ac:dyDescent="0.2">
      <c r="A65">
        <v>3</v>
      </c>
      <c r="B65">
        <v>4</v>
      </c>
    </row>
    <row r="66" spans="1:2" x14ac:dyDescent="0.2">
      <c r="A66">
        <v>1</v>
      </c>
    </row>
    <row r="67" spans="1:2" x14ac:dyDescent="0.2">
      <c r="A67">
        <v>3</v>
      </c>
    </row>
    <row r="68" spans="1:2" x14ac:dyDescent="0.2">
      <c r="A68">
        <v>2</v>
      </c>
      <c r="B68">
        <v>29</v>
      </c>
    </row>
    <row r="69" spans="1:2" x14ac:dyDescent="0.2">
      <c r="A69">
        <v>3</v>
      </c>
      <c r="B69">
        <v>19</v>
      </c>
    </row>
    <row r="70" spans="1:2" x14ac:dyDescent="0.2">
      <c r="A70">
        <v>3</v>
      </c>
      <c r="B70">
        <v>17</v>
      </c>
    </row>
    <row r="71" spans="1:2" x14ac:dyDescent="0.2">
      <c r="A71">
        <v>3</v>
      </c>
      <c r="B71">
        <v>26</v>
      </c>
    </row>
    <row r="72" spans="1:2" x14ac:dyDescent="0.2">
      <c r="A72">
        <v>2</v>
      </c>
      <c r="B72">
        <v>32</v>
      </c>
    </row>
    <row r="73" spans="1:2" x14ac:dyDescent="0.2">
      <c r="A73">
        <v>3</v>
      </c>
      <c r="B73">
        <v>16</v>
      </c>
    </row>
    <row r="74" spans="1:2" x14ac:dyDescent="0.2">
      <c r="A74">
        <v>2</v>
      </c>
      <c r="B74">
        <v>21</v>
      </c>
    </row>
    <row r="75" spans="1:2" x14ac:dyDescent="0.2">
      <c r="A75">
        <v>3</v>
      </c>
      <c r="B75">
        <v>26</v>
      </c>
    </row>
    <row r="76" spans="1:2" x14ac:dyDescent="0.2">
      <c r="A76">
        <v>3</v>
      </c>
      <c r="B76">
        <v>32</v>
      </c>
    </row>
    <row r="77" spans="1:2" x14ac:dyDescent="0.2">
      <c r="A77">
        <v>3</v>
      </c>
      <c r="B77">
        <v>25</v>
      </c>
    </row>
    <row r="78" spans="1:2" x14ac:dyDescent="0.2">
      <c r="A78">
        <v>3</v>
      </c>
    </row>
    <row r="79" spans="1:2" x14ac:dyDescent="0.2">
      <c r="A79">
        <v>3</v>
      </c>
    </row>
    <row r="80" spans="1:2" x14ac:dyDescent="0.2">
      <c r="A80">
        <v>2</v>
      </c>
      <c r="B80">
        <v>0.83</v>
      </c>
    </row>
    <row r="81" spans="1:2" x14ac:dyDescent="0.2">
      <c r="A81">
        <v>3</v>
      </c>
      <c r="B81">
        <v>30</v>
      </c>
    </row>
    <row r="82" spans="1:2" x14ac:dyDescent="0.2">
      <c r="A82">
        <v>3</v>
      </c>
      <c r="B82">
        <v>22</v>
      </c>
    </row>
    <row r="83" spans="1:2" x14ac:dyDescent="0.2">
      <c r="A83">
        <v>3</v>
      </c>
      <c r="B83">
        <v>29</v>
      </c>
    </row>
    <row r="84" spans="1:2" x14ac:dyDescent="0.2">
      <c r="A84">
        <v>3</v>
      </c>
    </row>
    <row r="85" spans="1:2" x14ac:dyDescent="0.2">
      <c r="A85">
        <v>1</v>
      </c>
      <c r="B85">
        <v>28</v>
      </c>
    </row>
    <row r="86" spans="1:2" x14ac:dyDescent="0.2">
      <c r="A86">
        <v>2</v>
      </c>
      <c r="B86">
        <v>17</v>
      </c>
    </row>
    <row r="87" spans="1:2" x14ac:dyDescent="0.2">
      <c r="A87">
        <v>3</v>
      </c>
      <c r="B87">
        <v>33</v>
      </c>
    </row>
    <row r="88" spans="1:2" x14ac:dyDescent="0.2">
      <c r="A88">
        <v>3</v>
      </c>
      <c r="B88">
        <v>16</v>
      </c>
    </row>
    <row r="89" spans="1:2" x14ac:dyDescent="0.2">
      <c r="A89">
        <v>3</v>
      </c>
    </row>
    <row r="90" spans="1:2" x14ac:dyDescent="0.2">
      <c r="A90">
        <v>1</v>
      </c>
      <c r="B90">
        <v>23</v>
      </c>
    </row>
    <row r="91" spans="1:2" x14ac:dyDescent="0.2">
      <c r="A91">
        <v>3</v>
      </c>
      <c r="B91">
        <v>24</v>
      </c>
    </row>
    <row r="92" spans="1:2" x14ac:dyDescent="0.2">
      <c r="A92">
        <v>3</v>
      </c>
      <c r="B92">
        <v>29</v>
      </c>
    </row>
    <row r="93" spans="1:2" x14ac:dyDescent="0.2">
      <c r="A93">
        <v>3</v>
      </c>
      <c r="B93">
        <v>20</v>
      </c>
    </row>
    <row r="94" spans="1:2" x14ac:dyDescent="0.2">
      <c r="A94">
        <v>1</v>
      </c>
      <c r="B94">
        <v>46</v>
      </c>
    </row>
    <row r="95" spans="1:2" x14ac:dyDescent="0.2">
      <c r="A95">
        <v>3</v>
      </c>
      <c r="B95">
        <v>26</v>
      </c>
    </row>
    <row r="96" spans="1:2" x14ac:dyDescent="0.2">
      <c r="A96">
        <v>3</v>
      </c>
      <c r="B96">
        <v>59</v>
      </c>
    </row>
    <row r="97" spans="1:2" x14ac:dyDescent="0.2">
      <c r="A97">
        <v>3</v>
      </c>
    </row>
    <row r="98" spans="1:2" x14ac:dyDescent="0.2">
      <c r="A98">
        <v>1</v>
      </c>
      <c r="B98">
        <v>71</v>
      </c>
    </row>
    <row r="99" spans="1:2" x14ac:dyDescent="0.2">
      <c r="A99">
        <v>1</v>
      </c>
      <c r="B99">
        <v>23</v>
      </c>
    </row>
    <row r="100" spans="1:2" x14ac:dyDescent="0.2">
      <c r="A100">
        <v>2</v>
      </c>
      <c r="B100">
        <v>34</v>
      </c>
    </row>
    <row r="101" spans="1:2" x14ac:dyDescent="0.2">
      <c r="A101">
        <v>2</v>
      </c>
      <c r="B101">
        <v>34</v>
      </c>
    </row>
    <row r="102" spans="1:2" x14ac:dyDescent="0.2">
      <c r="A102">
        <v>3</v>
      </c>
      <c r="B102">
        <v>28</v>
      </c>
    </row>
    <row r="103" spans="1:2" x14ac:dyDescent="0.2">
      <c r="A103">
        <v>3</v>
      </c>
    </row>
    <row r="104" spans="1:2" x14ac:dyDescent="0.2">
      <c r="A104">
        <v>1</v>
      </c>
      <c r="B104">
        <v>21</v>
      </c>
    </row>
    <row r="105" spans="1:2" x14ac:dyDescent="0.2">
      <c r="A105">
        <v>3</v>
      </c>
      <c r="B105">
        <v>33</v>
      </c>
    </row>
    <row r="106" spans="1:2" x14ac:dyDescent="0.2">
      <c r="A106">
        <v>3</v>
      </c>
      <c r="B106">
        <v>37</v>
      </c>
    </row>
    <row r="107" spans="1:2" x14ac:dyDescent="0.2">
      <c r="A107">
        <v>3</v>
      </c>
      <c r="B107">
        <v>28</v>
      </c>
    </row>
    <row r="108" spans="1:2" x14ac:dyDescent="0.2">
      <c r="A108">
        <v>3</v>
      </c>
      <c r="B108">
        <v>21</v>
      </c>
    </row>
    <row r="109" spans="1:2" x14ac:dyDescent="0.2">
      <c r="A109">
        <v>3</v>
      </c>
    </row>
    <row r="110" spans="1:2" x14ac:dyDescent="0.2">
      <c r="A110">
        <v>3</v>
      </c>
      <c r="B110">
        <v>38</v>
      </c>
    </row>
    <row r="111" spans="1:2" x14ac:dyDescent="0.2">
      <c r="A111">
        <v>3</v>
      </c>
    </row>
    <row r="112" spans="1:2" x14ac:dyDescent="0.2">
      <c r="A112">
        <v>1</v>
      </c>
      <c r="B112">
        <v>47</v>
      </c>
    </row>
    <row r="113" spans="1:2" x14ac:dyDescent="0.2">
      <c r="A113">
        <v>3</v>
      </c>
      <c r="B113">
        <v>14.5</v>
      </c>
    </row>
    <row r="114" spans="1:2" x14ac:dyDescent="0.2">
      <c r="A114">
        <v>3</v>
      </c>
      <c r="B114">
        <v>22</v>
      </c>
    </row>
    <row r="115" spans="1:2" x14ac:dyDescent="0.2">
      <c r="A115">
        <v>3</v>
      </c>
      <c r="B115">
        <v>20</v>
      </c>
    </row>
    <row r="116" spans="1:2" x14ac:dyDescent="0.2">
      <c r="A116">
        <v>3</v>
      </c>
      <c r="B116">
        <v>17</v>
      </c>
    </row>
    <row r="117" spans="1:2" x14ac:dyDescent="0.2">
      <c r="A117">
        <v>3</v>
      </c>
      <c r="B117">
        <v>21</v>
      </c>
    </row>
    <row r="118" spans="1:2" x14ac:dyDescent="0.2">
      <c r="A118">
        <v>3</v>
      </c>
      <c r="B118">
        <v>70.5</v>
      </c>
    </row>
    <row r="119" spans="1:2" x14ac:dyDescent="0.2">
      <c r="A119">
        <v>2</v>
      </c>
      <c r="B119">
        <v>29</v>
      </c>
    </row>
    <row r="120" spans="1:2" x14ac:dyDescent="0.2">
      <c r="A120">
        <v>1</v>
      </c>
      <c r="B120">
        <v>24</v>
      </c>
    </row>
    <row r="121" spans="1:2" x14ac:dyDescent="0.2">
      <c r="A121">
        <v>3</v>
      </c>
      <c r="B121">
        <v>2</v>
      </c>
    </row>
    <row r="122" spans="1:2" x14ac:dyDescent="0.2">
      <c r="A122">
        <v>2</v>
      </c>
      <c r="B122">
        <v>21</v>
      </c>
    </row>
    <row r="123" spans="1:2" x14ac:dyDescent="0.2">
      <c r="A123">
        <v>3</v>
      </c>
    </row>
    <row r="124" spans="1:2" x14ac:dyDescent="0.2">
      <c r="A124">
        <v>2</v>
      </c>
      <c r="B124">
        <v>32.5</v>
      </c>
    </row>
    <row r="125" spans="1:2" x14ac:dyDescent="0.2">
      <c r="A125">
        <v>2</v>
      </c>
      <c r="B125">
        <v>32.5</v>
      </c>
    </row>
    <row r="126" spans="1:2" x14ac:dyDescent="0.2">
      <c r="A126">
        <v>1</v>
      </c>
      <c r="B126">
        <v>54</v>
      </c>
    </row>
    <row r="127" spans="1:2" x14ac:dyDescent="0.2">
      <c r="A127">
        <v>3</v>
      </c>
      <c r="B127">
        <v>12</v>
      </c>
    </row>
    <row r="128" spans="1:2" x14ac:dyDescent="0.2">
      <c r="A128">
        <v>3</v>
      </c>
    </row>
    <row r="129" spans="1:2" x14ac:dyDescent="0.2">
      <c r="A129">
        <v>3</v>
      </c>
      <c r="B129">
        <v>24</v>
      </c>
    </row>
    <row r="130" spans="1:2" x14ac:dyDescent="0.2">
      <c r="A130">
        <v>3</v>
      </c>
    </row>
    <row r="131" spans="1:2" x14ac:dyDescent="0.2">
      <c r="A131">
        <v>3</v>
      </c>
      <c r="B131">
        <v>45</v>
      </c>
    </row>
    <row r="132" spans="1:2" x14ac:dyDescent="0.2">
      <c r="A132">
        <v>3</v>
      </c>
      <c r="B132">
        <v>33</v>
      </c>
    </row>
    <row r="133" spans="1:2" x14ac:dyDescent="0.2">
      <c r="A133">
        <v>3</v>
      </c>
      <c r="B133">
        <v>20</v>
      </c>
    </row>
    <row r="134" spans="1:2" x14ac:dyDescent="0.2">
      <c r="A134">
        <v>3</v>
      </c>
      <c r="B134">
        <v>47</v>
      </c>
    </row>
    <row r="135" spans="1:2" x14ac:dyDescent="0.2">
      <c r="A135">
        <v>2</v>
      </c>
      <c r="B135">
        <v>29</v>
      </c>
    </row>
    <row r="136" spans="1:2" x14ac:dyDescent="0.2">
      <c r="A136">
        <v>2</v>
      </c>
      <c r="B136">
        <v>25</v>
      </c>
    </row>
    <row r="137" spans="1:2" x14ac:dyDescent="0.2">
      <c r="A137">
        <v>2</v>
      </c>
      <c r="B137">
        <v>23</v>
      </c>
    </row>
    <row r="138" spans="1:2" x14ac:dyDescent="0.2">
      <c r="A138">
        <v>1</v>
      </c>
      <c r="B138">
        <v>19</v>
      </c>
    </row>
    <row r="139" spans="1:2" x14ac:dyDescent="0.2">
      <c r="A139">
        <v>1</v>
      </c>
      <c r="B139">
        <v>37</v>
      </c>
    </row>
    <row r="140" spans="1:2" x14ac:dyDescent="0.2">
      <c r="A140">
        <v>3</v>
      </c>
      <c r="B140">
        <v>16</v>
      </c>
    </row>
    <row r="141" spans="1:2" x14ac:dyDescent="0.2">
      <c r="A141">
        <v>1</v>
      </c>
      <c r="B141">
        <v>24</v>
      </c>
    </row>
    <row r="142" spans="1:2" x14ac:dyDescent="0.2">
      <c r="A142">
        <v>3</v>
      </c>
    </row>
    <row r="143" spans="1:2" x14ac:dyDescent="0.2">
      <c r="A143">
        <v>3</v>
      </c>
      <c r="B143">
        <v>22</v>
      </c>
    </row>
    <row r="144" spans="1:2" x14ac:dyDescent="0.2">
      <c r="A144">
        <v>3</v>
      </c>
      <c r="B144">
        <v>24</v>
      </c>
    </row>
    <row r="145" spans="1:2" x14ac:dyDescent="0.2">
      <c r="A145">
        <v>3</v>
      </c>
      <c r="B145">
        <v>19</v>
      </c>
    </row>
    <row r="146" spans="1:2" x14ac:dyDescent="0.2">
      <c r="A146">
        <v>2</v>
      </c>
      <c r="B146">
        <v>18</v>
      </c>
    </row>
    <row r="147" spans="1:2" x14ac:dyDescent="0.2">
      <c r="A147">
        <v>2</v>
      </c>
      <c r="B147">
        <v>19</v>
      </c>
    </row>
    <row r="148" spans="1:2" x14ac:dyDescent="0.2">
      <c r="A148">
        <v>3</v>
      </c>
      <c r="B148">
        <v>27</v>
      </c>
    </row>
    <row r="149" spans="1:2" x14ac:dyDescent="0.2">
      <c r="A149">
        <v>3</v>
      </c>
      <c r="B149">
        <v>9</v>
      </c>
    </row>
    <row r="150" spans="1:2" x14ac:dyDescent="0.2">
      <c r="A150">
        <v>2</v>
      </c>
      <c r="B150">
        <v>36.5</v>
      </c>
    </row>
    <row r="151" spans="1:2" x14ac:dyDescent="0.2">
      <c r="A151">
        <v>2</v>
      </c>
      <c r="B151">
        <v>42</v>
      </c>
    </row>
    <row r="152" spans="1:2" x14ac:dyDescent="0.2">
      <c r="A152">
        <v>2</v>
      </c>
      <c r="B152">
        <v>51</v>
      </c>
    </row>
    <row r="153" spans="1:2" x14ac:dyDescent="0.2">
      <c r="A153">
        <v>1</v>
      </c>
      <c r="B153">
        <v>22</v>
      </c>
    </row>
    <row r="154" spans="1:2" x14ac:dyDescent="0.2">
      <c r="A154">
        <v>3</v>
      </c>
      <c r="B154">
        <v>55.5</v>
      </c>
    </row>
    <row r="155" spans="1:2" x14ac:dyDescent="0.2">
      <c r="A155">
        <v>3</v>
      </c>
      <c r="B155">
        <v>40.5</v>
      </c>
    </row>
    <row r="156" spans="1:2" x14ac:dyDescent="0.2">
      <c r="A156">
        <v>3</v>
      </c>
    </row>
    <row r="157" spans="1:2" x14ac:dyDescent="0.2">
      <c r="A157">
        <v>1</v>
      </c>
      <c r="B157">
        <v>51</v>
      </c>
    </row>
    <row r="158" spans="1:2" x14ac:dyDescent="0.2">
      <c r="A158">
        <v>3</v>
      </c>
      <c r="B158">
        <v>16</v>
      </c>
    </row>
    <row r="159" spans="1:2" x14ac:dyDescent="0.2">
      <c r="A159">
        <v>3</v>
      </c>
      <c r="B159">
        <v>30</v>
      </c>
    </row>
    <row r="160" spans="1:2" x14ac:dyDescent="0.2">
      <c r="A160">
        <v>3</v>
      </c>
    </row>
    <row r="161" spans="1:2" x14ac:dyDescent="0.2">
      <c r="A161">
        <v>3</v>
      </c>
    </row>
    <row r="162" spans="1:2" x14ac:dyDescent="0.2">
      <c r="A162">
        <v>3</v>
      </c>
      <c r="B162">
        <v>44</v>
      </c>
    </row>
    <row r="163" spans="1:2" x14ac:dyDescent="0.2">
      <c r="A163">
        <v>2</v>
      </c>
      <c r="B163">
        <v>40</v>
      </c>
    </row>
    <row r="164" spans="1:2" x14ac:dyDescent="0.2">
      <c r="A164">
        <v>3</v>
      </c>
      <c r="B164">
        <v>26</v>
      </c>
    </row>
    <row r="165" spans="1:2" x14ac:dyDescent="0.2">
      <c r="A165">
        <v>3</v>
      </c>
      <c r="B165">
        <v>17</v>
      </c>
    </row>
    <row r="166" spans="1:2" x14ac:dyDescent="0.2">
      <c r="A166">
        <v>3</v>
      </c>
      <c r="B166">
        <v>1</v>
      </c>
    </row>
    <row r="167" spans="1:2" x14ac:dyDescent="0.2">
      <c r="A167">
        <v>3</v>
      </c>
      <c r="B167">
        <v>9</v>
      </c>
    </row>
    <row r="168" spans="1:2" x14ac:dyDescent="0.2">
      <c r="A168">
        <v>1</v>
      </c>
    </row>
    <row r="169" spans="1:2" x14ac:dyDescent="0.2">
      <c r="A169">
        <v>3</v>
      </c>
      <c r="B169">
        <v>45</v>
      </c>
    </row>
    <row r="170" spans="1:2" x14ac:dyDescent="0.2">
      <c r="A170">
        <v>1</v>
      </c>
    </row>
    <row r="171" spans="1:2" x14ac:dyDescent="0.2">
      <c r="A171">
        <v>3</v>
      </c>
      <c r="B171">
        <v>28</v>
      </c>
    </row>
    <row r="172" spans="1:2" x14ac:dyDescent="0.2">
      <c r="A172">
        <v>1</v>
      </c>
      <c r="B172">
        <v>61</v>
      </c>
    </row>
    <row r="173" spans="1:2" x14ac:dyDescent="0.2">
      <c r="A173">
        <v>3</v>
      </c>
      <c r="B173">
        <v>4</v>
      </c>
    </row>
    <row r="174" spans="1:2" x14ac:dyDescent="0.2">
      <c r="A174">
        <v>3</v>
      </c>
      <c r="B174">
        <v>1</v>
      </c>
    </row>
    <row r="175" spans="1:2" x14ac:dyDescent="0.2">
      <c r="A175">
        <v>3</v>
      </c>
      <c r="B175">
        <v>21</v>
      </c>
    </row>
    <row r="176" spans="1:2" x14ac:dyDescent="0.2">
      <c r="A176">
        <v>1</v>
      </c>
      <c r="B176">
        <v>56</v>
      </c>
    </row>
    <row r="177" spans="1:2" x14ac:dyDescent="0.2">
      <c r="A177">
        <v>3</v>
      </c>
      <c r="B177">
        <v>18</v>
      </c>
    </row>
    <row r="178" spans="1:2" x14ac:dyDescent="0.2">
      <c r="A178">
        <v>3</v>
      </c>
    </row>
    <row r="179" spans="1:2" x14ac:dyDescent="0.2">
      <c r="A179">
        <v>1</v>
      </c>
      <c r="B179">
        <v>50</v>
      </c>
    </row>
    <row r="180" spans="1:2" x14ac:dyDescent="0.2">
      <c r="A180">
        <v>2</v>
      </c>
      <c r="B180">
        <v>30</v>
      </c>
    </row>
    <row r="181" spans="1:2" x14ac:dyDescent="0.2">
      <c r="A181">
        <v>3</v>
      </c>
      <c r="B181">
        <v>36</v>
      </c>
    </row>
    <row r="182" spans="1:2" x14ac:dyDescent="0.2">
      <c r="A182">
        <v>3</v>
      </c>
    </row>
    <row r="183" spans="1:2" x14ac:dyDescent="0.2">
      <c r="A183">
        <v>2</v>
      </c>
    </row>
    <row r="184" spans="1:2" x14ac:dyDescent="0.2">
      <c r="A184">
        <v>3</v>
      </c>
      <c r="B184">
        <v>9</v>
      </c>
    </row>
    <row r="185" spans="1:2" x14ac:dyDescent="0.2">
      <c r="A185">
        <v>2</v>
      </c>
      <c r="B185">
        <v>1</v>
      </c>
    </row>
    <row r="186" spans="1:2" x14ac:dyDescent="0.2">
      <c r="A186">
        <v>3</v>
      </c>
      <c r="B186">
        <v>4</v>
      </c>
    </row>
    <row r="187" spans="1:2" x14ac:dyDescent="0.2">
      <c r="A187">
        <v>1</v>
      </c>
    </row>
    <row r="188" spans="1:2" x14ac:dyDescent="0.2">
      <c r="A188">
        <v>3</v>
      </c>
    </row>
    <row r="189" spans="1:2" x14ac:dyDescent="0.2">
      <c r="A189">
        <v>1</v>
      </c>
      <c r="B189">
        <v>45</v>
      </c>
    </row>
    <row r="190" spans="1:2" x14ac:dyDescent="0.2">
      <c r="A190">
        <v>3</v>
      </c>
      <c r="B190">
        <v>40</v>
      </c>
    </row>
    <row r="191" spans="1:2" x14ac:dyDescent="0.2">
      <c r="A191">
        <v>3</v>
      </c>
      <c r="B191">
        <v>36</v>
      </c>
    </row>
    <row r="192" spans="1:2" x14ac:dyDescent="0.2">
      <c r="A192">
        <v>2</v>
      </c>
      <c r="B192">
        <v>32</v>
      </c>
    </row>
    <row r="193" spans="1:2" x14ac:dyDescent="0.2">
      <c r="A193">
        <v>2</v>
      </c>
      <c r="B193">
        <v>19</v>
      </c>
    </row>
    <row r="194" spans="1:2" x14ac:dyDescent="0.2">
      <c r="A194">
        <v>3</v>
      </c>
      <c r="B194">
        <v>19</v>
      </c>
    </row>
    <row r="195" spans="1:2" x14ac:dyDescent="0.2">
      <c r="A195">
        <v>2</v>
      </c>
      <c r="B195">
        <v>3</v>
      </c>
    </row>
    <row r="196" spans="1:2" x14ac:dyDescent="0.2">
      <c r="A196">
        <v>1</v>
      </c>
      <c r="B196">
        <v>44</v>
      </c>
    </row>
    <row r="197" spans="1:2" x14ac:dyDescent="0.2">
      <c r="A197">
        <v>1</v>
      </c>
      <c r="B197">
        <v>58</v>
      </c>
    </row>
    <row r="198" spans="1:2" x14ac:dyDescent="0.2">
      <c r="A198">
        <v>3</v>
      </c>
    </row>
    <row r="199" spans="1:2" x14ac:dyDescent="0.2">
      <c r="A199">
        <v>3</v>
      </c>
      <c r="B199">
        <v>42</v>
      </c>
    </row>
    <row r="200" spans="1:2" x14ac:dyDescent="0.2">
      <c r="A200">
        <v>3</v>
      </c>
    </row>
    <row r="201" spans="1:2" x14ac:dyDescent="0.2">
      <c r="A201">
        <v>2</v>
      </c>
      <c r="B201">
        <v>24</v>
      </c>
    </row>
    <row r="202" spans="1:2" x14ac:dyDescent="0.2">
      <c r="A202">
        <v>3</v>
      </c>
      <c r="B202">
        <v>28</v>
      </c>
    </row>
    <row r="203" spans="1:2" x14ac:dyDescent="0.2">
      <c r="A203">
        <v>3</v>
      </c>
    </row>
    <row r="204" spans="1:2" x14ac:dyDescent="0.2">
      <c r="A204">
        <v>3</v>
      </c>
      <c r="B204">
        <v>34</v>
      </c>
    </row>
    <row r="205" spans="1:2" x14ac:dyDescent="0.2">
      <c r="A205">
        <v>3</v>
      </c>
      <c r="B205">
        <v>45.5</v>
      </c>
    </row>
    <row r="206" spans="1:2" x14ac:dyDescent="0.2">
      <c r="A206">
        <v>3</v>
      </c>
      <c r="B206">
        <v>18</v>
      </c>
    </row>
    <row r="207" spans="1:2" x14ac:dyDescent="0.2">
      <c r="A207">
        <v>3</v>
      </c>
      <c r="B207">
        <v>2</v>
      </c>
    </row>
    <row r="208" spans="1:2" x14ac:dyDescent="0.2">
      <c r="A208">
        <v>3</v>
      </c>
      <c r="B208">
        <v>32</v>
      </c>
    </row>
    <row r="209" spans="1:2" x14ac:dyDescent="0.2">
      <c r="A209">
        <v>3</v>
      </c>
      <c r="B209">
        <v>26</v>
      </c>
    </row>
    <row r="210" spans="1:2" x14ac:dyDescent="0.2">
      <c r="A210">
        <v>3</v>
      </c>
      <c r="B210">
        <v>16</v>
      </c>
    </row>
    <row r="211" spans="1:2" x14ac:dyDescent="0.2">
      <c r="A211">
        <v>1</v>
      </c>
      <c r="B211">
        <v>40</v>
      </c>
    </row>
    <row r="212" spans="1:2" x14ac:dyDescent="0.2">
      <c r="A212">
        <v>3</v>
      </c>
      <c r="B212">
        <v>24</v>
      </c>
    </row>
    <row r="213" spans="1:2" x14ac:dyDescent="0.2">
      <c r="A213">
        <v>2</v>
      </c>
      <c r="B213">
        <v>35</v>
      </c>
    </row>
    <row r="214" spans="1:2" x14ac:dyDescent="0.2">
      <c r="A214">
        <v>3</v>
      </c>
      <c r="B214">
        <v>22</v>
      </c>
    </row>
    <row r="215" spans="1:2" x14ac:dyDescent="0.2">
      <c r="A215">
        <v>2</v>
      </c>
      <c r="B215">
        <v>30</v>
      </c>
    </row>
    <row r="216" spans="1:2" x14ac:dyDescent="0.2">
      <c r="A216">
        <v>3</v>
      </c>
    </row>
    <row r="217" spans="1:2" x14ac:dyDescent="0.2">
      <c r="A217">
        <v>1</v>
      </c>
      <c r="B217">
        <v>31</v>
      </c>
    </row>
    <row r="218" spans="1:2" x14ac:dyDescent="0.2">
      <c r="A218">
        <v>3</v>
      </c>
      <c r="B218">
        <v>27</v>
      </c>
    </row>
    <row r="219" spans="1:2" x14ac:dyDescent="0.2">
      <c r="A219">
        <v>2</v>
      </c>
      <c r="B219">
        <v>42</v>
      </c>
    </row>
    <row r="220" spans="1:2" x14ac:dyDescent="0.2">
      <c r="A220">
        <v>1</v>
      </c>
      <c r="B220">
        <v>32</v>
      </c>
    </row>
    <row r="221" spans="1:2" x14ac:dyDescent="0.2">
      <c r="A221">
        <v>2</v>
      </c>
      <c r="B221">
        <v>30</v>
      </c>
    </row>
    <row r="222" spans="1:2" x14ac:dyDescent="0.2">
      <c r="A222">
        <v>3</v>
      </c>
      <c r="B222">
        <v>16</v>
      </c>
    </row>
    <row r="223" spans="1:2" x14ac:dyDescent="0.2">
      <c r="A223">
        <v>2</v>
      </c>
      <c r="B223">
        <v>27</v>
      </c>
    </row>
    <row r="224" spans="1:2" x14ac:dyDescent="0.2">
      <c r="A224">
        <v>3</v>
      </c>
      <c r="B224">
        <v>51</v>
      </c>
    </row>
    <row r="225" spans="1:2" x14ac:dyDescent="0.2">
      <c r="A225">
        <v>3</v>
      </c>
    </row>
    <row r="226" spans="1:2" x14ac:dyDescent="0.2">
      <c r="A226">
        <v>1</v>
      </c>
      <c r="B226">
        <v>38</v>
      </c>
    </row>
    <row r="227" spans="1:2" x14ac:dyDescent="0.2">
      <c r="A227">
        <v>3</v>
      </c>
      <c r="B227">
        <v>22</v>
      </c>
    </row>
    <row r="228" spans="1:2" x14ac:dyDescent="0.2">
      <c r="A228">
        <v>2</v>
      </c>
      <c r="B228">
        <v>19</v>
      </c>
    </row>
    <row r="229" spans="1:2" x14ac:dyDescent="0.2">
      <c r="A229">
        <v>3</v>
      </c>
      <c r="B229">
        <v>20.5</v>
      </c>
    </row>
    <row r="230" spans="1:2" x14ac:dyDescent="0.2">
      <c r="A230">
        <v>2</v>
      </c>
      <c r="B230">
        <v>18</v>
      </c>
    </row>
    <row r="231" spans="1:2" x14ac:dyDescent="0.2">
      <c r="A231">
        <v>3</v>
      </c>
    </row>
    <row r="232" spans="1:2" x14ac:dyDescent="0.2">
      <c r="A232">
        <v>1</v>
      </c>
      <c r="B232">
        <v>35</v>
      </c>
    </row>
    <row r="233" spans="1:2" x14ac:dyDescent="0.2">
      <c r="A233">
        <v>3</v>
      </c>
      <c r="B233">
        <v>29</v>
      </c>
    </row>
    <row r="234" spans="1:2" x14ac:dyDescent="0.2">
      <c r="A234">
        <v>2</v>
      </c>
      <c r="B234">
        <v>59</v>
      </c>
    </row>
    <row r="235" spans="1:2" x14ac:dyDescent="0.2">
      <c r="A235">
        <v>3</v>
      </c>
      <c r="B235">
        <v>5</v>
      </c>
    </row>
    <row r="236" spans="1:2" x14ac:dyDescent="0.2">
      <c r="A236">
        <v>2</v>
      </c>
      <c r="B236">
        <v>24</v>
      </c>
    </row>
    <row r="237" spans="1:2" x14ac:dyDescent="0.2">
      <c r="A237">
        <v>3</v>
      </c>
    </row>
    <row r="238" spans="1:2" x14ac:dyDescent="0.2">
      <c r="A238">
        <v>2</v>
      </c>
      <c r="B238">
        <v>44</v>
      </c>
    </row>
    <row r="239" spans="1:2" x14ac:dyDescent="0.2">
      <c r="A239">
        <v>2</v>
      </c>
      <c r="B239">
        <v>8</v>
      </c>
    </row>
    <row r="240" spans="1:2" x14ac:dyDescent="0.2">
      <c r="A240">
        <v>2</v>
      </c>
      <c r="B240">
        <v>19</v>
      </c>
    </row>
    <row r="241" spans="1:2" x14ac:dyDescent="0.2">
      <c r="A241">
        <v>2</v>
      </c>
      <c r="B241">
        <v>33</v>
      </c>
    </row>
    <row r="242" spans="1:2" x14ac:dyDescent="0.2">
      <c r="A242">
        <v>3</v>
      </c>
    </row>
    <row r="243" spans="1:2" x14ac:dyDescent="0.2">
      <c r="A243">
        <v>3</v>
      </c>
    </row>
    <row r="244" spans="1:2" x14ac:dyDescent="0.2">
      <c r="A244">
        <v>2</v>
      </c>
      <c r="B244">
        <v>29</v>
      </c>
    </row>
    <row r="245" spans="1:2" x14ac:dyDescent="0.2">
      <c r="A245">
        <v>3</v>
      </c>
      <c r="B245">
        <v>22</v>
      </c>
    </row>
    <row r="246" spans="1:2" x14ac:dyDescent="0.2">
      <c r="A246">
        <v>3</v>
      </c>
      <c r="B246">
        <v>30</v>
      </c>
    </row>
    <row r="247" spans="1:2" x14ac:dyDescent="0.2">
      <c r="A247">
        <v>1</v>
      </c>
      <c r="B247">
        <v>44</v>
      </c>
    </row>
    <row r="248" spans="1:2" x14ac:dyDescent="0.2">
      <c r="A248">
        <v>3</v>
      </c>
      <c r="B248">
        <v>25</v>
      </c>
    </row>
    <row r="249" spans="1:2" x14ac:dyDescent="0.2">
      <c r="A249">
        <v>2</v>
      </c>
      <c r="B249">
        <v>24</v>
      </c>
    </row>
    <row r="250" spans="1:2" x14ac:dyDescent="0.2">
      <c r="A250">
        <v>1</v>
      </c>
      <c r="B250">
        <v>37</v>
      </c>
    </row>
    <row r="251" spans="1:2" x14ac:dyDescent="0.2">
      <c r="A251">
        <v>2</v>
      </c>
      <c r="B251">
        <v>54</v>
      </c>
    </row>
    <row r="252" spans="1:2" x14ac:dyDescent="0.2">
      <c r="A252">
        <v>3</v>
      </c>
    </row>
    <row r="253" spans="1:2" x14ac:dyDescent="0.2">
      <c r="A253">
        <v>3</v>
      </c>
      <c r="B253">
        <v>29</v>
      </c>
    </row>
    <row r="254" spans="1:2" x14ac:dyDescent="0.2">
      <c r="A254">
        <v>1</v>
      </c>
      <c r="B254">
        <v>62</v>
      </c>
    </row>
    <row r="255" spans="1:2" x14ac:dyDescent="0.2">
      <c r="A255">
        <v>3</v>
      </c>
      <c r="B255">
        <v>30</v>
      </c>
    </row>
    <row r="256" spans="1:2" x14ac:dyDescent="0.2">
      <c r="A256">
        <v>3</v>
      </c>
      <c r="B256">
        <v>41</v>
      </c>
    </row>
    <row r="257" spans="1:2" x14ac:dyDescent="0.2">
      <c r="A257">
        <v>3</v>
      </c>
      <c r="B257">
        <v>29</v>
      </c>
    </row>
    <row r="258" spans="1:2" x14ac:dyDescent="0.2">
      <c r="A258">
        <v>1</v>
      </c>
    </row>
    <row r="259" spans="1:2" x14ac:dyDescent="0.2">
      <c r="A259">
        <v>1</v>
      </c>
      <c r="B259">
        <v>30</v>
      </c>
    </row>
    <row r="260" spans="1:2" x14ac:dyDescent="0.2">
      <c r="A260">
        <v>1</v>
      </c>
      <c r="B260">
        <v>35</v>
      </c>
    </row>
    <row r="261" spans="1:2" x14ac:dyDescent="0.2">
      <c r="A261">
        <v>2</v>
      </c>
      <c r="B261">
        <v>50</v>
      </c>
    </row>
    <row r="262" spans="1:2" x14ac:dyDescent="0.2">
      <c r="A262">
        <v>3</v>
      </c>
    </row>
    <row r="263" spans="1:2" x14ac:dyDescent="0.2">
      <c r="A263">
        <v>3</v>
      </c>
      <c r="B263">
        <v>3</v>
      </c>
    </row>
    <row r="264" spans="1:2" x14ac:dyDescent="0.2">
      <c r="A264">
        <v>1</v>
      </c>
      <c r="B264">
        <v>52</v>
      </c>
    </row>
    <row r="265" spans="1:2" x14ac:dyDescent="0.2">
      <c r="A265">
        <v>1</v>
      </c>
      <c r="B265">
        <v>40</v>
      </c>
    </row>
    <row r="266" spans="1:2" x14ac:dyDescent="0.2">
      <c r="A266">
        <v>3</v>
      </c>
    </row>
    <row r="267" spans="1:2" x14ac:dyDescent="0.2">
      <c r="A267">
        <v>2</v>
      </c>
      <c r="B267">
        <v>36</v>
      </c>
    </row>
    <row r="268" spans="1:2" x14ac:dyDescent="0.2">
      <c r="A268">
        <v>3</v>
      </c>
      <c r="B268">
        <v>16</v>
      </c>
    </row>
    <row r="269" spans="1:2" x14ac:dyDescent="0.2">
      <c r="A269">
        <v>3</v>
      </c>
      <c r="B269">
        <v>25</v>
      </c>
    </row>
    <row r="270" spans="1:2" x14ac:dyDescent="0.2">
      <c r="A270">
        <v>1</v>
      </c>
      <c r="B270">
        <v>58</v>
      </c>
    </row>
    <row r="271" spans="1:2" x14ac:dyDescent="0.2">
      <c r="A271">
        <v>1</v>
      </c>
      <c r="B271">
        <v>35</v>
      </c>
    </row>
    <row r="272" spans="1:2" x14ac:dyDescent="0.2">
      <c r="A272">
        <v>1</v>
      </c>
    </row>
    <row r="273" spans="1:2" x14ac:dyDescent="0.2">
      <c r="A273">
        <v>3</v>
      </c>
      <c r="B273">
        <v>25</v>
      </c>
    </row>
    <row r="274" spans="1:2" x14ac:dyDescent="0.2">
      <c r="A274">
        <v>2</v>
      </c>
      <c r="B274">
        <v>41</v>
      </c>
    </row>
    <row r="275" spans="1:2" x14ac:dyDescent="0.2">
      <c r="A275">
        <v>1</v>
      </c>
      <c r="B275">
        <v>37</v>
      </c>
    </row>
    <row r="276" spans="1:2" x14ac:dyDescent="0.2">
      <c r="A276">
        <v>3</v>
      </c>
    </row>
    <row r="277" spans="1:2" x14ac:dyDescent="0.2">
      <c r="A277">
        <v>1</v>
      </c>
      <c r="B277">
        <v>63</v>
      </c>
    </row>
    <row r="278" spans="1:2" x14ac:dyDescent="0.2">
      <c r="A278">
        <v>3</v>
      </c>
      <c r="B278">
        <v>45</v>
      </c>
    </row>
    <row r="279" spans="1:2" x14ac:dyDescent="0.2">
      <c r="A279">
        <v>2</v>
      </c>
    </row>
    <row r="280" spans="1:2" x14ac:dyDescent="0.2">
      <c r="A280">
        <v>3</v>
      </c>
      <c r="B280">
        <v>7</v>
      </c>
    </row>
    <row r="281" spans="1:2" x14ac:dyDescent="0.2">
      <c r="A281">
        <v>3</v>
      </c>
      <c r="B281">
        <v>35</v>
      </c>
    </row>
    <row r="282" spans="1:2" x14ac:dyDescent="0.2">
      <c r="A282">
        <v>3</v>
      </c>
      <c r="B282">
        <v>65</v>
      </c>
    </row>
    <row r="283" spans="1:2" x14ac:dyDescent="0.2">
      <c r="A283">
        <v>3</v>
      </c>
      <c r="B283">
        <v>28</v>
      </c>
    </row>
    <row r="284" spans="1:2" x14ac:dyDescent="0.2">
      <c r="A284">
        <v>3</v>
      </c>
      <c r="B284">
        <v>16</v>
      </c>
    </row>
    <row r="285" spans="1:2" x14ac:dyDescent="0.2">
      <c r="A285">
        <v>3</v>
      </c>
      <c r="B285">
        <v>19</v>
      </c>
    </row>
    <row r="286" spans="1:2" x14ac:dyDescent="0.2">
      <c r="A286">
        <v>1</v>
      </c>
    </row>
    <row r="287" spans="1:2" x14ac:dyDescent="0.2">
      <c r="A287">
        <v>3</v>
      </c>
      <c r="B287">
        <v>33</v>
      </c>
    </row>
    <row r="288" spans="1:2" x14ac:dyDescent="0.2">
      <c r="A288">
        <v>3</v>
      </c>
      <c r="B288">
        <v>30</v>
      </c>
    </row>
    <row r="289" spans="1:2" x14ac:dyDescent="0.2">
      <c r="A289">
        <v>3</v>
      </c>
      <c r="B289">
        <v>22</v>
      </c>
    </row>
    <row r="290" spans="1:2" x14ac:dyDescent="0.2">
      <c r="A290">
        <v>2</v>
      </c>
      <c r="B290">
        <v>42</v>
      </c>
    </row>
    <row r="291" spans="1:2" x14ac:dyDescent="0.2">
      <c r="A291">
        <v>3</v>
      </c>
      <c r="B291">
        <v>22</v>
      </c>
    </row>
    <row r="292" spans="1:2" x14ac:dyDescent="0.2">
      <c r="A292">
        <v>1</v>
      </c>
      <c r="B292">
        <v>26</v>
      </c>
    </row>
    <row r="293" spans="1:2" x14ac:dyDescent="0.2">
      <c r="A293">
        <v>1</v>
      </c>
      <c r="B293">
        <v>19</v>
      </c>
    </row>
    <row r="294" spans="1:2" x14ac:dyDescent="0.2">
      <c r="A294">
        <v>2</v>
      </c>
      <c r="B294">
        <v>36</v>
      </c>
    </row>
    <row r="295" spans="1:2" x14ac:dyDescent="0.2">
      <c r="A295">
        <v>3</v>
      </c>
      <c r="B295">
        <v>24</v>
      </c>
    </row>
    <row r="296" spans="1:2" x14ac:dyDescent="0.2">
      <c r="A296">
        <v>3</v>
      </c>
      <c r="B296">
        <v>24</v>
      </c>
    </row>
    <row r="297" spans="1:2" x14ac:dyDescent="0.2">
      <c r="A297">
        <v>1</v>
      </c>
    </row>
    <row r="298" spans="1:2" x14ac:dyDescent="0.2">
      <c r="A298">
        <v>3</v>
      </c>
      <c r="B298">
        <v>23.5</v>
      </c>
    </row>
    <row r="299" spans="1:2" x14ac:dyDescent="0.2">
      <c r="A299">
        <v>1</v>
      </c>
      <c r="B299">
        <v>2</v>
      </c>
    </row>
    <row r="300" spans="1:2" x14ac:dyDescent="0.2">
      <c r="A300">
        <v>1</v>
      </c>
    </row>
    <row r="301" spans="1:2" x14ac:dyDescent="0.2">
      <c r="A301">
        <v>1</v>
      </c>
      <c r="B301">
        <v>50</v>
      </c>
    </row>
    <row r="302" spans="1:2" x14ac:dyDescent="0.2">
      <c r="A302">
        <v>3</v>
      </c>
    </row>
    <row r="303" spans="1:2" x14ac:dyDescent="0.2">
      <c r="A303">
        <v>3</v>
      </c>
    </row>
    <row r="304" spans="1:2" x14ac:dyDescent="0.2">
      <c r="A304">
        <v>3</v>
      </c>
      <c r="B304">
        <v>19</v>
      </c>
    </row>
    <row r="305" spans="1:2" x14ac:dyDescent="0.2">
      <c r="A305">
        <v>2</v>
      </c>
    </row>
    <row r="306" spans="1:2" x14ac:dyDescent="0.2">
      <c r="A306">
        <v>3</v>
      </c>
    </row>
    <row r="307" spans="1:2" x14ac:dyDescent="0.2">
      <c r="A307">
        <v>1</v>
      </c>
      <c r="B307">
        <v>0.92</v>
      </c>
    </row>
    <row r="308" spans="1:2" x14ac:dyDescent="0.2">
      <c r="A308">
        <v>1</v>
      </c>
    </row>
    <row r="309" spans="1:2" x14ac:dyDescent="0.2">
      <c r="A309">
        <v>1</v>
      </c>
      <c r="B309">
        <v>17</v>
      </c>
    </row>
    <row r="310" spans="1:2" x14ac:dyDescent="0.2">
      <c r="A310">
        <v>2</v>
      </c>
      <c r="B310">
        <v>30</v>
      </c>
    </row>
    <row r="311" spans="1:2" x14ac:dyDescent="0.2">
      <c r="A311">
        <v>1</v>
      </c>
      <c r="B311">
        <v>30</v>
      </c>
    </row>
    <row r="312" spans="1:2" x14ac:dyDescent="0.2">
      <c r="A312">
        <v>1</v>
      </c>
      <c r="B312">
        <v>24</v>
      </c>
    </row>
    <row r="313" spans="1:2" x14ac:dyDescent="0.2">
      <c r="A313">
        <v>1</v>
      </c>
      <c r="B313">
        <v>18</v>
      </c>
    </row>
    <row r="314" spans="1:2" x14ac:dyDescent="0.2">
      <c r="A314">
        <v>2</v>
      </c>
      <c r="B314">
        <v>26</v>
      </c>
    </row>
    <row r="315" spans="1:2" x14ac:dyDescent="0.2">
      <c r="A315">
        <v>3</v>
      </c>
      <c r="B315">
        <v>28</v>
      </c>
    </row>
    <row r="316" spans="1:2" x14ac:dyDescent="0.2">
      <c r="A316">
        <v>2</v>
      </c>
      <c r="B316">
        <v>43</v>
      </c>
    </row>
    <row r="317" spans="1:2" x14ac:dyDescent="0.2">
      <c r="A317">
        <v>3</v>
      </c>
      <c r="B317">
        <v>26</v>
      </c>
    </row>
    <row r="318" spans="1:2" x14ac:dyDescent="0.2">
      <c r="A318">
        <v>2</v>
      </c>
      <c r="B318">
        <v>24</v>
      </c>
    </row>
    <row r="319" spans="1:2" x14ac:dyDescent="0.2">
      <c r="A319">
        <v>2</v>
      </c>
      <c r="B319">
        <v>54</v>
      </c>
    </row>
    <row r="320" spans="1:2" x14ac:dyDescent="0.2">
      <c r="A320">
        <v>1</v>
      </c>
      <c r="B320">
        <v>31</v>
      </c>
    </row>
    <row r="321" spans="1:2" x14ac:dyDescent="0.2">
      <c r="A321">
        <v>1</v>
      </c>
      <c r="B321">
        <v>40</v>
      </c>
    </row>
    <row r="322" spans="1:2" x14ac:dyDescent="0.2">
      <c r="A322">
        <v>3</v>
      </c>
      <c r="B322">
        <v>22</v>
      </c>
    </row>
    <row r="323" spans="1:2" x14ac:dyDescent="0.2">
      <c r="A323">
        <v>3</v>
      </c>
      <c r="B323">
        <v>27</v>
      </c>
    </row>
    <row r="324" spans="1:2" x14ac:dyDescent="0.2">
      <c r="A324">
        <v>2</v>
      </c>
      <c r="B324">
        <v>30</v>
      </c>
    </row>
    <row r="325" spans="1:2" x14ac:dyDescent="0.2">
      <c r="A325">
        <v>2</v>
      </c>
      <c r="B325">
        <v>22</v>
      </c>
    </row>
    <row r="326" spans="1:2" x14ac:dyDescent="0.2">
      <c r="A326">
        <v>3</v>
      </c>
    </row>
    <row r="327" spans="1:2" x14ac:dyDescent="0.2">
      <c r="A327">
        <v>1</v>
      </c>
      <c r="B327">
        <v>36</v>
      </c>
    </row>
    <row r="328" spans="1:2" x14ac:dyDescent="0.2">
      <c r="A328">
        <v>3</v>
      </c>
      <c r="B328">
        <v>61</v>
      </c>
    </row>
    <row r="329" spans="1:2" x14ac:dyDescent="0.2">
      <c r="A329">
        <v>2</v>
      </c>
      <c r="B329">
        <v>36</v>
      </c>
    </row>
    <row r="330" spans="1:2" x14ac:dyDescent="0.2">
      <c r="A330">
        <v>3</v>
      </c>
      <c r="B330">
        <v>31</v>
      </c>
    </row>
    <row r="331" spans="1:2" x14ac:dyDescent="0.2">
      <c r="A331">
        <v>1</v>
      </c>
      <c r="B331">
        <v>16</v>
      </c>
    </row>
    <row r="332" spans="1:2" x14ac:dyDescent="0.2">
      <c r="A332">
        <v>3</v>
      </c>
    </row>
    <row r="333" spans="1:2" x14ac:dyDescent="0.2">
      <c r="A333">
        <v>1</v>
      </c>
      <c r="B333">
        <v>45.5</v>
      </c>
    </row>
    <row r="334" spans="1:2" x14ac:dyDescent="0.2">
      <c r="A334">
        <v>1</v>
      </c>
      <c r="B334">
        <v>38</v>
      </c>
    </row>
    <row r="335" spans="1:2" x14ac:dyDescent="0.2">
      <c r="A335">
        <v>3</v>
      </c>
      <c r="B335">
        <v>16</v>
      </c>
    </row>
    <row r="336" spans="1:2" x14ac:dyDescent="0.2">
      <c r="A336">
        <v>1</v>
      </c>
    </row>
    <row r="337" spans="1:2" x14ac:dyDescent="0.2">
      <c r="A337">
        <v>3</v>
      </c>
    </row>
    <row r="338" spans="1:2" x14ac:dyDescent="0.2">
      <c r="A338">
        <v>1</v>
      </c>
      <c r="B338">
        <v>29</v>
      </c>
    </row>
    <row r="339" spans="1:2" x14ac:dyDescent="0.2">
      <c r="A339">
        <v>1</v>
      </c>
      <c r="B339">
        <v>41</v>
      </c>
    </row>
    <row r="340" spans="1:2" x14ac:dyDescent="0.2">
      <c r="A340">
        <v>3</v>
      </c>
      <c r="B340">
        <v>45</v>
      </c>
    </row>
    <row r="341" spans="1:2" x14ac:dyDescent="0.2">
      <c r="A341">
        <v>1</v>
      </c>
      <c r="B341">
        <v>45</v>
      </c>
    </row>
    <row r="342" spans="1:2" x14ac:dyDescent="0.2">
      <c r="A342">
        <v>2</v>
      </c>
      <c r="B342">
        <v>2</v>
      </c>
    </row>
    <row r="343" spans="1:2" x14ac:dyDescent="0.2">
      <c r="A343">
        <v>1</v>
      </c>
      <c r="B343">
        <v>24</v>
      </c>
    </row>
    <row r="344" spans="1:2" x14ac:dyDescent="0.2">
      <c r="A344">
        <v>2</v>
      </c>
      <c r="B344">
        <v>28</v>
      </c>
    </row>
    <row r="345" spans="1:2" x14ac:dyDescent="0.2">
      <c r="A345">
        <v>2</v>
      </c>
      <c r="B345">
        <v>25</v>
      </c>
    </row>
    <row r="346" spans="1:2" x14ac:dyDescent="0.2">
      <c r="A346">
        <v>2</v>
      </c>
      <c r="B346">
        <v>36</v>
      </c>
    </row>
    <row r="347" spans="1:2" x14ac:dyDescent="0.2">
      <c r="A347">
        <v>2</v>
      </c>
      <c r="B347">
        <v>24</v>
      </c>
    </row>
    <row r="348" spans="1:2" x14ac:dyDescent="0.2">
      <c r="A348">
        <v>2</v>
      </c>
      <c r="B348">
        <v>40</v>
      </c>
    </row>
    <row r="349" spans="1:2" x14ac:dyDescent="0.2">
      <c r="A349">
        <v>3</v>
      </c>
    </row>
    <row r="350" spans="1:2" x14ac:dyDescent="0.2">
      <c r="A350">
        <v>3</v>
      </c>
      <c r="B350">
        <v>3</v>
      </c>
    </row>
    <row r="351" spans="1:2" x14ac:dyDescent="0.2">
      <c r="A351">
        <v>3</v>
      </c>
      <c r="B351">
        <v>42</v>
      </c>
    </row>
    <row r="352" spans="1:2" x14ac:dyDescent="0.2">
      <c r="A352">
        <v>3</v>
      </c>
      <c r="B352">
        <v>23</v>
      </c>
    </row>
    <row r="353" spans="1:2" x14ac:dyDescent="0.2">
      <c r="A353">
        <v>1</v>
      </c>
    </row>
    <row r="354" spans="1:2" x14ac:dyDescent="0.2">
      <c r="A354">
        <v>3</v>
      </c>
      <c r="B354">
        <v>15</v>
      </c>
    </row>
    <row r="355" spans="1:2" x14ac:dyDescent="0.2">
      <c r="A355">
        <v>3</v>
      </c>
      <c r="B355">
        <v>25</v>
      </c>
    </row>
    <row r="356" spans="1:2" x14ac:dyDescent="0.2">
      <c r="A356">
        <v>3</v>
      </c>
    </row>
    <row r="357" spans="1:2" x14ac:dyDescent="0.2">
      <c r="A357">
        <v>3</v>
      </c>
      <c r="B357">
        <v>28</v>
      </c>
    </row>
    <row r="358" spans="1:2" x14ac:dyDescent="0.2">
      <c r="A358">
        <v>1</v>
      </c>
      <c r="B358">
        <v>22</v>
      </c>
    </row>
    <row r="359" spans="1:2" x14ac:dyDescent="0.2">
      <c r="A359">
        <v>2</v>
      </c>
      <c r="B359">
        <v>38</v>
      </c>
    </row>
    <row r="360" spans="1:2" x14ac:dyDescent="0.2">
      <c r="A360">
        <v>3</v>
      </c>
    </row>
    <row r="361" spans="1:2" x14ac:dyDescent="0.2">
      <c r="A361">
        <v>3</v>
      </c>
    </row>
    <row r="362" spans="1:2" x14ac:dyDescent="0.2">
      <c r="A362">
        <v>3</v>
      </c>
      <c r="B362">
        <v>40</v>
      </c>
    </row>
    <row r="363" spans="1:2" x14ac:dyDescent="0.2">
      <c r="A363">
        <v>2</v>
      </c>
      <c r="B363">
        <v>29</v>
      </c>
    </row>
    <row r="364" spans="1:2" x14ac:dyDescent="0.2">
      <c r="A364">
        <v>3</v>
      </c>
      <c r="B364">
        <v>45</v>
      </c>
    </row>
    <row r="365" spans="1:2" x14ac:dyDescent="0.2">
      <c r="A365">
        <v>3</v>
      </c>
      <c r="B365">
        <v>35</v>
      </c>
    </row>
    <row r="366" spans="1:2" x14ac:dyDescent="0.2">
      <c r="A366">
        <v>3</v>
      </c>
    </row>
    <row r="367" spans="1:2" x14ac:dyDescent="0.2">
      <c r="A367">
        <v>3</v>
      </c>
      <c r="B367">
        <v>30</v>
      </c>
    </row>
    <row r="368" spans="1:2" x14ac:dyDescent="0.2">
      <c r="A368">
        <v>1</v>
      </c>
      <c r="B368">
        <v>60</v>
      </c>
    </row>
    <row r="369" spans="1:2" x14ac:dyDescent="0.2">
      <c r="A369">
        <v>3</v>
      </c>
    </row>
    <row r="370" spans="1:2" x14ac:dyDescent="0.2">
      <c r="A370">
        <v>3</v>
      </c>
    </row>
    <row r="371" spans="1:2" x14ac:dyDescent="0.2">
      <c r="A371">
        <v>1</v>
      </c>
      <c r="B371">
        <v>24</v>
      </c>
    </row>
    <row r="372" spans="1:2" x14ac:dyDescent="0.2">
      <c r="A372">
        <v>1</v>
      </c>
      <c r="B372">
        <v>25</v>
      </c>
    </row>
    <row r="373" spans="1:2" x14ac:dyDescent="0.2">
      <c r="A373">
        <v>3</v>
      </c>
      <c r="B373">
        <v>18</v>
      </c>
    </row>
    <row r="374" spans="1:2" x14ac:dyDescent="0.2">
      <c r="A374">
        <v>3</v>
      </c>
      <c r="B374">
        <v>19</v>
      </c>
    </row>
    <row r="375" spans="1:2" x14ac:dyDescent="0.2">
      <c r="A375">
        <v>1</v>
      </c>
      <c r="B375">
        <v>22</v>
      </c>
    </row>
    <row r="376" spans="1:2" x14ac:dyDescent="0.2">
      <c r="A376">
        <v>3</v>
      </c>
      <c r="B376">
        <v>3</v>
      </c>
    </row>
    <row r="377" spans="1:2" x14ac:dyDescent="0.2">
      <c r="A377">
        <v>1</v>
      </c>
    </row>
    <row r="378" spans="1:2" x14ac:dyDescent="0.2">
      <c r="A378">
        <v>3</v>
      </c>
      <c r="B378">
        <v>22</v>
      </c>
    </row>
    <row r="379" spans="1:2" x14ac:dyDescent="0.2">
      <c r="A379">
        <v>1</v>
      </c>
      <c r="B379">
        <v>27</v>
      </c>
    </row>
    <row r="380" spans="1:2" x14ac:dyDescent="0.2">
      <c r="A380">
        <v>3</v>
      </c>
      <c r="B380">
        <v>20</v>
      </c>
    </row>
    <row r="381" spans="1:2" x14ac:dyDescent="0.2">
      <c r="A381">
        <v>3</v>
      </c>
      <c r="B381">
        <v>19</v>
      </c>
    </row>
    <row r="382" spans="1:2" x14ac:dyDescent="0.2">
      <c r="A382">
        <v>1</v>
      </c>
      <c r="B382">
        <v>42</v>
      </c>
    </row>
    <row r="383" spans="1:2" x14ac:dyDescent="0.2">
      <c r="A383">
        <v>3</v>
      </c>
      <c r="B383">
        <v>1</v>
      </c>
    </row>
    <row r="384" spans="1:2" x14ac:dyDescent="0.2">
      <c r="A384">
        <v>3</v>
      </c>
      <c r="B384">
        <v>32</v>
      </c>
    </row>
    <row r="385" spans="1:2" x14ac:dyDescent="0.2">
      <c r="A385">
        <v>1</v>
      </c>
      <c r="B385">
        <v>35</v>
      </c>
    </row>
    <row r="386" spans="1:2" x14ac:dyDescent="0.2">
      <c r="A386">
        <v>3</v>
      </c>
    </row>
    <row r="387" spans="1:2" x14ac:dyDescent="0.2">
      <c r="A387">
        <v>2</v>
      </c>
      <c r="B387">
        <v>18</v>
      </c>
    </row>
    <row r="388" spans="1:2" x14ac:dyDescent="0.2">
      <c r="A388">
        <v>3</v>
      </c>
      <c r="B388">
        <v>1</v>
      </c>
    </row>
    <row r="389" spans="1:2" x14ac:dyDescent="0.2">
      <c r="A389">
        <v>2</v>
      </c>
      <c r="B389">
        <v>36</v>
      </c>
    </row>
    <row r="390" spans="1:2" x14ac:dyDescent="0.2">
      <c r="A390">
        <v>3</v>
      </c>
    </row>
    <row r="391" spans="1:2" x14ac:dyDescent="0.2">
      <c r="A391">
        <v>2</v>
      </c>
      <c r="B391">
        <v>17</v>
      </c>
    </row>
    <row r="392" spans="1:2" x14ac:dyDescent="0.2">
      <c r="A392">
        <v>1</v>
      </c>
      <c r="B392">
        <v>36</v>
      </c>
    </row>
    <row r="393" spans="1:2" x14ac:dyDescent="0.2">
      <c r="A393">
        <v>3</v>
      </c>
      <c r="B393">
        <v>21</v>
      </c>
    </row>
    <row r="394" spans="1:2" x14ac:dyDescent="0.2">
      <c r="A394">
        <v>3</v>
      </c>
      <c r="B394">
        <v>28</v>
      </c>
    </row>
    <row r="395" spans="1:2" x14ac:dyDescent="0.2">
      <c r="A395">
        <v>1</v>
      </c>
      <c r="B395">
        <v>23</v>
      </c>
    </row>
    <row r="396" spans="1:2" x14ac:dyDescent="0.2">
      <c r="A396">
        <v>3</v>
      </c>
      <c r="B396">
        <v>24</v>
      </c>
    </row>
    <row r="397" spans="1:2" x14ac:dyDescent="0.2">
      <c r="A397">
        <v>3</v>
      </c>
      <c r="B397">
        <v>22</v>
      </c>
    </row>
    <row r="398" spans="1:2" x14ac:dyDescent="0.2">
      <c r="A398">
        <v>3</v>
      </c>
      <c r="B398">
        <v>31</v>
      </c>
    </row>
    <row r="399" spans="1:2" x14ac:dyDescent="0.2">
      <c r="A399">
        <v>2</v>
      </c>
      <c r="B399">
        <v>46</v>
      </c>
    </row>
    <row r="400" spans="1:2" x14ac:dyDescent="0.2">
      <c r="A400">
        <v>2</v>
      </c>
      <c r="B400">
        <v>23</v>
      </c>
    </row>
    <row r="401" spans="1:2" x14ac:dyDescent="0.2">
      <c r="A401">
        <v>2</v>
      </c>
      <c r="B401">
        <v>28</v>
      </c>
    </row>
    <row r="402" spans="1:2" x14ac:dyDescent="0.2">
      <c r="A402">
        <v>3</v>
      </c>
      <c r="B402">
        <v>39</v>
      </c>
    </row>
    <row r="403" spans="1:2" x14ac:dyDescent="0.2">
      <c r="A403">
        <v>3</v>
      </c>
      <c r="B403">
        <v>26</v>
      </c>
    </row>
    <row r="404" spans="1:2" x14ac:dyDescent="0.2">
      <c r="A404">
        <v>3</v>
      </c>
      <c r="B404">
        <v>21</v>
      </c>
    </row>
    <row r="405" spans="1:2" x14ac:dyDescent="0.2">
      <c r="A405">
        <v>3</v>
      </c>
      <c r="B405">
        <v>28</v>
      </c>
    </row>
    <row r="406" spans="1:2" x14ac:dyDescent="0.2">
      <c r="A406">
        <v>3</v>
      </c>
      <c r="B406">
        <v>20</v>
      </c>
    </row>
    <row r="407" spans="1:2" x14ac:dyDescent="0.2">
      <c r="A407">
        <v>2</v>
      </c>
      <c r="B407">
        <v>34</v>
      </c>
    </row>
    <row r="408" spans="1:2" x14ac:dyDescent="0.2">
      <c r="A408">
        <v>3</v>
      </c>
      <c r="B408">
        <v>51</v>
      </c>
    </row>
    <row r="409" spans="1:2" x14ac:dyDescent="0.2">
      <c r="A409">
        <v>2</v>
      </c>
      <c r="B409">
        <v>3</v>
      </c>
    </row>
    <row r="410" spans="1:2" x14ac:dyDescent="0.2">
      <c r="A410">
        <v>3</v>
      </c>
      <c r="B410">
        <v>21</v>
      </c>
    </row>
    <row r="411" spans="1:2" x14ac:dyDescent="0.2">
      <c r="A411">
        <v>3</v>
      </c>
    </row>
    <row r="412" spans="1:2" x14ac:dyDescent="0.2">
      <c r="A412">
        <v>3</v>
      </c>
    </row>
    <row r="413" spans="1:2" x14ac:dyDescent="0.2">
      <c r="A413">
        <v>3</v>
      </c>
    </row>
    <row r="414" spans="1:2" x14ac:dyDescent="0.2">
      <c r="A414">
        <v>1</v>
      </c>
      <c r="B414">
        <v>33</v>
      </c>
    </row>
    <row r="415" spans="1:2" x14ac:dyDescent="0.2">
      <c r="A415">
        <v>2</v>
      </c>
    </row>
    <row r="416" spans="1:2" x14ac:dyDescent="0.2">
      <c r="A416">
        <v>3</v>
      </c>
      <c r="B416">
        <v>44</v>
      </c>
    </row>
    <row r="417" spans="1:2" x14ac:dyDescent="0.2">
      <c r="A417">
        <v>3</v>
      </c>
    </row>
    <row r="418" spans="1:2" x14ac:dyDescent="0.2">
      <c r="A418">
        <v>2</v>
      </c>
      <c r="B418">
        <v>34</v>
      </c>
    </row>
    <row r="419" spans="1:2" x14ac:dyDescent="0.2">
      <c r="A419">
        <v>2</v>
      </c>
      <c r="B419">
        <v>18</v>
      </c>
    </row>
    <row r="420" spans="1:2" x14ac:dyDescent="0.2">
      <c r="A420">
        <v>2</v>
      </c>
      <c r="B420">
        <v>30</v>
      </c>
    </row>
    <row r="421" spans="1:2" x14ac:dyDescent="0.2">
      <c r="A421">
        <v>3</v>
      </c>
      <c r="B421">
        <v>10</v>
      </c>
    </row>
    <row r="422" spans="1:2" x14ac:dyDescent="0.2">
      <c r="A422">
        <v>3</v>
      </c>
    </row>
    <row r="423" spans="1:2" x14ac:dyDescent="0.2">
      <c r="A423">
        <v>3</v>
      </c>
      <c r="B423">
        <v>21</v>
      </c>
    </row>
    <row r="424" spans="1:2" x14ac:dyDescent="0.2">
      <c r="A424">
        <v>3</v>
      </c>
      <c r="B424">
        <v>29</v>
      </c>
    </row>
    <row r="425" spans="1:2" x14ac:dyDescent="0.2">
      <c r="A425">
        <v>3</v>
      </c>
      <c r="B425">
        <v>28</v>
      </c>
    </row>
    <row r="426" spans="1:2" x14ac:dyDescent="0.2">
      <c r="A426">
        <v>3</v>
      </c>
      <c r="B426">
        <v>18</v>
      </c>
    </row>
    <row r="427" spans="1:2" x14ac:dyDescent="0.2">
      <c r="A427">
        <v>3</v>
      </c>
    </row>
    <row r="428" spans="1:2" x14ac:dyDescent="0.2">
      <c r="A428">
        <v>2</v>
      </c>
      <c r="B428">
        <v>28</v>
      </c>
    </row>
    <row r="429" spans="1:2" x14ac:dyDescent="0.2">
      <c r="A429">
        <v>2</v>
      </c>
      <c r="B429">
        <v>19</v>
      </c>
    </row>
    <row r="430" spans="1:2" x14ac:dyDescent="0.2">
      <c r="A430">
        <v>3</v>
      </c>
    </row>
    <row r="431" spans="1:2" x14ac:dyDescent="0.2">
      <c r="A431">
        <v>3</v>
      </c>
      <c r="B431">
        <v>32</v>
      </c>
    </row>
    <row r="432" spans="1:2" x14ac:dyDescent="0.2">
      <c r="A432">
        <v>1</v>
      </c>
      <c r="B432">
        <v>28</v>
      </c>
    </row>
    <row r="433" spans="1:2" x14ac:dyDescent="0.2">
      <c r="A433">
        <v>3</v>
      </c>
    </row>
    <row r="434" spans="1:2" x14ac:dyDescent="0.2">
      <c r="A434">
        <v>2</v>
      </c>
      <c r="B434">
        <v>42</v>
      </c>
    </row>
    <row r="435" spans="1:2" x14ac:dyDescent="0.2">
      <c r="A435">
        <v>3</v>
      </c>
      <c r="B435">
        <v>17</v>
      </c>
    </row>
    <row r="436" spans="1:2" x14ac:dyDescent="0.2">
      <c r="A436">
        <v>1</v>
      </c>
      <c r="B436">
        <v>50</v>
      </c>
    </row>
    <row r="437" spans="1:2" x14ac:dyDescent="0.2">
      <c r="A437">
        <v>1</v>
      </c>
      <c r="B437">
        <v>14</v>
      </c>
    </row>
    <row r="438" spans="1:2" x14ac:dyDescent="0.2">
      <c r="A438">
        <v>3</v>
      </c>
      <c r="B438">
        <v>21</v>
      </c>
    </row>
    <row r="439" spans="1:2" x14ac:dyDescent="0.2">
      <c r="A439">
        <v>2</v>
      </c>
      <c r="B439">
        <v>24</v>
      </c>
    </row>
    <row r="440" spans="1:2" x14ac:dyDescent="0.2">
      <c r="A440">
        <v>1</v>
      </c>
      <c r="B440">
        <v>64</v>
      </c>
    </row>
    <row r="441" spans="1:2" x14ac:dyDescent="0.2">
      <c r="A441">
        <v>2</v>
      </c>
      <c r="B441">
        <v>31</v>
      </c>
    </row>
    <row r="442" spans="1:2" x14ac:dyDescent="0.2">
      <c r="A442">
        <v>2</v>
      </c>
      <c r="B442">
        <v>45</v>
      </c>
    </row>
    <row r="443" spans="1:2" x14ac:dyDescent="0.2">
      <c r="A443">
        <v>3</v>
      </c>
      <c r="B443">
        <v>20</v>
      </c>
    </row>
    <row r="444" spans="1:2" x14ac:dyDescent="0.2">
      <c r="A444">
        <v>3</v>
      </c>
      <c r="B444">
        <v>25</v>
      </c>
    </row>
    <row r="445" spans="1:2" x14ac:dyDescent="0.2">
      <c r="A445">
        <v>2</v>
      </c>
      <c r="B445">
        <v>28</v>
      </c>
    </row>
    <row r="446" spans="1:2" x14ac:dyDescent="0.2">
      <c r="A446">
        <v>3</v>
      </c>
    </row>
    <row r="447" spans="1:2" x14ac:dyDescent="0.2">
      <c r="A447">
        <v>1</v>
      </c>
      <c r="B447">
        <v>4</v>
      </c>
    </row>
    <row r="448" spans="1:2" x14ac:dyDescent="0.2">
      <c r="A448">
        <v>2</v>
      </c>
      <c r="B448">
        <v>13</v>
      </c>
    </row>
    <row r="449" spans="1:2" x14ac:dyDescent="0.2">
      <c r="A449">
        <v>1</v>
      </c>
      <c r="B449">
        <v>34</v>
      </c>
    </row>
    <row r="450" spans="1:2" x14ac:dyDescent="0.2">
      <c r="A450">
        <v>3</v>
      </c>
      <c r="B450">
        <v>5</v>
      </c>
    </row>
    <row r="451" spans="1:2" x14ac:dyDescent="0.2">
      <c r="A451">
        <v>1</v>
      </c>
      <c r="B451">
        <v>52</v>
      </c>
    </row>
    <row r="452" spans="1:2" x14ac:dyDescent="0.2">
      <c r="A452">
        <v>2</v>
      </c>
      <c r="B452">
        <v>36</v>
      </c>
    </row>
    <row r="453" spans="1:2" x14ac:dyDescent="0.2">
      <c r="A453">
        <v>3</v>
      </c>
    </row>
    <row r="454" spans="1:2" x14ac:dyDescent="0.2">
      <c r="A454">
        <v>1</v>
      </c>
      <c r="B454">
        <v>30</v>
      </c>
    </row>
    <row r="455" spans="1:2" x14ac:dyDescent="0.2">
      <c r="A455">
        <v>1</v>
      </c>
      <c r="B455">
        <v>49</v>
      </c>
    </row>
    <row r="456" spans="1:2" x14ac:dyDescent="0.2">
      <c r="A456">
        <v>3</v>
      </c>
    </row>
    <row r="457" spans="1:2" x14ac:dyDescent="0.2">
      <c r="A457">
        <v>3</v>
      </c>
      <c r="B457">
        <v>29</v>
      </c>
    </row>
    <row r="458" spans="1:2" x14ac:dyDescent="0.2">
      <c r="A458">
        <v>1</v>
      </c>
      <c r="B458">
        <v>65</v>
      </c>
    </row>
    <row r="459" spans="1:2" x14ac:dyDescent="0.2">
      <c r="A459">
        <v>1</v>
      </c>
    </row>
    <row r="460" spans="1:2" x14ac:dyDescent="0.2">
      <c r="A460">
        <v>2</v>
      </c>
      <c r="B460">
        <v>50</v>
      </c>
    </row>
    <row r="461" spans="1:2" x14ac:dyDescent="0.2">
      <c r="A461">
        <v>3</v>
      </c>
    </row>
    <row r="462" spans="1:2" x14ac:dyDescent="0.2">
      <c r="A462">
        <v>1</v>
      </c>
      <c r="B462">
        <v>48</v>
      </c>
    </row>
    <row r="463" spans="1:2" x14ac:dyDescent="0.2">
      <c r="A463">
        <v>3</v>
      </c>
      <c r="B463">
        <v>34</v>
      </c>
    </row>
    <row r="464" spans="1:2" x14ac:dyDescent="0.2">
      <c r="A464">
        <v>1</v>
      </c>
      <c r="B464">
        <v>47</v>
      </c>
    </row>
    <row r="465" spans="1:2" x14ac:dyDescent="0.2">
      <c r="A465">
        <v>2</v>
      </c>
      <c r="B465">
        <v>48</v>
      </c>
    </row>
    <row r="466" spans="1:2" x14ac:dyDescent="0.2">
      <c r="A466">
        <v>3</v>
      </c>
    </row>
    <row r="467" spans="1:2" x14ac:dyDescent="0.2">
      <c r="A467">
        <v>3</v>
      </c>
      <c r="B467">
        <v>38</v>
      </c>
    </row>
    <row r="468" spans="1:2" x14ac:dyDescent="0.2">
      <c r="A468">
        <v>2</v>
      </c>
    </row>
    <row r="469" spans="1:2" x14ac:dyDescent="0.2">
      <c r="A469">
        <v>1</v>
      </c>
      <c r="B469">
        <v>56</v>
      </c>
    </row>
    <row r="470" spans="1:2" x14ac:dyDescent="0.2">
      <c r="A470">
        <v>3</v>
      </c>
    </row>
    <row r="471" spans="1:2" x14ac:dyDescent="0.2">
      <c r="A471">
        <v>3</v>
      </c>
      <c r="B471">
        <v>0.75</v>
      </c>
    </row>
    <row r="472" spans="1:2" x14ac:dyDescent="0.2">
      <c r="A472">
        <v>3</v>
      </c>
    </row>
    <row r="473" spans="1:2" x14ac:dyDescent="0.2">
      <c r="A473">
        <v>3</v>
      </c>
      <c r="B473">
        <v>38</v>
      </c>
    </row>
    <row r="474" spans="1:2" x14ac:dyDescent="0.2">
      <c r="A474">
        <v>2</v>
      </c>
      <c r="B474">
        <v>33</v>
      </c>
    </row>
    <row r="475" spans="1:2" x14ac:dyDescent="0.2">
      <c r="A475">
        <v>2</v>
      </c>
      <c r="B475">
        <v>23</v>
      </c>
    </row>
    <row r="476" spans="1:2" x14ac:dyDescent="0.2">
      <c r="A476">
        <v>3</v>
      </c>
      <c r="B476">
        <v>22</v>
      </c>
    </row>
    <row r="477" spans="1:2" x14ac:dyDescent="0.2">
      <c r="A477">
        <v>1</v>
      </c>
    </row>
    <row r="478" spans="1:2" x14ac:dyDescent="0.2">
      <c r="A478">
        <v>2</v>
      </c>
      <c r="B478">
        <v>34</v>
      </c>
    </row>
    <row r="479" spans="1:2" x14ac:dyDescent="0.2">
      <c r="A479">
        <v>3</v>
      </c>
      <c r="B479">
        <v>29</v>
      </c>
    </row>
    <row r="480" spans="1:2" x14ac:dyDescent="0.2">
      <c r="A480">
        <v>3</v>
      </c>
      <c r="B480">
        <v>22</v>
      </c>
    </row>
    <row r="481" spans="1:2" x14ac:dyDescent="0.2">
      <c r="A481">
        <v>3</v>
      </c>
      <c r="B481">
        <v>2</v>
      </c>
    </row>
    <row r="482" spans="1:2" x14ac:dyDescent="0.2">
      <c r="A482">
        <v>3</v>
      </c>
      <c r="B482">
        <v>9</v>
      </c>
    </row>
    <row r="483" spans="1:2" x14ac:dyDescent="0.2">
      <c r="A483">
        <v>2</v>
      </c>
    </row>
    <row r="484" spans="1:2" x14ac:dyDescent="0.2">
      <c r="A484">
        <v>3</v>
      </c>
      <c r="B484">
        <v>50</v>
      </c>
    </row>
    <row r="485" spans="1:2" x14ac:dyDescent="0.2">
      <c r="A485">
        <v>3</v>
      </c>
      <c r="B485">
        <v>63</v>
      </c>
    </row>
    <row r="486" spans="1:2" x14ac:dyDescent="0.2">
      <c r="A486">
        <v>1</v>
      </c>
      <c r="B486">
        <v>25</v>
      </c>
    </row>
    <row r="487" spans="1:2" x14ac:dyDescent="0.2">
      <c r="A487">
        <v>3</v>
      </c>
    </row>
    <row r="488" spans="1:2" x14ac:dyDescent="0.2">
      <c r="A488">
        <v>1</v>
      </c>
      <c r="B488">
        <v>35</v>
      </c>
    </row>
    <row r="489" spans="1:2" x14ac:dyDescent="0.2">
      <c r="A489">
        <v>1</v>
      </c>
      <c r="B489">
        <v>58</v>
      </c>
    </row>
    <row r="490" spans="1:2" x14ac:dyDescent="0.2">
      <c r="A490">
        <v>3</v>
      </c>
      <c r="B490">
        <v>30</v>
      </c>
    </row>
    <row r="491" spans="1:2" x14ac:dyDescent="0.2">
      <c r="A491">
        <v>3</v>
      </c>
      <c r="B491">
        <v>9</v>
      </c>
    </row>
    <row r="492" spans="1:2" x14ac:dyDescent="0.2">
      <c r="A492">
        <v>3</v>
      </c>
    </row>
    <row r="493" spans="1:2" x14ac:dyDescent="0.2">
      <c r="A493">
        <v>3</v>
      </c>
      <c r="B493">
        <v>21</v>
      </c>
    </row>
    <row r="494" spans="1:2" x14ac:dyDescent="0.2">
      <c r="A494">
        <v>1</v>
      </c>
      <c r="B494">
        <v>55</v>
      </c>
    </row>
    <row r="495" spans="1:2" x14ac:dyDescent="0.2">
      <c r="A495">
        <v>1</v>
      </c>
      <c r="B495">
        <v>71</v>
      </c>
    </row>
    <row r="496" spans="1:2" x14ac:dyDescent="0.2">
      <c r="A496">
        <v>3</v>
      </c>
      <c r="B496">
        <v>21</v>
      </c>
    </row>
    <row r="497" spans="1:2" x14ac:dyDescent="0.2">
      <c r="A497">
        <v>3</v>
      </c>
    </row>
    <row r="498" spans="1:2" x14ac:dyDescent="0.2">
      <c r="A498">
        <v>1</v>
      </c>
      <c r="B498">
        <v>54</v>
      </c>
    </row>
    <row r="499" spans="1:2" x14ac:dyDescent="0.2">
      <c r="A499">
        <v>3</v>
      </c>
    </row>
    <row r="500" spans="1:2" x14ac:dyDescent="0.2">
      <c r="A500">
        <v>1</v>
      </c>
      <c r="B500">
        <v>25</v>
      </c>
    </row>
    <row r="501" spans="1:2" x14ac:dyDescent="0.2">
      <c r="A501">
        <v>3</v>
      </c>
      <c r="B501">
        <v>24</v>
      </c>
    </row>
    <row r="502" spans="1:2" x14ac:dyDescent="0.2">
      <c r="A502">
        <v>3</v>
      </c>
      <c r="B502">
        <v>17</v>
      </c>
    </row>
    <row r="503" spans="1:2" x14ac:dyDescent="0.2">
      <c r="A503">
        <v>3</v>
      </c>
      <c r="B503">
        <v>21</v>
      </c>
    </row>
    <row r="504" spans="1:2" x14ac:dyDescent="0.2">
      <c r="A504">
        <v>3</v>
      </c>
    </row>
    <row r="505" spans="1:2" x14ac:dyDescent="0.2">
      <c r="A505">
        <v>3</v>
      </c>
      <c r="B505">
        <v>37</v>
      </c>
    </row>
    <row r="506" spans="1:2" x14ac:dyDescent="0.2">
      <c r="A506">
        <v>1</v>
      </c>
      <c r="B506">
        <v>16</v>
      </c>
    </row>
    <row r="507" spans="1:2" x14ac:dyDescent="0.2">
      <c r="A507">
        <v>1</v>
      </c>
      <c r="B507">
        <v>18</v>
      </c>
    </row>
    <row r="508" spans="1:2" x14ac:dyDescent="0.2">
      <c r="A508">
        <v>2</v>
      </c>
      <c r="B508">
        <v>33</v>
      </c>
    </row>
    <row r="509" spans="1:2" x14ac:dyDescent="0.2">
      <c r="A509">
        <v>1</v>
      </c>
    </row>
    <row r="510" spans="1:2" x14ac:dyDescent="0.2">
      <c r="A510">
        <v>3</v>
      </c>
      <c r="B510">
        <v>28</v>
      </c>
    </row>
    <row r="511" spans="1:2" x14ac:dyDescent="0.2">
      <c r="A511">
        <v>3</v>
      </c>
      <c r="B511">
        <v>26</v>
      </c>
    </row>
    <row r="512" spans="1:2" x14ac:dyDescent="0.2">
      <c r="A512">
        <v>3</v>
      </c>
      <c r="B512">
        <v>29</v>
      </c>
    </row>
    <row r="513" spans="1:2" x14ac:dyDescent="0.2">
      <c r="A513">
        <v>3</v>
      </c>
    </row>
    <row r="514" spans="1:2" x14ac:dyDescent="0.2">
      <c r="A514">
        <v>1</v>
      </c>
      <c r="B514">
        <v>36</v>
      </c>
    </row>
    <row r="515" spans="1:2" x14ac:dyDescent="0.2">
      <c r="A515">
        <v>1</v>
      </c>
      <c r="B515">
        <v>54</v>
      </c>
    </row>
    <row r="516" spans="1:2" x14ac:dyDescent="0.2">
      <c r="A516">
        <v>3</v>
      </c>
      <c r="B516">
        <v>24</v>
      </c>
    </row>
    <row r="517" spans="1:2" x14ac:dyDescent="0.2">
      <c r="A517">
        <v>1</v>
      </c>
      <c r="B517">
        <v>47</v>
      </c>
    </row>
    <row r="518" spans="1:2" x14ac:dyDescent="0.2">
      <c r="A518">
        <v>2</v>
      </c>
      <c r="B518">
        <v>34</v>
      </c>
    </row>
    <row r="519" spans="1:2" x14ac:dyDescent="0.2">
      <c r="A519">
        <v>3</v>
      </c>
    </row>
    <row r="520" spans="1:2" x14ac:dyDescent="0.2">
      <c r="A520">
        <v>2</v>
      </c>
      <c r="B520">
        <v>36</v>
      </c>
    </row>
    <row r="521" spans="1:2" x14ac:dyDescent="0.2">
      <c r="A521">
        <v>3</v>
      </c>
      <c r="B521">
        <v>32</v>
      </c>
    </row>
    <row r="522" spans="1:2" x14ac:dyDescent="0.2">
      <c r="A522">
        <v>1</v>
      </c>
      <c r="B522">
        <v>30</v>
      </c>
    </row>
    <row r="523" spans="1:2" x14ac:dyDescent="0.2">
      <c r="A523">
        <v>3</v>
      </c>
      <c r="B523">
        <v>22</v>
      </c>
    </row>
    <row r="524" spans="1:2" x14ac:dyDescent="0.2">
      <c r="A524">
        <v>3</v>
      </c>
    </row>
    <row r="525" spans="1:2" x14ac:dyDescent="0.2">
      <c r="A525">
        <v>1</v>
      </c>
      <c r="B525">
        <v>44</v>
      </c>
    </row>
    <row r="526" spans="1:2" x14ac:dyDescent="0.2">
      <c r="A526">
        <v>3</v>
      </c>
    </row>
    <row r="527" spans="1:2" x14ac:dyDescent="0.2">
      <c r="A527">
        <v>3</v>
      </c>
      <c r="B527">
        <v>40.5</v>
      </c>
    </row>
    <row r="528" spans="1:2" x14ac:dyDescent="0.2">
      <c r="A528">
        <v>2</v>
      </c>
      <c r="B528">
        <v>50</v>
      </c>
    </row>
    <row r="529" spans="1:2" x14ac:dyDescent="0.2">
      <c r="A529">
        <v>1</v>
      </c>
    </row>
    <row r="530" spans="1:2" x14ac:dyDescent="0.2">
      <c r="A530">
        <v>3</v>
      </c>
      <c r="B530">
        <v>39</v>
      </c>
    </row>
    <row r="531" spans="1:2" x14ac:dyDescent="0.2">
      <c r="A531">
        <v>2</v>
      </c>
      <c r="B531">
        <v>23</v>
      </c>
    </row>
    <row r="532" spans="1:2" x14ac:dyDescent="0.2">
      <c r="A532">
        <v>2</v>
      </c>
      <c r="B532">
        <v>2</v>
      </c>
    </row>
    <row r="533" spans="1:2" x14ac:dyDescent="0.2">
      <c r="A533">
        <v>3</v>
      </c>
    </row>
    <row r="534" spans="1:2" x14ac:dyDescent="0.2">
      <c r="A534">
        <v>3</v>
      </c>
      <c r="B534">
        <v>17</v>
      </c>
    </row>
    <row r="535" spans="1:2" x14ac:dyDescent="0.2">
      <c r="A535">
        <v>3</v>
      </c>
    </row>
    <row r="536" spans="1:2" x14ac:dyDescent="0.2">
      <c r="A536">
        <v>3</v>
      </c>
      <c r="B536">
        <v>30</v>
      </c>
    </row>
    <row r="537" spans="1:2" x14ac:dyDescent="0.2">
      <c r="A537">
        <v>2</v>
      </c>
      <c r="B537">
        <v>7</v>
      </c>
    </row>
    <row r="538" spans="1:2" x14ac:dyDescent="0.2">
      <c r="A538">
        <v>1</v>
      </c>
      <c r="B538">
        <v>45</v>
      </c>
    </row>
    <row r="539" spans="1:2" x14ac:dyDescent="0.2">
      <c r="A539">
        <v>1</v>
      </c>
      <c r="B539">
        <v>30</v>
      </c>
    </row>
    <row r="540" spans="1:2" x14ac:dyDescent="0.2">
      <c r="A540">
        <v>3</v>
      </c>
    </row>
    <row r="541" spans="1:2" x14ac:dyDescent="0.2">
      <c r="A541">
        <v>1</v>
      </c>
      <c r="B541">
        <v>22</v>
      </c>
    </row>
    <row r="542" spans="1:2" x14ac:dyDescent="0.2">
      <c r="A542">
        <v>1</v>
      </c>
      <c r="B542">
        <v>36</v>
      </c>
    </row>
    <row r="543" spans="1:2" x14ac:dyDescent="0.2">
      <c r="A543">
        <v>3</v>
      </c>
      <c r="B543">
        <v>9</v>
      </c>
    </row>
    <row r="544" spans="1:2" x14ac:dyDescent="0.2">
      <c r="A544">
        <v>3</v>
      </c>
      <c r="B544">
        <v>11</v>
      </c>
    </row>
    <row r="545" spans="1:2" x14ac:dyDescent="0.2">
      <c r="A545">
        <v>2</v>
      </c>
      <c r="B545">
        <v>32</v>
      </c>
    </row>
    <row r="546" spans="1:2" x14ac:dyDescent="0.2">
      <c r="A546">
        <v>1</v>
      </c>
      <c r="B546">
        <v>50</v>
      </c>
    </row>
    <row r="547" spans="1:2" x14ac:dyDescent="0.2">
      <c r="A547">
        <v>1</v>
      </c>
      <c r="B547">
        <v>64</v>
      </c>
    </row>
    <row r="548" spans="1:2" x14ac:dyDescent="0.2">
      <c r="A548">
        <v>2</v>
      </c>
      <c r="B548">
        <v>19</v>
      </c>
    </row>
    <row r="549" spans="1:2" x14ac:dyDescent="0.2">
      <c r="A549">
        <v>2</v>
      </c>
    </row>
    <row r="550" spans="1:2" x14ac:dyDescent="0.2">
      <c r="A550">
        <v>3</v>
      </c>
      <c r="B550">
        <v>33</v>
      </c>
    </row>
    <row r="551" spans="1:2" x14ac:dyDescent="0.2">
      <c r="A551">
        <v>2</v>
      </c>
      <c r="B551">
        <v>8</v>
      </c>
    </row>
    <row r="552" spans="1:2" x14ac:dyDescent="0.2">
      <c r="A552">
        <v>1</v>
      </c>
      <c r="B552">
        <v>17</v>
      </c>
    </row>
    <row r="553" spans="1:2" x14ac:dyDescent="0.2">
      <c r="A553">
        <v>2</v>
      </c>
      <c r="B553">
        <v>27</v>
      </c>
    </row>
    <row r="554" spans="1:2" x14ac:dyDescent="0.2">
      <c r="A554">
        <v>3</v>
      </c>
    </row>
    <row r="555" spans="1:2" x14ac:dyDescent="0.2">
      <c r="A555">
        <v>3</v>
      </c>
      <c r="B555">
        <v>22</v>
      </c>
    </row>
    <row r="556" spans="1:2" x14ac:dyDescent="0.2">
      <c r="A556">
        <v>3</v>
      </c>
      <c r="B556">
        <v>22</v>
      </c>
    </row>
    <row r="557" spans="1:2" x14ac:dyDescent="0.2">
      <c r="A557">
        <v>1</v>
      </c>
      <c r="B557">
        <v>62</v>
      </c>
    </row>
    <row r="558" spans="1:2" x14ac:dyDescent="0.2">
      <c r="A558">
        <v>1</v>
      </c>
      <c r="B558">
        <v>48</v>
      </c>
    </row>
    <row r="559" spans="1:2" x14ac:dyDescent="0.2">
      <c r="A559">
        <v>1</v>
      </c>
    </row>
    <row r="560" spans="1:2" x14ac:dyDescent="0.2">
      <c r="A560">
        <v>1</v>
      </c>
      <c r="B560">
        <v>39</v>
      </c>
    </row>
    <row r="561" spans="1:2" x14ac:dyDescent="0.2">
      <c r="A561">
        <v>3</v>
      </c>
      <c r="B561">
        <v>36</v>
      </c>
    </row>
    <row r="562" spans="1:2" x14ac:dyDescent="0.2">
      <c r="A562">
        <v>3</v>
      </c>
    </row>
    <row r="563" spans="1:2" x14ac:dyDescent="0.2">
      <c r="A563">
        <v>3</v>
      </c>
      <c r="B563">
        <v>40</v>
      </c>
    </row>
    <row r="564" spans="1:2" x14ac:dyDescent="0.2">
      <c r="A564">
        <v>2</v>
      </c>
      <c r="B564">
        <v>28</v>
      </c>
    </row>
    <row r="565" spans="1:2" x14ac:dyDescent="0.2">
      <c r="A565">
        <v>3</v>
      </c>
    </row>
    <row r="566" spans="1:2" x14ac:dyDescent="0.2">
      <c r="A566">
        <v>3</v>
      </c>
    </row>
    <row r="567" spans="1:2" x14ac:dyDescent="0.2">
      <c r="A567">
        <v>3</v>
      </c>
      <c r="B567">
        <v>24</v>
      </c>
    </row>
    <row r="568" spans="1:2" x14ac:dyDescent="0.2">
      <c r="A568">
        <v>3</v>
      </c>
      <c r="B568">
        <v>19</v>
      </c>
    </row>
    <row r="569" spans="1:2" x14ac:dyDescent="0.2">
      <c r="A569">
        <v>3</v>
      </c>
      <c r="B569">
        <v>29</v>
      </c>
    </row>
    <row r="570" spans="1:2" x14ac:dyDescent="0.2">
      <c r="A570">
        <v>3</v>
      </c>
    </row>
    <row r="571" spans="1:2" x14ac:dyDescent="0.2">
      <c r="A571">
        <v>3</v>
      </c>
      <c r="B571">
        <v>32</v>
      </c>
    </row>
    <row r="572" spans="1:2" x14ac:dyDescent="0.2">
      <c r="A572">
        <v>2</v>
      </c>
      <c r="B572">
        <v>62</v>
      </c>
    </row>
    <row r="573" spans="1:2" x14ac:dyDescent="0.2">
      <c r="A573">
        <v>1</v>
      </c>
      <c r="B573">
        <v>53</v>
      </c>
    </row>
    <row r="574" spans="1:2" x14ac:dyDescent="0.2">
      <c r="A574">
        <v>1</v>
      </c>
      <c r="B574">
        <v>36</v>
      </c>
    </row>
    <row r="575" spans="1:2" x14ac:dyDescent="0.2">
      <c r="A575">
        <v>3</v>
      </c>
    </row>
    <row r="576" spans="1:2" x14ac:dyDescent="0.2">
      <c r="A576">
        <v>3</v>
      </c>
      <c r="B576">
        <v>16</v>
      </c>
    </row>
    <row r="577" spans="1:2" x14ac:dyDescent="0.2">
      <c r="A577">
        <v>3</v>
      </c>
      <c r="B577">
        <v>19</v>
      </c>
    </row>
    <row r="578" spans="1:2" x14ac:dyDescent="0.2">
      <c r="A578">
        <v>2</v>
      </c>
      <c r="B578">
        <v>34</v>
      </c>
    </row>
    <row r="579" spans="1:2" x14ac:dyDescent="0.2">
      <c r="A579">
        <v>1</v>
      </c>
      <c r="B579">
        <v>39</v>
      </c>
    </row>
    <row r="580" spans="1:2" x14ac:dyDescent="0.2">
      <c r="A580">
        <v>3</v>
      </c>
    </row>
    <row r="581" spans="1:2" x14ac:dyDescent="0.2">
      <c r="A581">
        <v>3</v>
      </c>
      <c r="B581">
        <v>32</v>
      </c>
    </row>
    <row r="582" spans="1:2" x14ac:dyDescent="0.2">
      <c r="A582">
        <v>2</v>
      </c>
      <c r="B582">
        <v>25</v>
      </c>
    </row>
    <row r="583" spans="1:2" x14ac:dyDescent="0.2">
      <c r="A583">
        <v>1</v>
      </c>
      <c r="B583">
        <v>39</v>
      </c>
    </row>
    <row r="584" spans="1:2" x14ac:dyDescent="0.2">
      <c r="A584">
        <v>2</v>
      </c>
      <c r="B584">
        <v>54</v>
      </c>
    </row>
    <row r="585" spans="1:2" x14ac:dyDescent="0.2">
      <c r="A585">
        <v>1</v>
      </c>
      <c r="B585">
        <v>36</v>
      </c>
    </row>
    <row r="586" spans="1:2" x14ac:dyDescent="0.2">
      <c r="A586">
        <v>3</v>
      </c>
    </row>
    <row r="587" spans="1:2" x14ac:dyDescent="0.2">
      <c r="A587">
        <v>1</v>
      </c>
      <c r="B587">
        <v>18</v>
      </c>
    </row>
    <row r="588" spans="1:2" x14ac:dyDescent="0.2">
      <c r="A588">
        <v>2</v>
      </c>
      <c r="B588">
        <v>47</v>
      </c>
    </row>
    <row r="589" spans="1:2" x14ac:dyDescent="0.2">
      <c r="A589">
        <v>1</v>
      </c>
      <c r="B589">
        <v>60</v>
      </c>
    </row>
    <row r="590" spans="1:2" x14ac:dyDescent="0.2">
      <c r="A590">
        <v>3</v>
      </c>
      <c r="B590">
        <v>22</v>
      </c>
    </row>
    <row r="591" spans="1:2" x14ac:dyDescent="0.2">
      <c r="A591">
        <v>3</v>
      </c>
    </row>
    <row r="592" spans="1:2" x14ac:dyDescent="0.2">
      <c r="A592">
        <v>3</v>
      </c>
      <c r="B592">
        <v>35</v>
      </c>
    </row>
    <row r="593" spans="1:2" x14ac:dyDescent="0.2">
      <c r="A593">
        <v>1</v>
      </c>
      <c r="B593">
        <v>52</v>
      </c>
    </row>
    <row r="594" spans="1:2" x14ac:dyDescent="0.2">
      <c r="A594">
        <v>3</v>
      </c>
      <c r="B594">
        <v>47</v>
      </c>
    </row>
    <row r="595" spans="1:2" x14ac:dyDescent="0.2">
      <c r="A595">
        <v>3</v>
      </c>
    </row>
    <row r="596" spans="1:2" x14ac:dyDescent="0.2">
      <c r="A596">
        <v>2</v>
      </c>
      <c r="B596">
        <v>37</v>
      </c>
    </row>
    <row r="597" spans="1:2" x14ac:dyDescent="0.2">
      <c r="A597">
        <v>3</v>
      </c>
      <c r="B597">
        <v>36</v>
      </c>
    </row>
    <row r="598" spans="1:2" x14ac:dyDescent="0.2">
      <c r="A598">
        <v>2</v>
      </c>
    </row>
    <row r="599" spans="1:2" x14ac:dyDescent="0.2">
      <c r="A599">
        <v>3</v>
      </c>
      <c r="B599">
        <v>49</v>
      </c>
    </row>
    <row r="600" spans="1:2" x14ac:dyDescent="0.2">
      <c r="A600">
        <v>3</v>
      </c>
    </row>
    <row r="601" spans="1:2" x14ac:dyDescent="0.2">
      <c r="A601">
        <v>1</v>
      </c>
      <c r="B601">
        <v>49</v>
      </c>
    </row>
    <row r="602" spans="1:2" x14ac:dyDescent="0.2">
      <c r="A602">
        <v>2</v>
      </c>
      <c r="B602">
        <v>24</v>
      </c>
    </row>
    <row r="603" spans="1:2" x14ac:dyDescent="0.2">
      <c r="A603">
        <v>3</v>
      </c>
    </row>
    <row r="604" spans="1:2" x14ac:dyDescent="0.2">
      <c r="A604">
        <v>1</v>
      </c>
    </row>
    <row r="605" spans="1:2" x14ac:dyDescent="0.2">
      <c r="A605">
        <v>3</v>
      </c>
      <c r="B605">
        <v>44</v>
      </c>
    </row>
    <row r="606" spans="1:2" x14ac:dyDescent="0.2">
      <c r="A606">
        <v>1</v>
      </c>
      <c r="B606">
        <v>35</v>
      </c>
    </row>
    <row r="607" spans="1:2" x14ac:dyDescent="0.2">
      <c r="A607">
        <v>3</v>
      </c>
      <c r="B607">
        <v>36</v>
      </c>
    </row>
    <row r="608" spans="1:2" x14ac:dyDescent="0.2">
      <c r="A608">
        <v>3</v>
      </c>
      <c r="B608">
        <v>30</v>
      </c>
    </row>
    <row r="609" spans="1:2" x14ac:dyDescent="0.2">
      <c r="A609">
        <v>1</v>
      </c>
      <c r="B609">
        <v>27</v>
      </c>
    </row>
    <row r="610" spans="1:2" x14ac:dyDescent="0.2">
      <c r="A610">
        <v>2</v>
      </c>
      <c r="B610">
        <v>22</v>
      </c>
    </row>
    <row r="611" spans="1:2" x14ac:dyDescent="0.2">
      <c r="A611">
        <v>1</v>
      </c>
      <c r="B611">
        <v>40</v>
      </c>
    </row>
    <row r="612" spans="1:2" x14ac:dyDescent="0.2">
      <c r="A612">
        <v>3</v>
      </c>
      <c r="B612">
        <v>39</v>
      </c>
    </row>
    <row r="613" spans="1:2" x14ac:dyDescent="0.2">
      <c r="A613">
        <v>3</v>
      </c>
    </row>
    <row r="614" spans="1:2" x14ac:dyDescent="0.2">
      <c r="A614">
        <v>3</v>
      </c>
    </row>
    <row r="615" spans="1:2" x14ac:dyDescent="0.2">
      <c r="A615">
        <v>3</v>
      </c>
    </row>
    <row r="616" spans="1:2" x14ac:dyDescent="0.2">
      <c r="A616">
        <v>3</v>
      </c>
      <c r="B616">
        <v>35</v>
      </c>
    </row>
    <row r="617" spans="1:2" x14ac:dyDescent="0.2">
      <c r="A617">
        <v>2</v>
      </c>
      <c r="B617">
        <v>24</v>
      </c>
    </row>
    <row r="618" spans="1:2" x14ac:dyDescent="0.2">
      <c r="A618">
        <v>3</v>
      </c>
      <c r="B618">
        <v>34</v>
      </c>
    </row>
    <row r="619" spans="1:2" x14ac:dyDescent="0.2">
      <c r="A619">
        <v>3</v>
      </c>
      <c r="B619">
        <v>26</v>
      </c>
    </row>
    <row r="620" spans="1:2" x14ac:dyDescent="0.2">
      <c r="A620">
        <v>2</v>
      </c>
      <c r="B620">
        <v>4</v>
      </c>
    </row>
    <row r="621" spans="1:2" x14ac:dyDescent="0.2">
      <c r="A621">
        <v>2</v>
      </c>
      <c r="B621">
        <v>26</v>
      </c>
    </row>
    <row r="622" spans="1:2" x14ac:dyDescent="0.2">
      <c r="A622">
        <v>3</v>
      </c>
      <c r="B622">
        <v>27</v>
      </c>
    </row>
    <row r="623" spans="1:2" x14ac:dyDescent="0.2">
      <c r="A623">
        <v>1</v>
      </c>
      <c r="B623">
        <v>42</v>
      </c>
    </row>
    <row r="624" spans="1:2" x14ac:dyDescent="0.2">
      <c r="A624">
        <v>3</v>
      </c>
      <c r="B624">
        <v>20</v>
      </c>
    </row>
    <row r="625" spans="1:2" x14ac:dyDescent="0.2">
      <c r="A625">
        <v>3</v>
      </c>
      <c r="B625">
        <v>21</v>
      </c>
    </row>
    <row r="626" spans="1:2" x14ac:dyDescent="0.2">
      <c r="A626">
        <v>3</v>
      </c>
      <c r="B626">
        <v>21</v>
      </c>
    </row>
    <row r="627" spans="1:2" x14ac:dyDescent="0.2">
      <c r="A627">
        <v>1</v>
      </c>
      <c r="B627">
        <v>61</v>
      </c>
    </row>
    <row r="628" spans="1:2" x14ac:dyDescent="0.2">
      <c r="A628">
        <v>2</v>
      </c>
      <c r="B628">
        <v>57</v>
      </c>
    </row>
    <row r="629" spans="1:2" x14ac:dyDescent="0.2">
      <c r="A629">
        <v>1</v>
      </c>
      <c r="B629">
        <v>21</v>
      </c>
    </row>
    <row r="630" spans="1:2" x14ac:dyDescent="0.2">
      <c r="A630">
        <v>3</v>
      </c>
      <c r="B630">
        <v>26</v>
      </c>
    </row>
    <row r="631" spans="1:2" x14ac:dyDescent="0.2">
      <c r="A631">
        <v>3</v>
      </c>
    </row>
    <row r="632" spans="1:2" x14ac:dyDescent="0.2">
      <c r="A632">
        <v>1</v>
      </c>
      <c r="B632">
        <v>80</v>
      </c>
    </row>
    <row r="633" spans="1:2" x14ac:dyDescent="0.2">
      <c r="A633">
        <v>3</v>
      </c>
      <c r="B633">
        <v>51</v>
      </c>
    </row>
    <row r="634" spans="1:2" x14ac:dyDescent="0.2">
      <c r="A634">
        <v>1</v>
      </c>
      <c r="B634">
        <v>32</v>
      </c>
    </row>
    <row r="635" spans="1:2" x14ac:dyDescent="0.2">
      <c r="A635">
        <v>1</v>
      </c>
    </row>
    <row r="636" spans="1:2" x14ac:dyDescent="0.2">
      <c r="A636">
        <v>3</v>
      </c>
      <c r="B636">
        <v>9</v>
      </c>
    </row>
    <row r="637" spans="1:2" x14ac:dyDescent="0.2">
      <c r="A637">
        <v>2</v>
      </c>
      <c r="B637">
        <v>28</v>
      </c>
    </row>
    <row r="638" spans="1:2" x14ac:dyDescent="0.2">
      <c r="A638">
        <v>3</v>
      </c>
      <c r="B638">
        <v>32</v>
      </c>
    </row>
    <row r="639" spans="1:2" x14ac:dyDescent="0.2">
      <c r="A639">
        <v>2</v>
      </c>
      <c r="B639">
        <v>31</v>
      </c>
    </row>
    <row r="640" spans="1:2" x14ac:dyDescent="0.2">
      <c r="A640">
        <v>3</v>
      </c>
      <c r="B640">
        <v>41</v>
      </c>
    </row>
    <row r="641" spans="1:2" x14ac:dyDescent="0.2">
      <c r="A641">
        <v>3</v>
      </c>
    </row>
    <row r="642" spans="1:2" x14ac:dyDescent="0.2">
      <c r="A642">
        <v>3</v>
      </c>
      <c r="B642">
        <v>20</v>
      </c>
    </row>
    <row r="643" spans="1:2" x14ac:dyDescent="0.2">
      <c r="A643">
        <v>1</v>
      </c>
      <c r="B643">
        <v>24</v>
      </c>
    </row>
    <row r="644" spans="1:2" x14ac:dyDescent="0.2">
      <c r="A644">
        <v>3</v>
      </c>
      <c r="B644">
        <v>2</v>
      </c>
    </row>
    <row r="645" spans="1:2" x14ac:dyDescent="0.2">
      <c r="A645">
        <v>3</v>
      </c>
    </row>
    <row r="646" spans="1:2" x14ac:dyDescent="0.2">
      <c r="A646">
        <v>3</v>
      </c>
      <c r="B646">
        <v>0.75</v>
      </c>
    </row>
    <row r="647" spans="1:2" x14ac:dyDescent="0.2">
      <c r="A647">
        <v>1</v>
      </c>
      <c r="B647">
        <v>48</v>
      </c>
    </row>
    <row r="648" spans="1:2" x14ac:dyDescent="0.2">
      <c r="A648">
        <v>3</v>
      </c>
      <c r="B648">
        <v>19</v>
      </c>
    </row>
    <row r="649" spans="1:2" x14ac:dyDescent="0.2">
      <c r="A649">
        <v>1</v>
      </c>
      <c r="B649">
        <v>56</v>
      </c>
    </row>
    <row r="650" spans="1:2" x14ac:dyDescent="0.2">
      <c r="A650">
        <v>3</v>
      </c>
    </row>
    <row r="651" spans="1:2" x14ac:dyDescent="0.2">
      <c r="A651">
        <v>3</v>
      </c>
      <c r="B651">
        <v>23</v>
      </c>
    </row>
    <row r="652" spans="1:2" x14ac:dyDescent="0.2">
      <c r="A652">
        <v>3</v>
      </c>
    </row>
    <row r="653" spans="1:2" x14ac:dyDescent="0.2">
      <c r="A653">
        <v>2</v>
      </c>
      <c r="B653">
        <v>18</v>
      </c>
    </row>
    <row r="654" spans="1:2" x14ac:dyDescent="0.2">
      <c r="A654">
        <v>3</v>
      </c>
      <c r="B654">
        <v>21</v>
      </c>
    </row>
    <row r="655" spans="1:2" x14ac:dyDescent="0.2">
      <c r="A655">
        <v>3</v>
      </c>
    </row>
    <row r="656" spans="1:2" x14ac:dyDescent="0.2">
      <c r="A656">
        <v>3</v>
      </c>
      <c r="B656">
        <v>18</v>
      </c>
    </row>
    <row r="657" spans="1:2" x14ac:dyDescent="0.2">
      <c r="A657">
        <v>2</v>
      </c>
      <c r="B657">
        <v>24</v>
      </c>
    </row>
    <row r="658" spans="1:2" x14ac:dyDescent="0.2">
      <c r="A658">
        <v>3</v>
      </c>
    </row>
    <row r="659" spans="1:2" x14ac:dyDescent="0.2">
      <c r="A659">
        <v>3</v>
      </c>
      <c r="B659">
        <v>32</v>
      </c>
    </row>
    <row r="660" spans="1:2" x14ac:dyDescent="0.2">
      <c r="A660">
        <v>2</v>
      </c>
      <c r="B660">
        <v>23</v>
      </c>
    </row>
    <row r="661" spans="1:2" x14ac:dyDescent="0.2">
      <c r="A661">
        <v>1</v>
      </c>
      <c r="B661">
        <v>58</v>
      </c>
    </row>
    <row r="662" spans="1:2" x14ac:dyDescent="0.2">
      <c r="A662">
        <v>1</v>
      </c>
      <c r="B662">
        <v>50</v>
      </c>
    </row>
    <row r="663" spans="1:2" x14ac:dyDescent="0.2">
      <c r="A663">
        <v>3</v>
      </c>
      <c r="B663">
        <v>40</v>
      </c>
    </row>
    <row r="664" spans="1:2" x14ac:dyDescent="0.2">
      <c r="A664">
        <v>1</v>
      </c>
      <c r="B664">
        <v>47</v>
      </c>
    </row>
    <row r="665" spans="1:2" x14ac:dyDescent="0.2">
      <c r="A665">
        <v>3</v>
      </c>
      <c r="B665">
        <v>36</v>
      </c>
    </row>
    <row r="666" spans="1:2" x14ac:dyDescent="0.2">
      <c r="A666">
        <v>3</v>
      </c>
      <c r="B666">
        <v>20</v>
      </c>
    </row>
    <row r="667" spans="1:2" x14ac:dyDescent="0.2">
      <c r="A667">
        <v>2</v>
      </c>
      <c r="B667">
        <v>32</v>
      </c>
    </row>
    <row r="668" spans="1:2" x14ac:dyDescent="0.2">
      <c r="A668">
        <v>2</v>
      </c>
      <c r="B668">
        <v>25</v>
      </c>
    </row>
    <row r="669" spans="1:2" x14ac:dyDescent="0.2">
      <c r="A669">
        <v>3</v>
      </c>
    </row>
    <row r="670" spans="1:2" x14ac:dyDescent="0.2">
      <c r="A670">
        <v>3</v>
      </c>
      <c r="B670">
        <v>43</v>
      </c>
    </row>
    <row r="671" spans="1:2" x14ac:dyDescent="0.2">
      <c r="A671">
        <v>1</v>
      </c>
    </row>
    <row r="672" spans="1:2" x14ac:dyDescent="0.2">
      <c r="A672">
        <v>2</v>
      </c>
      <c r="B672">
        <v>40</v>
      </c>
    </row>
    <row r="673" spans="1:2" x14ac:dyDescent="0.2">
      <c r="A673">
        <v>1</v>
      </c>
      <c r="B673">
        <v>31</v>
      </c>
    </row>
    <row r="674" spans="1:2" x14ac:dyDescent="0.2">
      <c r="A674">
        <v>2</v>
      </c>
      <c r="B674">
        <v>70</v>
      </c>
    </row>
    <row r="675" spans="1:2" x14ac:dyDescent="0.2">
      <c r="A675">
        <v>2</v>
      </c>
      <c r="B675">
        <v>31</v>
      </c>
    </row>
    <row r="676" spans="1:2" x14ac:dyDescent="0.2">
      <c r="A676">
        <v>2</v>
      </c>
    </row>
    <row r="677" spans="1:2" x14ac:dyDescent="0.2">
      <c r="A677">
        <v>3</v>
      </c>
      <c r="B677">
        <v>18</v>
      </c>
    </row>
    <row r="678" spans="1:2" x14ac:dyDescent="0.2">
      <c r="A678">
        <v>3</v>
      </c>
      <c r="B678">
        <v>24.5</v>
      </c>
    </row>
    <row r="679" spans="1:2" x14ac:dyDescent="0.2">
      <c r="A679">
        <v>3</v>
      </c>
      <c r="B679">
        <v>18</v>
      </c>
    </row>
    <row r="680" spans="1:2" x14ac:dyDescent="0.2">
      <c r="A680">
        <v>3</v>
      </c>
      <c r="B680">
        <v>43</v>
      </c>
    </row>
    <row r="681" spans="1:2" x14ac:dyDescent="0.2">
      <c r="A681">
        <v>1</v>
      </c>
      <c r="B681">
        <v>36</v>
      </c>
    </row>
    <row r="682" spans="1:2" x14ac:dyDescent="0.2">
      <c r="A682">
        <v>3</v>
      </c>
    </row>
    <row r="683" spans="1:2" x14ac:dyDescent="0.2">
      <c r="A683">
        <v>1</v>
      </c>
      <c r="B683">
        <v>27</v>
      </c>
    </row>
    <row r="684" spans="1:2" x14ac:dyDescent="0.2">
      <c r="A684">
        <v>3</v>
      </c>
      <c r="B684">
        <v>20</v>
      </c>
    </row>
    <row r="685" spans="1:2" x14ac:dyDescent="0.2">
      <c r="A685">
        <v>3</v>
      </c>
      <c r="B685">
        <v>14</v>
      </c>
    </row>
    <row r="686" spans="1:2" x14ac:dyDescent="0.2">
      <c r="A686">
        <v>2</v>
      </c>
      <c r="B686">
        <v>60</v>
      </c>
    </row>
    <row r="687" spans="1:2" x14ac:dyDescent="0.2">
      <c r="A687">
        <v>2</v>
      </c>
      <c r="B687">
        <v>25</v>
      </c>
    </row>
    <row r="688" spans="1:2" x14ac:dyDescent="0.2">
      <c r="A688">
        <v>3</v>
      </c>
      <c r="B688">
        <v>14</v>
      </c>
    </row>
    <row r="689" spans="1:2" x14ac:dyDescent="0.2">
      <c r="A689">
        <v>3</v>
      </c>
      <c r="B689">
        <v>19</v>
      </c>
    </row>
    <row r="690" spans="1:2" x14ac:dyDescent="0.2">
      <c r="A690">
        <v>3</v>
      </c>
      <c r="B690">
        <v>18</v>
      </c>
    </row>
    <row r="691" spans="1:2" x14ac:dyDescent="0.2">
      <c r="A691">
        <v>1</v>
      </c>
      <c r="B691">
        <v>15</v>
      </c>
    </row>
    <row r="692" spans="1:2" x14ac:dyDescent="0.2">
      <c r="A692">
        <v>1</v>
      </c>
      <c r="B692">
        <v>31</v>
      </c>
    </row>
    <row r="693" spans="1:2" x14ac:dyDescent="0.2">
      <c r="A693">
        <v>3</v>
      </c>
      <c r="B693">
        <v>4</v>
      </c>
    </row>
    <row r="694" spans="1:2" x14ac:dyDescent="0.2">
      <c r="A694">
        <v>3</v>
      </c>
    </row>
    <row r="695" spans="1:2" x14ac:dyDescent="0.2">
      <c r="A695">
        <v>3</v>
      </c>
      <c r="B695">
        <v>25</v>
      </c>
    </row>
    <row r="696" spans="1:2" x14ac:dyDescent="0.2">
      <c r="A696">
        <v>1</v>
      </c>
      <c r="B696">
        <v>60</v>
      </c>
    </row>
    <row r="697" spans="1:2" x14ac:dyDescent="0.2">
      <c r="A697">
        <v>2</v>
      </c>
      <c r="B697">
        <v>52</v>
      </c>
    </row>
    <row r="698" spans="1:2" x14ac:dyDescent="0.2">
      <c r="A698">
        <v>3</v>
      </c>
      <c r="B698">
        <v>44</v>
      </c>
    </row>
    <row r="699" spans="1:2" x14ac:dyDescent="0.2">
      <c r="A699">
        <v>3</v>
      </c>
    </row>
    <row r="700" spans="1:2" x14ac:dyDescent="0.2">
      <c r="A700">
        <v>1</v>
      </c>
      <c r="B700">
        <v>49</v>
      </c>
    </row>
    <row r="701" spans="1:2" x14ac:dyDescent="0.2">
      <c r="A701">
        <v>3</v>
      </c>
      <c r="B701">
        <v>42</v>
      </c>
    </row>
    <row r="702" spans="1:2" x14ac:dyDescent="0.2">
      <c r="A702">
        <v>1</v>
      </c>
      <c r="B702">
        <v>18</v>
      </c>
    </row>
    <row r="703" spans="1:2" x14ac:dyDescent="0.2">
      <c r="A703">
        <v>1</v>
      </c>
      <c r="B703">
        <v>35</v>
      </c>
    </row>
    <row r="704" spans="1:2" x14ac:dyDescent="0.2">
      <c r="A704">
        <v>3</v>
      </c>
      <c r="B704">
        <v>18</v>
      </c>
    </row>
    <row r="705" spans="1:2" x14ac:dyDescent="0.2">
      <c r="A705">
        <v>3</v>
      </c>
      <c r="B705">
        <v>25</v>
      </c>
    </row>
    <row r="706" spans="1:2" x14ac:dyDescent="0.2">
      <c r="A706">
        <v>3</v>
      </c>
      <c r="B706">
        <v>26</v>
      </c>
    </row>
    <row r="707" spans="1:2" x14ac:dyDescent="0.2">
      <c r="A707">
        <v>2</v>
      </c>
      <c r="B707">
        <v>39</v>
      </c>
    </row>
    <row r="708" spans="1:2" x14ac:dyDescent="0.2">
      <c r="A708">
        <v>2</v>
      </c>
      <c r="B708">
        <v>45</v>
      </c>
    </row>
    <row r="709" spans="1:2" x14ac:dyDescent="0.2">
      <c r="A709">
        <v>1</v>
      </c>
      <c r="B709">
        <v>42</v>
      </c>
    </row>
    <row r="710" spans="1:2" x14ac:dyDescent="0.2">
      <c r="A710">
        <v>1</v>
      </c>
      <c r="B710">
        <v>22</v>
      </c>
    </row>
    <row r="711" spans="1:2" x14ac:dyDescent="0.2">
      <c r="A711">
        <v>3</v>
      </c>
    </row>
    <row r="712" spans="1:2" x14ac:dyDescent="0.2">
      <c r="A712">
        <v>1</v>
      </c>
      <c r="B712">
        <v>24</v>
      </c>
    </row>
    <row r="713" spans="1:2" x14ac:dyDescent="0.2">
      <c r="A713">
        <v>1</v>
      </c>
    </row>
    <row r="714" spans="1:2" x14ac:dyDescent="0.2">
      <c r="A714">
        <v>1</v>
      </c>
      <c r="B714">
        <v>48</v>
      </c>
    </row>
    <row r="715" spans="1:2" x14ac:dyDescent="0.2">
      <c r="A715">
        <v>3</v>
      </c>
      <c r="B715">
        <v>29</v>
      </c>
    </row>
    <row r="716" spans="1:2" x14ac:dyDescent="0.2">
      <c r="A716">
        <v>2</v>
      </c>
      <c r="B716">
        <v>52</v>
      </c>
    </row>
    <row r="717" spans="1:2" x14ac:dyDescent="0.2">
      <c r="A717">
        <v>3</v>
      </c>
      <c r="B717">
        <v>19</v>
      </c>
    </row>
    <row r="718" spans="1:2" x14ac:dyDescent="0.2">
      <c r="A718">
        <v>1</v>
      </c>
      <c r="B718">
        <v>38</v>
      </c>
    </row>
    <row r="719" spans="1:2" x14ac:dyDescent="0.2">
      <c r="A719">
        <v>2</v>
      </c>
      <c r="B719">
        <v>27</v>
      </c>
    </row>
    <row r="720" spans="1:2" x14ac:dyDescent="0.2">
      <c r="A720">
        <v>3</v>
      </c>
    </row>
    <row r="721" spans="1:2" x14ac:dyDescent="0.2">
      <c r="A721">
        <v>3</v>
      </c>
      <c r="B721">
        <v>33</v>
      </c>
    </row>
    <row r="722" spans="1:2" x14ac:dyDescent="0.2">
      <c r="A722">
        <v>2</v>
      </c>
      <c r="B722">
        <v>6</v>
      </c>
    </row>
    <row r="723" spans="1:2" x14ac:dyDescent="0.2">
      <c r="A723">
        <v>3</v>
      </c>
      <c r="B723">
        <v>17</v>
      </c>
    </row>
    <row r="724" spans="1:2" x14ac:dyDescent="0.2">
      <c r="A724">
        <v>2</v>
      </c>
      <c r="B724">
        <v>34</v>
      </c>
    </row>
    <row r="725" spans="1:2" x14ac:dyDescent="0.2">
      <c r="A725">
        <v>2</v>
      </c>
      <c r="B725">
        <v>50</v>
      </c>
    </row>
    <row r="726" spans="1:2" x14ac:dyDescent="0.2">
      <c r="A726">
        <v>1</v>
      </c>
      <c r="B726">
        <v>27</v>
      </c>
    </row>
    <row r="727" spans="1:2" x14ac:dyDescent="0.2">
      <c r="A727">
        <v>3</v>
      </c>
      <c r="B727">
        <v>20</v>
      </c>
    </row>
    <row r="728" spans="1:2" x14ac:dyDescent="0.2">
      <c r="A728">
        <v>2</v>
      </c>
      <c r="B728">
        <v>30</v>
      </c>
    </row>
    <row r="729" spans="1:2" x14ac:dyDescent="0.2">
      <c r="A729">
        <v>3</v>
      </c>
    </row>
    <row r="730" spans="1:2" x14ac:dyDescent="0.2">
      <c r="A730">
        <v>2</v>
      </c>
      <c r="B730">
        <v>25</v>
      </c>
    </row>
    <row r="731" spans="1:2" x14ac:dyDescent="0.2">
      <c r="A731">
        <v>3</v>
      </c>
      <c r="B731">
        <v>25</v>
      </c>
    </row>
    <row r="732" spans="1:2" x14ac:dyDescent="0.2">
      <c r="A732">
        <v>1</v>
      </c>
      <c r="B732">
        <v>29</v>
      </c>
    </row>
    <row r="733" spans="1:2" x14ac:dyDescent="0.2">
      <c r="A733">
        <v>3</v>
      </c>
      <c r="B733">
        <v>11</v>
      </c>
    </row>
    <row r="734" spans="1:2" x14ac:dyDescent="0.2">
      <c r="A734">
        <v>2</v>
      </c>
    </row>
    <row r="735" spans="1:2" x14ac:dyDescent="0.2">
      <c r="A735">
        <v>2</v>
      </c>
      <c r="B735">
        <v>23</v>
      </c>
    </row>
    <row r="736" spans="1:2" x14ac:dyDescent="0.2">
      <c r="A736">
        <v>2</v>
      </c>
      <c r="B736">
        <v>23</v>
      </c>
    </row>
    <row r="737" spans="1:2" x14ac:dyDescent="0.2">
      <c r="A737">
        <v>3</v>
      </c>
      <c r="B737">
        <v>28.5</v>
      </c>
    </row>
    <row r="738" spans="1:2" x14ac:dyDescent="0.2">
      <c r="A738">
        <v>3</v>
      </c>
      <c r="B738">
        <v>48</v>
      </c>
    </row>
    <row r="739" spans="1:2" x14ac:dyDescent="0.2">
      <c r="A739">
        <v>1</v>
      </c>
      <c r="B739">
        <v>35</v>
      </c>
    </row>
    <row r="740" spans="1:2" x14ac:dyDescent="0.2">
      <c r="A740">
        <v>3</v>
      </c>
    </row>
    <row r="741" spans="1:2" x14ac:dyDescent="0.2">
      <c r="A741">
        <v>3</v>
      </c>
    </row>
    <row r="742" spans="1:2" x14ac:dyDescent="0.2">
      <c r="A742">
        <v>1</v>
      </c>
    </row>
    <row r="743" spans="1:2" x14ac:dyDescent="0.2">
      <c r="A743">
        <v>1</v>
      </c>
      <c r="B743">
        <v>36</v>
      </c>
    </row>
    <row r="744" spans="1:2" x14ac:dyDescent="0.2">
      <c r="A744">
        <v>1</v>
      </c>
      <c r="B744">
        <v>21</v>
      </c>
    </row>
    <row r="745" spans="1:2" x14ac:dyDescent="0.2">
      <c r="A745">
        <v>3</v>
      </c>
      <c r="B745">
        <v>24</v>
      </c>
    </row>
    <row r="746" spans="1:2" x14ac:dyDescent="0.2">
      <c r="A746">
        <v>3</v>
      </c>
      <c r="B746">
        <v>31</v>
      </c>
    </row>
    <row r="747" spans="1:2" x14ac:dyDescent="0.2">
      <c r="A747">
        <v>1</v>
      </c>
      <c r="B747">
        <v>70</v>
      </c>
    </row>
    <row r="748" spans="1:2" x14ac:dyDescent="0.2">
      <c r="A748">
        <v>3</v>
      </c>
      <c r="B748">
        <v>16</v>
      </c>
    </row>
    <row r="749" spans="1:2" x14ac:dyDescent="0.2">
      <c r="A749">
        <v>2</v>
      </c>
      <c r="B749">
        <v>30</v>
      </c>
    </row>
    <row r="750" spans="1:2" x14ac:dyDescent="0.2">
      <c r="A750">
        <v>1</v>
      </c>
      <c r="B750">
        <v>19</v>
      </c>
    </row>
    <row r="751" spans="1:2" x14ac:dyDescent="0.2">
      <c r="A751">
        <v>3</v>
      </c>
      <c r="B751">
        <v>31</v>
      </c>
    </row>
    <row r="752" spans="1:2" x14ac:dyDescent="0.2">
      <c r="A752">
        <v>2</v>
      </c>
      <c r="B752">
        <v>4</v>
      </c>
    </row>
    <row r="753" spans="1:2" x14ac:dyDescent="0.2">
      <c r="A753">
        <v>3</v>
      </c>
      <c r="B753">
        <v>6</v>
      </c>
    </row>
    <row r="754" spans="1:2" x14ac:dyDescent="0.2">
      <c r="A754">
        <v>3</v>
      </c>
      <c r="B754">
        <v>33</v>
      </c>
    </row>
    <row r="755" spans="1:2" x14ac:dyDescent="0.2">
      <c r="A755">
        <v>3</v>
      </c>
      <c r="B755">
        <v>23</v>
      </c>
    </row>
    <row r="756" spans="1:2" x14ac:dyDescent="0.2">
      <c r="A756">
        <v>2</v>
      </c>
      <c r="B756">
        <v>48</v>
      </c>
    </row>
    <row r="757" spans="1:2" x14ac:dyDescent="0.2">
      <c r="A757">
        <v>2</v>
      </c>
      <c r="B757">
        <v>0.67</v>
      </c>
    </row>
    <row r="758" spans="1:2" x14ac:dyDescent="0.2">
      <c r="A758">
        <v>3</v>
      </c>
      <c r="B758">
        <v>28</v>
      </c>
    </row>
    <row r="759" spans="1:2" x14ac:dyDescent="0.2">
      <c r="A759">
        <v>2</v>
      </c>
      <c r="B759">
        <v>18</v>
      </c>
    </row>
    <row r="760" spans="1:2" x14ac:dyDescent="0.2">
      <c r="A760">
        <v>3</v>
      </c>
      <c r="B760">
        <v>34</v>
      </c>
    </row>
    <row r="761" spans="1:2" x14ac:dyDescent="0.2">
      <c r="A761">
        <v>1</v>
      </c>
      <c r="B761">
        <v>33</v>
      </c>
    </row>
    <row r="762" spans="1:2" x14ac:dyDescent="0.2">
      <c r="A762">
        <v>3</v>
      </c>
    </row>
    <row r="763" spans="1:2" x14ac:dyDescent="0.2">
      <c r="A763">
        <v>3</v>
      </c>
      <c r="B763">
        <v>41</v>
      </c>
    </row>
    <row r="764" spans="1:2" x14ac:dyDescent="0.2">
      <c r="A764">
        <v>3</v>
      </c>
      <c r="B764">
        <v>20</v>
      </c>
    </row>
    <row r="765" spans="1:2" x14ac:dyDescent="0.2">
      <c r="A765">
        <v>1</v>
      </c>
      <c r="B765">
        <v>36</v>
      </c>
    </row>
    <row r="766" spans="1:2" x14ac:dyDescent="0.2">
      <c r="A766">
        <v>3</v>
      </c>
      <c r="B766">
        <v>16</v>
      </c>
    </row>
    <row r="767" spans="1:2" x14ac:dyDescent="0.2">
      <c r="A767">
        <v>1</v>
      </c>
      <c r="B767">
        <v>51</v>
      </c>
    </row>
    <row r="768" spans="1:2" x14ac:dyDescent="0.2">
      <c r="A768">
        <v>1</v>
      </c>
    </row>
    <row r="769" spans="1:2" x14ac:dyDescent="0.2">
      <c r="A769">
        <v>3</v>
      </c>
      <c r="B769">
        <v>30.5</v>
      </c>
    </row>
    <row r="770" spans="1:2" x14ac:dyDescent="0.2">
      <c r="A770">
        <v>3</v>
      </c>
    </row>
    <row r="771" spans="1:2" x14ac:dyDescent="0.2">
      <c r="A771">
        <v>3</v>
      </c>
      <c r="B771">
        <v>32</v>
      </c>
    </row>
    <row r="772" spans="1:2" x14ac:dyDescent="0.2">
      <c r="A772">
        <v>3</v>
      </c>
      <c r="B772">
        <v>24</v>
      </c>
    </row>
    <row r="773" spans="1:2" x14ac:dyDescent="0.2">
      <c r="A773">
        <v>3</v>
      </c>
      <c r="B773">
        <v>48</v>
      </c>
    </row>
    <row r="774" spans="1:2" x14ac:dyDescent="0.2">
      <c r="A774">
        <v>2</v>
      </c>
      <c r="B774">
        <v>57</v>
      </c>
    </row>
    <row r="775" spans="1:2" x14ac:dyDescent="0.2">
      <c r="A775">
        <v>3</v>
      </c>
    </row>
    <row r="776" spans="1:2" x14ac:dyDescent="0.2">
      <c r="A776">
        <v>2</v>
      </c>
      <c r="B776">
        <v>54</v>
      </c>
    </row>
    <row r="777" spans="1:2" x14ac:dyDescent="0.2">
      <c r="A777">
        <v>3</v>
      </c>
      <c r="B777">
        <v>18</v>
      </c>
    </row>
    <row r="778" spans="1:2" x14ac:dyDescent="0.2">
      <c r="A778">
        <v>3</v>
      </c>
    </row>
    <row r="779" spans="1:2" x14ac:dyDescent="0.2">
      <c r="A779">
        <v>3</v>
      </c>
      <c r="B779">
        <v>5</v>
      </c>
    </row>
    <row r="780" spans="1:2" x14ac:dyDescent="0.2">
      <c r="A780">
        <v>3</v>
      </c>
    </row>
    <row r="781" spans="1:2" x14ac:dyDescent="0.2">
      <c r="A781">
        <v>1</v>
      </c>
      <c r="B781">
        <v>43</v>
      </c>
    </row>
    <row r="782" spans="1:2" x14ac:dyDescent="0.2">
      <c r="A782">
        <v>3</v>
      </c>
      <c r="B782">
        <v>13</v>
      </c>
    </row>
    <row r="783" spans="1:2" x14ac:dyDescent="0.2">
      <c r="A783">
        <v>1</v>
      </c>
      <c r="B783">
        <v>17</v>
      </c>
    </row>
    <row r="784" spans="1:2" x14ac:dyDescent="0.2">
      <c r="A784">
        <v>1</v>
      </c>
      <c r="B784">
        <v>29</v>
      </c>
    </row>
    <row r="785" spans="1:2" x14ac:dyDescent="0.2">
      <c r="A785">
        <v>3</v>
      </c>
    </row>
    <row r="786" spans="1:2" x14ac:dyDescent="0.2">
      <c r="A786">
        <v>3</v>
      </c>
      <c r="B786">
        <v>25</v>
      </c>
    </row>
    <row r="787" spans="1:2" x14ac:dyDescent="0.2">
      <c r="A787">
        <v>3</v>
      </c>
      <c r="B787">
        <v>25</v>
      </c>
    </row>
    <row r="788" spans="1:2" x14ac:dyDescent="0.2">
      <c r="A788">
        <v>3</v>
      </c>
      <c r="B788">
        <v>18</v>
      </c>
    </row>
    <row r="789" spans="1:2" x14ac:dyDescent="0.2">
      <c r="A789">
        <v>3</v>
      </c>
      <c r="B789">
        <v>8</v>
      </c>
    </row>
    <row r="790" spans="1:2" x14ac:dyDescent="0.2">
      <c r="A790">
        <v>3</v>
      </c>
      <c r="B790">
        <v>1</v>
      </c>
    </row>
    <row r="791" spans="1:2" x14ac:dyDescent="0.2">
      <c r="A791">
        <v>1</v>
      </c>
      <c r="B791">
        <v>46</v>
      </c>
    </row>
    <row r="792" spans="1:2" x14ac:dyDescent="0.2">
      <c r="A792">
        <v>3</v>
      </c>
    </row>
    <row r="793" spans="1:2" x14ac:dyDescent="0.2">
      <c r="A793">
        <v>2</v>
      </c>
      <c r="B793">
        <v>16</v>
      </c>
    </row>
    <row r="794" spans="1:2" x14ac:dyDescent="0.2">
      <c r="A794">
        <v>3</v>
      </c>
    </row>
    <row r="795" spans="1:2" x14ac:dyDescent="0.2">
      <c r="A795">
        <v>1</v>
      </c>
    </row>
    <row r="796" spans="1:2" x14ac:dyDescent="0.2">
      <c r="A796">
        <v>3</v>
      </c>
      <c r="B796">
        <v>25</v>
      </c>
    </row>
    <row r="797" spans="1:2" x14ac:dyDescent="0.2">
      <c r="A797">
        <v>2</v>
      </c>
      <c r="B797">
        <v>39</v>
      </c>
    </row>
    <row r="798" spans="1:2" x14ac:dyDescent="0.2">
      <c r="A798">
        <v>1</v>
      </c>
      <c r="B798">
        <v>49</v>
      </c>
    </row>
    <row r="799" spans="1:2" x14ac:dyDescent="0.2">
      <c r="A799">
        <v>3</v>
      </c>
      <c r="B799">
        <v>31</v>
      </c>
    </row>
    <row r="800" spans="1:2" x14ac:dyDescent="0.2">
      <c r="A800">
        <v>3</v>
      </c>
      <c r="B800">
        <v>30</v>
      </c>
    </row>
    <row r="801" spans="1:2" x14ac:dyDescent="0.2">
      <c r="A801">
        <v>3</v>
      </c>
      <c r="B801">
        <v>30</v>
      </c>
    </row>
    <row r="802" spans="1:2" x14ac:dyDescent="0.2">
      <c r="A802">
        <v>2</v>
      </c>
      <c r="B802">
        <v>34</v>
      </c>
    </row>
    <row r="803" spans="1:2" x14ac:dyDescent="0.2">
      <c r="A803">
        <v>2</v>
      </c>
      <c r="B803">
        <v>31</v>
      </c>
    </row>
    <row r="804" spans="1:2" x14ac:dyDescent="0.2">
      <c r="A804">
        <v>1</v>
      </c>
      <c r="B804">
        <v>11</v>
      </c>
    </row>
    <row r="805" spans="1:2" x14ac:dyDescent="0.2">
      <c r="A805">
        <v>3</v>
      </c>
      <c r="B805">
        <v>0.42</v>
      </c>
    </row>
    <row r="806" spans="1:2" x14ac:dyDescent="0.2">
      <c r="A806">
        <v>3</v>
      </c>
      <c r="B806">
        <v>27</v>
      </c>
    </row>
    <row r="807" spans="1:2" x14ac:dyDescent="0.2">
      <c r="A807">
        <v>3</v>
      </c>
      <c r="B807">
        <v>31</v>
      </c>
    </row>
    <row r="808" spans="1:2" x14ac:dyDescent="0.2">
      <c r="A808">
        <v>1</v>
      </c>
      <c r="B808">
        <v>39</v>
      </c>
    </row>
    <row r="809" spans="1:2" x14ac:dyDescent="0.2">
      <c r="A809">
        <v>3</v>
      </c>
      <c r="B809">
        <v>18</v>
      </c>
    </row>
    <row r="810" spans="1:2" x14ac:dyDescent="0.2">
      <c r="A810">
        <v>2</v>
      </c>
      <c r="B810">
        <v>39</v>
      </c>
    </row>
    <row r="811" spans="1:2" x14ac:dyDescent="0.2">
      <c r="A811">
        <v>1</v>
      </c>
      <c r="B811">
        <v>33</v>
      </c>
    </row>
    <row r="812" spans="1:2" x14ac:dyDescent="0.2">
      <c r="A812">
        <v>3</v>
      </c>
      <c r="B812">
        <v>26</v>
      </c>
    </row>
    <row r="813" spans="1:2" x14ac:dyDescent="0.2">
      <c r="A813">
        <v>3</v>
      </c>
      <c r="B813">
        <v>39</v>
      </c>
    </row>
    <row r="814" spans="1:2" x14ac:dyDescent="0.2">
      <c r="A814">
        <v>2</v>
      </c>
      <c r="B814">
        <v>35</v>
      </c>
    </row>
    <row r="815" spans="1:2" x14ac:dyDescent="0.2">
      <c r="A815">
        <v>3</v>
      </c>
      <c r="B815">
        <v>6</v>
      </c>
    </row>
    <row r="816" spans="1:2" x14ac:dyDescent="0.2">
      <c r="A816">
        <v>3</v>
      </c>
      <c r="B816">
        <v>30.5</v>
      </c>
    </row>
    <row r="817" spans="1:2" x14ac:dyDescent="0.2">
      <c r="A817">
        <v>1</v>
      </c>
    </row>
    <row r="818" spans="1:2" x14ac:dyDescent="0.2">
      <c r="A818">
        <v>3</v>
      </c>
      <c r="B818">
        <v>23</v>
      </c>
    </row>
    <row r="819" spans="1:2" x14ac:dyDescent="0.2">
      <c r="A819">
        <v>2</v>
      </c>
      <c r="B819">
        <v>31</v>
      </c>
    </row>
    <row r="820" spans="1:2" x14ac:dyDescent="0.2">
      <c r="A820">
        <v>3</v>
      </c>
      <c r="B820">
        <v>43</v>
      </c>
    </row>
    <row r="821" spans="1:2" x14ac:dyDescent="0.2">
      <c r="A821">
        <v>3</v>
      </c>
      <c r="B821">
        <v>10</v>
      </c>
    </row>
    <row r="822" spans="1:2" x14ac:dyDescent="0.2">
      <c r="A822">
        <v>1</v>
      </c>
      <c r="B822">
        <v>52</v>
      </c>
    </row>
    <row r="823" spans="1:2" x14ac:dyDescent="0.2">
      <c r="A823">
        <v>3</v>
      </c>
      <c r="B823">
        <v>27</v>
      </c>
    </row>
    <row r="824" spans="1:2" x14ac:dyDescent="0.2">
      <c r="A824">
        <v>1</v>
      </c>
      <c r="B824">
        <v>38</v>
      </c>
    </row>
    <row r="825" spans="1:2" x14ac:dyDescent="0.2">
      <c r="A825">
        <v>3</v>
      </c>
      <c r="B825">
        <v>27</v>
      </c>
    </row>
    <row r="826" spans="1:2" x14ac:dyDescent="0.2">
      <c r="A826">
        <v>3</v>
      </c>
      <c r="B826">
        <v>2</v>
      </c>
    </row>
    <row r="827" spans="1:2" x14ac:dyDescent="0.2">
      <c r="A827">
        <v>3</v>
      </c>
    </row>
    <row r="828" spans="1:2" x14ac:dyDescent="0.2">
      <c r="A828">
        <v>3</v>
      </c>
    </row>
    <row r="829" spans="1:2" x14ac:dyDescent="0.2">
      <c r="A829">
        <v>2</v>
      </c>
      <c r="B829">
        <v>1</v>
      </c>
    </row>
    <row r="830" spans="1:2" x14ac:dyDescent="0.2">
      <c r="A830">
        <v>3</v>
      </c>
    </row>
    <row r="831" spans="1:2" x14ac:dyDescent="0.2">
      <c r="A831">
        <v>1</v>
      </c>
      <c r="B831">
        <v>62</v>
      </c>
    </row>
    <row r="832" spans="1:2" x14ac:dyDescent="0.2">
      <c r="A832">
        <v>3</v>
      </c>
      <c r="B832">
        <v>15</v>
      </c>
    </row>
    <row r="833" spans="1:2" x14ac:dyDescent="0.2">
      <c r="A833">
        <v>2</v>
      </c>
      <c r="B833">
        <v>0.83</v>
      </c>
    </row>
    <row r="834" spans="1:2" x14ac:dyDescent="0.2">
      <c r="A834">
        <v>3</v>
      </c>
    </row>
    <row r="835" spans="1:2" x14ac:dyDescent="0.2">
      <c r="A835">
        <v>3</v>
      </c>
      <c r="B835">
        <v>23</v>
      </c>
    </row>
    <row r="836" spans="1:2" x14ac:dyDescent="0.2">
      <c r="A836">
        <v>3</v>
      </c>
      <c r="B836">
        <v>18</v>
      </c>
    </row>
    <row r="837" spans="1:2" x14ac:dyDescent="0.2">
      <c r="A837">
        <v>1</v>
      </c>
      <c r="B837">
        <v>39</v>
      </c>
    </row>
    <row r="838" spans="1:2" x14ac:dyDescent="0.2">
      <c r="A838">
        <v>3</v>
      </c>
      <c r="B838">
        <v>21</v>
      </c>
    </row>
    <row r="839" spans="1:2" x14ac:dyDescent="0.2">
      <c r="A839">
        <v>3</v>
      </c>
    </row>
    <row r="840" spans="1:2" x14ac:dyDescent="0.2">
      <c r="A840">
        <v>3</v>
      </c>
      <c r="B840">
        <v>32</v>
      </c>
    </row>
    <row r="841" spans="1:2" x14ac:dyDescent="0.2">
      <c r="A841">
        <v>1</v>
      </c>
    </row>
    <row r="842" spans="1:2" x14ac:dyDescent="0.2">
      <c r="A842">
        <v>3</v>
      </c>
      <c r="B842">
        <v>20</v>
      </c>
    </row>
    <row r="843" spans="1:2" x14ac:dyDescent="0.2">
      <c r="A843">
        <v>2</v>
      </c>
      <c r="B843">
        <v>16</v>
      </c>
    </row>
    <row r="844" spans="1:2" x14ac:dyDescent="0.2">
      <c r="A844">
        <v>1</v>
      </c>
      <c r="B844">
        <v>30</v>
      </c>
    </row>
    <row r="845" spans="1:2" x14ac:dyDescent="0.2">
      <c r="A845">
        <v>3</v>
      </c>
      <c r="B845">
        <v>34.5</v>
      </c>
    </row>
    <row r="846" spans="1:2" x14ac:dyDescent="0.2">
      <c r="A846">
        <v>3</v>
      </c>
      <c r="B846">
        <v>17</v>
      </c>
    </row>
    <row r="847" spans="1:2" x14ac:dyDescent="0.2">
      <c r="A847">
        <v>3</v>
      </c>
      <c r="B847">
        <v>42</v>
      </c>
    </row>
    <row r="848" spans="1:2" x14ac:dyDescent="0.2">
      <c r="A848">
        <v>3</v>
      </c>
    </row>
    <row r="849" spans="1:2" x14ac:dyDescent="0.2">
      <c r="A849">
        <v>3</v>
      </c>
      <c r="B849">
        <v>35</v>
      </c>
    </row>
    <row r="850" spans="1:2" x14ac:dyDescent="0.2">
      <c r="A850">
        <v>2</v>
      </c>
      <c r="B850">
        <v>28</v>
      </c>
    </row>
    <row r="851" spans="1:2" x14ac:dyDescent="0.2">
      <c r="A851">
        <v>1</v>
      </c>
    </row>
    <row r="852" spans="1:2" x14ac:dyDescent="0.2">
      <c r="A852">
        <v>3</v>
      </c>
      <c r="B852">
        <v>4</v>
      </c>
    </row>
    <row r="853" spans="1:2" x14ac:dyDescent="0.2">
      <c r="A853">
        <v>3</v>
      </c>
      <c r="B853">
        <v>74</v>
      </c>
    </row>
    <row r="854" spans="1:2" x14ac:dyDescent="0.2">
      <c r="A854">
        <v>3</v>
      </c>
      <c r="B854">
        <v>9</v>
      </c>
    </row>
    <row r="855" spans="1:2" x14ac:dyDescent="0.2">
      <c r="A855">
        <v>1</v>
      </c>
      <c r="B855">
        <v>16</v>
      </c>
    </row>
    <row r="856" spans="1:2" x14ac:dyDescent="0.2">
      <c r="A856">
        <v>2</v>
      </c>
      <c r="B856">
        <v>44</v>
      </c>
    </row>
    <row r="857" spans="1:2" x14ac:dyDescent="0.2">
      <c r="A857">
        <v>3</v>
      </c>
      <c r="B857">
        <v>18</v>
      </c>
    </row>
    <row r="858" spans="1:2" x14ac:dyDescent="0.2">
      <c r="A858">
        <v>1</v>
      </c>
      <c r="B858">
        <v>45</v>
      </c>
    </row>
    <row r="859" spans="1:2" x14ac:dyDescent="0.2">
      <c r="A859">
        <v>1</v>
      </c>
      <c r="B859">
        <v>51</v>
      </c>
    </row>
    <row r="860" spans="1:2" x14ac:dyDescent="0.2">
      <c r="A860">
        <v>3</v>
      </c>
      <c r="B860">
        <v>24</v>
      </c>
    </row>
    <row r="861" spans="1:2" x14ac:dyDescent="0.2">
      <c r="A861">
        <v>3</v>
      </c>
    </row>
    <row r="862" spans="1:2" x14ac:dyDescent="0.2">
      <c r="A862">
        <v>3</v>
      </c>
      <c r="B862">
        <v>41</v>
      </c>
    </row>
    <row r="863" spans="1:2" x14ac:dyDescent="0.2">
      <c r="A863">
        <v>2</v>
      </c>
      <c r="B863">
        <v>21</v>
      </c>
    </row>
    <row r="864" spans="1:2" x14ac:dyDescent="0.2">
      <c r="A864">
        <v>1</v>
      </c>
      <c r="B864">
        <v>48</v>
      </c>
    </row>
    <row r="865" spans="1:2" x14ac:dyDescent="0.2">
      <c r="A865">
        <v>3</v>
      </c>
    </row>
    <row r="866" spans="1:2" x14ac:dyDescent="0.2">
      <c r="A866">
        <v>2</v>
      </c>
      <c r="B866">
        <v>24</v>
      </c>
    </row>
    <row r="867" spans="1:2" x14ac:dyDescent="0.2">
      <c r="A867">
        <v>2</v>
      </c>
      <c r="B867">
        <v>42</v>
      </c>
    </row>
    <row r="868" spans="1:2" x14ac:dyDescent="0.2">
      <c r="A868">
        <v>2</v>
      </c>
      <c r="B868">
        <v>27</v>
      </c>
    </row>
    <row r="869" spans="1:2" x14ac:dyDescent="0.2">
      <c r="A869">
        <v>1</v>
      </c>
      <c r="B869">
        <v>31</v>
      </c>
    </row>
    <row r="870" spans="1:2" x14ac:dyDescent="0.2">
      <c r="A870">
        <v>3</v>
      </c>
    </row>
    <row r="871" spans="1:2" x14ac:dyDescent="0.2">
      <c r="A871">
        <v>3</v>
      </c>
      <c r="B871">
        <v>4</v>
      </c>
    </row>
    <row r="872" spans="1:2" x14ac:dyDescent="0.2">
      <c r="A872">
        <v>3</v>
      </c>
      <c r="B872">
        <v>26</v>
      </c>
    </row>
    <row r="873" spans="1:2" x14ac:dyDescent="0.2">
      <c r="A873">
        <v>1</v>
      </c>
      <c r="B873">
        <v>47</v>
      </c>
    </row>
    <row r="874" spans="1:2" x14ac:dyDescent="0.2">
      <c r="A874">
        <v>1</v>
      </c>
      <c r="B874">
        <v>33</v>
      </c>
    </row>
    <row r="875" spans="1:2" x14ac:dyDescent="0.2">
      <c r="A875">
        <v>3</v>
      </c>
      <c r="B875">
        <v>47</v>
      </c>
    </row>
    <row r="876" spans="1:2" x14ac:dyDescent="0.2">
      <c r="A876">
        <v>2</v>
      </c>
      <c r="B876">
        <v>28</v>
      </c>
    </row>
    <row r="877" spans="1:2" x14ac:dyDescent="0.2">
      <c r="A877">
        <v>3</v>
      </c>
      <c r="B877">
        <v>15</v>
      </c>
    </row>
    <row r="878" spans="1:2" x14ac:dyDescent="0.2">
      <c r="A878">
        <v>3</v>
      </c>
      <c r="B878">
        <v>20</v>
      </c>
    </row>
    <row r="879" spans="1:2" x14ac:dyDescent="0.2">
      <c r="A879">
        <v>3</v>
      </c>
      <c r="B879">
        <v>19</v>
      </c>
    </row>
    <row r="880" spans="1:2" x14ac:dyDescent="0.2">
      <c r="A880">
        <v>3</v>
      </c>
    </row>
    <row r="881" spans="1:2" x14ac:dyDescent="0.2">
      <c r="A881">
        <v>1</v>
      </c>
      <c r="B881">
        <v>56</v>
      </c>
    </row>
    <row r="882" spans="1:2" x14ac:dyDescent="0.2">
      <c r="A882">
        <v>2</v>
      </c>
      <c r="B882">
        <v>25</v>
      </c>
    </row>
    <row r="883" spans="1:2" x14ac:dyDescent="0.2">
      <c r="A883">
        <v>3</v>
      </c>
      <c r="B883">
        <v>33</v>
      </c>
    </row>
    <row r="884" spans="1:2" x14ac:dyDescent="0.2">
      <c r="A884">
        <v>3</v>
      </c>
      <c r="B884">
        <v>22</v>
      </c>
    </row>
    <row r="885" spans="1:2" x14ac:dyDescent="0.2">
      <c r="A885">
        <v>2</v>
      </c>
      <c r="B885">
        <v>28</v>
      </c>
    </row>
    <row r="886" spans="1:2" x14ac:dyDescent="0.2">
      <c r="A886">
        <v>3</v>
      </c>
      <c r="B886">
        <v>25</v>
      </c>
    </row>
    <row r="887" spans="1:2" x14ac:dyDescent="0.2">
      <c r="A887">
        <v>3</v>
      </c>
      <c r="B887">
        <v>39</v>
      </c>
    </row>
    <row r="888" spans="1:2" x14ac:dyDescent="0.2">
      <c r="A888">
        <v>2</v>
      </c>
      <c r="B888">
        <v>27</v>
      </c>
    </row>
    <row r="889" spans="1:2" x14ac:dyDescent="0.2">
      <c r="A889">
        <v>1</v>
      </c>
      <c r="B889">
        <v>19</v>
      </c>
    </row>
    <row r="890" spans="1:2" x14ac:dyDescent="0.2">
      <c r="A890">
        <v>3</v>
      </c>
    </row>
    <row r="891" spans="1:2" x14ac:dyDescent="0.2">
      <c r="A891">
        <v>1</v>
      </c>
      <c r="B891">
        <v>26</v>
      </c>
    </row>
    <row r="892" spans="1:2" x14ac:dyDescent="0.2">
      <c r="A892">
        <v>3</v>
      </c>
      <c r="B892">
        <v>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train</vt:lpstr>
      <vt:lpstr>Sheet11</vt:lpstr>
      <vt:lpstr>Sheet10</vt:lpstr>
      <vt:lpstr>Sheet4</vt:lpstr>
      <vt:lpstr>Sheet12</vt:lpstr>
      <vt:lpstr>pivot_t2</vt:lpstr>
      <vt:lpstr>Sheet8</vt:lpstr>
      <vt:lpstr>Sheet9</vt:lpstr>
      <vt:lpstr>t2</vt:lpstr>
      <vt:lpstr>histogram</vt:lpstr>
      <vt:lpstr>Sheet5</vt:lpstr>
      <vt:lpstr>pivotal</vt:lpstr>
      <vt:lpstr>univariate</vt:lpstr>
      <vt:lpstr>percentiles</vt:lpstr>
      <vt:lpstr>Boxplots</vt:lpstr>
      <vt:lpstr>Sheet1</vt:lpstr>
      <vt:lpstr>regression</vt:lpstr>
      <vt:lpstr>pivtol_t3</vt:lpstr>
      <vt:lpstr>t3</vt:lpstr>
      <vt:lpstr>two-samples t test</vt:lpstr>
      <vt:lpstr>Correlation Table</vt:lpstr>
      <vt:lpstr>EDA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Zhang</dc:creator>
  <cp:lastModifiedBy>Yu Zhang</cp:lastModifiedBy>
  <dcterms:created xsi:type="dcterms:W3CDTF">2022-06-26T03:21:54Z</dcterms:created>
  <dcterms:modified xsi:type="dcterms:W3CDTF">2023-07-05T22:13:54Z</dcterms:modified>
</cp:coreProperties>
</file>