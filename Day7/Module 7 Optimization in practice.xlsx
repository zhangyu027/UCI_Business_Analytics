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uzhang/Dropbox/Academia/UCI Lecturer/I&amp;C_SCI_X425.89/Day7/"/>
    </mc:Choice>
  </mc:AlternateContent>
  <xr:revisionPtr revIDLastSave="0" documentId="13_ncr:1_{F0A4C5C4-4693-554F-B40A-E29003114973}" xr6:coauthVersionLast="47" xr6:coauthVersionMax="47" xr10:uidLastSave="{00000000-0000-0000-0000-000000000000}"/>
  <bookViews>
    <workbookView xWindow="0" yWindow="500" windowWidth="36140" windowHeight="19480" activeTab="6" xr2:uid="{00000000-000D-0000-FFFF-FFFF00000000}"/>
  </bookViews>
  <sheets>
    <sheet name="Answer Report 2" sheetId="15" r:id="rId1"/>
    <sheet name="Sensitivity Report 2" sheetId="16" r:id="rId2"/>
    <sheet name="Limits Report 2" sheetId="17" r:id="rId3"/>
    <sheet name="Model" sheetId="1" r:id="rId4"/>
    <sheet name="Answer Report 1" sheetId="9" r:id="rId5"/>
    <sheet name="Sensitivity Report 1" sheetId="10" r:id="rId6"/>
    <sheet name="Limits Report 1" sheetId="11" r:id="rId7"/>
    <sheet name="Modified Model" sheetId="7" r:id="rId8"/>
    <sheet name="Modified Model_STS" sheetId="8" state="veryHidden" r:id="rId9"/>
    <sheet name="Model_STS" sheetId="4" state="veryHidden" r:id="rId10"/>
  </sheets>
  <definedNames>
    <definedName name="Hours_Available" localSheetId="7">'Modified Model'!$D$21:$D$22</definedName>
    <definedName name="Hours_Available">Model!$D$21:$D$22</definedName>
    <definedName name="Hours_Used" localSheetId="7">'Modified Model'!$B$21:$B$22</definedName>
    <definedName name="Hours_Used">Model!$B$21:$B$22</definedName>
    <definedName name="Maximum_sales" localSheetId="7">'Modified Model'!$B$18:$C$18</definedName>
    <definedName name="Maximum_sales">Model!$B$18:$C$18</definedName>
    <definedName name="Number_to_produce" localSheetId="7">'Modified Model'!$B$16:$C$16</definedName>
    <definedName name="Number_to_produce">Model!$B$16:$C$16</definedName>
    <definedName name="_xlnm.Print_Area" localSheetId="3">Model!$A$1:$G$25</definedName>
    <definedName name="_xlnm.Print_Area" localSheetId="7">'Modified Model'!$A$1:$H$25</definedName>
    <definedName name="solver_adj" localSheetId="3" hidden="1">Model!$B$16:$C$16</definedName>
    <definedName name="solver_adj" localSheetId="7" hidden="1">'Modified Model'!$B$16:$C$16</definedName>
    <definedName name="solver_cvg" localSheetId="3" hidden="1">0.0001</definedName>
    <definedName name="solver_cvg" localSheetId="7" hidden="1">0.0001</definedName>
    <definedName name="solver_drv" localSheetId="3" hidden="1">1</definedName>
    <definedName name="solver_drv" localSheetId="7" hidden="1">1</definedName>
    <definedName name="solver_eng" localSheetId="3" hidden="1">2</definedName>
    <definedName name="solver_eng" localSheetId="7" hidden="1">2</definedName>
    <definedName name="solver_est" localSheetId="3" hidden="1">1</definedName>
    <definedName name="solver_est" localSheetId="7" hidden="1">1</definedName>
    <definedName name="solver_itr" localSheetId="3" hidden="1">100</definedName>
    <definedName name="solver_itr" localSheetId="7" hidden="1">100</definedName>
    <definedName name="solver_lhs1" localSheetId="3" hidden="1">Model!$B$21:$B$22</definedName>
    <definedName name="solver_lhs1" localSheetId="7" hidden="1">'Modified Model'!$B$21:$B$22</definedName>
    <definedName name="solver_lhs2" localSheetId="3" hidden="1">Model!$B$16:$C$16</definedName>
    <definedName name="solver_lhs2" localSheetId="7" hidden="1">'Modified Model'!$B$16:$C$16</definedName>
    <definedName name="solver_lin" localSheetId="3" hidden="1">1</definedName>
    <definedName name="solver_lin" localSheetId="7" hidden="1">1</definedName>
    <definedName name="solver_mip" localSheetId="3" hidden="1">2147483647</definedName>
    <definedName name="solver_mip" localSheetId="7" hidden="1">2147483647</definedName>
    <definedName name="solver_mni" localSheetId="3" hidden="1">30</definedName>
    <definedName name="solver_mni" localSheetId="7" hidden="1">30</definedName>
    <definedName name="solver_mrt" localSheetId="3" hidden="1">0.075</definedName>
    <definedName name="solver_mrt" localSheetId="7" hidden="1">0.075</definedName>
    <definedName name="solver_msl" localSheetId="3" hidden="1">2</definedName>
    <definedName name="solver_msl" localSheetId="7" hidden="1">2</definedName>
    <definedName name="solver_neg" localSheetId="3" hidden="1">1</definedName>
    <definedName name="solver_neg" localSheetId="7" hidden="1">1</definedName>
    <definedName name="solver_nod" localSheetId="3" hidden="1">2147483647</definedName>
    <definedName name="solver_nod" localSheetId="7" hidden="1">2147483647</definedName>
    <definedName name="solver_num" localSheetId="3" hidden="1">2</definedName>
    <definedName name="solver_num" localSheetId="7" hidden="1">2</definedName>
    <definedName name="solver_nwt" localSheetId="3" hidden="1">1</definedName>
    <definedName name="solver_nwt" localSheetId="7" hidden="1">1</definedName>
    <definedName name="solver_opt" localSheetId="3" hidden="1">Model!$D$25</definedName>
    <definedName name="solver_opt" localSheetId="7" hidden="1">'Modified Model'!$D$25</definedName>
    <definedName name="solver_pre" localSheetId="3" hidden="1">0.000001</definedName>
    <definedName name="solver_pre" localSheetId="7" hidden="1">0.000001</definedName>
    <definedName name="solver_rbv" localSheetId="3" hidden="1">1</definedName>
    <definedName name="solver_rbv" localSheetId="7" hidden="1">1</definedName>
    <definedName name="solver_rel1" localSheetId="3" hidden="1">1</definedName>
    <definedName name="solver_rel1" localSheetId="7" hidden="1">1</definedName>
    <definedName name="solver_rel2" localSheetId="3" hidden="1">1</definedName>
    <definedName name="solver_rel2" localSheetId="7" hidden="1">1</definedName>
    <definedName name="solver_rhs1" localSheetId="3" hidden="1">Hours_Available</definedName>
    <definedName name="solver_rhs1" localSheetId="7" hidden="1">'Modified Model'!$D$21:$D$22</definedName>
    <definedName name="solver_rhs2" localSheetId="3" hidden="1">Maximum_sales</definedName>
    <definedName name="solver_rhs2" localSheetId="7" hidden="1">'Modified Model'!$B$18:$C$18</definedName>
    <definedName name="solver_rlx" localSheetId="3" hidden="1">1</definedName>
    <definedName name="solver_rlx" localSheetId="7" hidden="1">1</definedName>
    <definedName name="solver_rsd" localSheetId="3" hidden="1">0</definedName>
    <definedName name="solver_rsd" localSheetId="7" hidden="1">0</definedName>
    <definedName name="solver_scl" localSheetId="3" hidden="1">2</definedName>
    <definedName name="solver_scl" localSheetId="7" hidden="1">2</definedName>
    <definedName name="solver_sho" localSheetId="3" hidden="1">2</definedName>
    <definedName name="solver_sho" localSheetId="7" hidden="1">2</definedName>
    <definedName name="solver_ssz" localSheetId="3" hidden="1">100</definedName>
    <definedName name="solver_ssz" localSheetId="7" hidden="1">100</definedName>
    <definedName name="solver_tim" localSheetId="3" hidden="1">100</definedName>
    <definedName name="solver_tim" localSheetId="7" hidden="1">100</definedName>
    <definedName name="solver_tol" localSheetId="3" hidden="1">0.05</definedName>
    <definedName name="solver_tol" localSheetId="7" hidden="1">0.05</definedName>
    <definedName name="solver_typ" localSheetId="3" hidden="1">1</definedName>
    <definedName name="solver_typ" localSheetId="7" hidden="1">1</definedName>
    <definedName name="solver_val" localSheetId="3" hidden="1">0</definedName>
    <definedName name="solver_val" localSheetId="7" hidden="1">0</definedName>
    <definedName name="solver_ver" localSheetId="3" hidden="1">2</definedName>
    <definedName name="solver_ver" localSheetId="7" hidden="1">2</definedName>
    <definedName name="Total_profit" localSheetId="7">'Modified Model'!$D$25</definedName>
    <definedName name="Total_profit">Model!$D$25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7" l="1"/>
  <c r="C18" i="7"/>
  <c r="B22" i="7"/>
  <c r="B21" i="7"/>
  <c r="C12" i="7"/>
  <c r="C25" i="7"/>
  <c r="B12" i="7"/>
  <c r="B25" i="7" s="1"/>
  <c r="B21" i="1"/>
  <c r="B22" i="1"/>
  <c r="B12" i="1"/>
  <c r="B25" i="1" s="1"/>
  <c r="C12" i="1"/>
  <c r="C25" i="1" s="1"/>
  <c r="D25" i="7" l="1"/>
  <c r="D25" i="1"/>
</calcChain>
</file>

<file path=xl/sharedStrings.xml><?xml version="1.0" encoding="utf-8"?>
<sst xmlns="http://schemas.openxmlformats.org/spreadsheetml/2006/main" count="314" uniqueCount="109">
  <si>
    <t>Assembling and testing computers</t>
  </si>
  <si>
    <t>Basic</t>
  </si>
  <si>
    <t>XP</t>
  </si>
  <si>
    <t>Inputs for assembling and testing a computer</t>
  </si>
  <si>
    <t>Labor hours for assembly</t>
  </si>
  <si>
    <t>Labor hours for testing</t>
  </si>
  <si>
    <t>Cost of component parts</t>
  </si>
  <si>
    <t>Selling price</t>
  </si>
  <si>
    <t>Unit margin</t>
  </si>
  <si>
    <t>Assembling, testing plan (# of computers)</t>
  </si>
  <si>
    <t>Total</t>
  </si>
  <si>
    <t>Cost per labor hour assembling</t>
  </si>
  <si>
    <t>Cost per labor hour testing</t>
  </si>
  <si>
    <t>Labor availability for assembling</t>
  </si>
  <si>
    <t>Labor availability for testing</t>
  </si>
  <si>
    <t>&lt;=</t>
  </si>
  <si>
    <t>Constraints (hours per month)</t>
  </si>
  <si>
    <t>Number to produce</t>
  </si>
  <si>
    <t>Maximum sales</t>
  </si>
  <si>
    <t>Net profit ($ this month)</t>
  </si>
  <si>
    <t>Range names used:</t>
  </si>
  <si>
    <t>=Model!$D$21:$D$22</t>
  </si>
  <si>
    <t>=Model!$B$21:$B$22</t>
  </si>
  <si>
    <t>Maximum_sales</t>
  </si>
  <si>
    <t>=Model!$B$18:$C$18</t>
  </si>
  <si>
    <t>Number_to_produce</t>
  </si>
  <si>
    <t>=Model!$B$16:$C$16</t>
  </si>
  <si>
    <t>Total_profit</t>
  </si>
  <si>
    <t>=Model!$D$25</t>
  </si>
  <si>
    <t>$C$11</t>
  </si>
  <si>
    <t>$B$16:$C$16,$D$25</t>
  </si>
  <si>
    <t>Selling Price XP</t>
  </si>
  <si>
    <t>$D$21</t>
  </si>
  <si>
    <t/>
  </si>
  <si>
    <t>$D$22</t>
  </si>
  <si>
    <t>Assembling hours</t>
  </si>
  <si>
    <t>Testing hours</t>
  </si>
  <si>
    <t>% change in both</t>
  </si>
  <si>
    <t>$G$18</t>
  </si>
  <si>
    <t>% change in max sales</t>
  </si>
  <si>
    <t>Hours used</t>
  </si>
  <si>
    <t>Hours available</t>
  </si>
  <si>
    <t>Hours_available</t>
  </si>
  <si>
    <t>Hours_used</t>
  </si>
  <si>
    <t>Original values</t>
  </si>
  <si>
    <t>$B$16:$C$16,$D$25,$B$12</t>
  </si>
  <si>
    <t>Microsoft Excel 16.55 Answer Report</t>
  </si>
  <si>
    <t>Worksheet: [Module 7 Optimization in practice.xlsx]Modified Model</t>
  </si>
  <si>
    <t>Report Created: 6/30/22 7:41:48 AM</t>
  </si>
  <si>
    <t>Result: Solver found a solution.  All constraints and optimality conditions are satisfied.</t>
  </si>
  <si>
    <t>Solver Engine</t>
  </si>
  <si>
    <t>Engine: Simplex LP</t>
  </si>
  <si>
    <t>Solution Time: 427.829 Seconds.</t>
  </si>
  <si>
    <t>Iterations: 2 Subproblems: 0</t>
  </si>
  <si>
    <t>Solver Options</t>
  </si>
  <si>
    <t>Max Time 100 sec, Iterations 100, Precision 0.000001</t>
  </si>
  <si>
    <t>Max Subproblems Unlimited, Max Integer Sols Unlimited, Integer Tolerance 5%, Solve Without Integer Constraints,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</si>
  <si>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</si>
  <si>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</si>
  <si>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</si>
  <si>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</si>
  <si>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</si>
  <si>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</si>
  <si>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</si>
  <si>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</si>
  <si>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</si>
  <si>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</si>
  <si>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</si>
  <si>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</si>
  <si>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$D$25</t>
  </si>
  <si>
    <t>$B$16</t>
  </si>
  <si>
    <t>Number to produce Basic</t>
  </si>
  <si>
    <t>Contin</t>
  </si>
  <si>
    <t>$C$16</t>
  </si>
  <si>
    <t>Number to produce XP</t>
  </si>
  <si>
    <t>$B$21</t>
  </si>
  <si>
    <t>Labor availability for assembling Hours used</t>
  </si>
  <si>
    <t>$B$21&lt;=$D$21</t>
  </si>
  <si>
    <t>Binding</t>
  </si>
  <si>
    <t>$B$22</t>
  </si>
  <si>
    <t>Labor availability for testing Hours used</t>
  </si>
  <si>
    <t>$B$22&lt;=$D$22</t>
  </si>
  <si>
    <t>Not Binding</t>
  </si>
  <si>
    <t>$B$16&lt;=$B$18</t>
  </si>
  <si>
    <t>$C$16&lt;=$C$18</t>
  </si>
  <si>
    <t>Microsoft Excel 16.55 Sensitivity Report</t>
  </si>
  <si>
    <t>Report Created: 6/30/22 7:41:49 AM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</si>
  <si>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</si>
  <si>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</si>
  <si>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</si>
  <si>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</si>
  <si>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</si>
  <si>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</si>
  <si>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</si>
  <si>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</si>
  <si>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</si>
  <si>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</si>
  <si>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</si>
  <si>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</si>
  <si>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</si>
  <si>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16.55 Limits Report</t>
  </si>
  <si>
    <t>Variable</t>
  </si>
  <si>
    <t>Lower</t>
  </si>
  <si>
    <t>Limit</t>
  </si>
  <si>
    <t>Result</t>
  </si>
  <si>
    <t>Upper</t>
  </si>
  <si>
    <t>Worksheet: [Module 7 Optimization in practice.xlsx]Model</t>
  </si>
  <si>
    <t>Report Created: 6/30/22 1:38:11 PM</t>
  </si>
  <si>
    <t>Solution Time: 449.289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</si>
</sst>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Fill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164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4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0" fillId="0" borderId="5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1133476</xdr:colOff>
      <xdr:row>13</xdr:row>
      <xdr:rowOff>0</xdr:rowOff>
    </xdr:from>
    <xdr:to>
      <xdr:col>8</xdr:col>
      <xdr:colOff>295276</xdr:colOff>
      <xdr:row>19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43501" y="2476500"/>
          <a:ext cx="2305050" cy="12763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In general, it is interesting to check which changing cells are positive</a:t>
          </a:r>
          <a:r>
            <a:rPr lang="en-US" sz="1100" baseline="0"/>
            <a:t> (both of them here) and which constraints are binding (the XP maximum sales constraint and the first hour availability constraint).</a:t>
          </a:r>
          <a:endParaRPr lang="en-US" sz="1100"/>
        </a:p>
      </xdr:txBody>
    </xdr:sp>
    <xdr:clientData/>
  </xdr:twoCellAnchor>
  <xdr:twoCellAnchor editAs="oneCell">
    <xdr:from>
      <xdr:col>9</xdr:col>
      <xdr:colOff>66675</xdr:colOff>
      <xdr:row>2</xdr:row>
      <xdr:rowOff>114300</xdr:rowOff>
    </xdr:from>
    <xdr:to>
      <xdr:col>12</xdr:col>
      <xdr:colOff>222060</xdr:colOff>
      <xdr:row>13</xdr:row>
      <xdr:rowOff>30800</xdr:rowOff>
    </xdr:to>
    <xdr:pic>
      <xdr:nvPicPr>
        <xdr:cNvPr id="3" name="Picture 2" descr="Algebraic model equations, see Page 604 in the tex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29550" y="495300"/>
          <a:ext cx="1984185" cy="201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9</xdr:row>
      <xdr:rowOff>114301</xdr:rowOff>
    </xdr:from>
    <xdr:to>
      <xdr:col>7</xdr:col>
      <xdr:colOff>438150</xdr:colOff>
      <xdr:row>15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219575" y="1828801"/>
          <a:ext cx="2057400" cy="10477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trick here</a:t>
          </a:r>
          <a:r>
            <a:rPr lang="en-US" sz="1100" baseline="0"/>
            <a:t> is to let the </a:t>
          </a:r>
          <a:r>
            <a:rPr lang="en-US" sz="1100" i="1" baseline="0"/>
            <a:t>single </a:t>
          </a:r>
          <a:r>
            <a:rPr lang="en-US" sz="1100" i="0" baseline="0"/>
            <a:t>value in cell G18 drive both values in cells B18 and C18 from their original values.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97F7-76B2-0944-8E26-FE48431B717B}">
  <dimension ref="A1:G30"/>
  <sheetViews>
    <sheetView showGridLines="0" workbookViewId="0"/>
  </sheetViews>
  <sheetFormatPr baseColWidth="10" defaultRowHeight="15" x14ac:dyDescent="0.2"/>
  <cols>
    <col min="1" max="1" width="2.33203125" customWidth="1"/>
    <col min="2" max="2" width="6.1640625" bestFit="1" customWidth="1"/>
    <col min="3" max="3" width="34.6640625" bestFit="1" customWidth="1"/>
    <col min="4" max="4" width="12" bestFit="1" customWidth="1"/>
    <col min="5" max="5" width="13" bestFit="1" customWidth="1"/>
    <col min="6" max="6" width="10.1640625" bestFit="1" customWidth="1"/>
    <col min="7" max="7" width="5" bestFit="1" customWidth="1"/>
  </cols>
  <sheetData>
    <row r="1" spans="1:5" x14ac:dyDescent="0.2">
      <c r="A1" s="1" t="s">
        <v>46</v>
      </c>
    </row>
    <row r="2" spans="1:5" x14ac:dyDescent="0.2">
      <c r="A2" s="1" t="s">
        <v>106</v>
      </c>
    </row>
    <row r="3" spans="1:5" x14ac:dyDescent="0.2">
      <c r="A3" s="1" t="s">
        <v>107</v>
      </c>
    </row>
    <row r="4" spans="1:5" x14ac:dyDescent="0.2">
      <c r="A4" s="1" t="s">
        <v>49</v>
      </c>
    </row>
    <row r="5" spans="1:5" x14ac:dyDescent="0.2">
      <c r="A5" s="1" t="s">
        <v>50</v>
      </c>
    </row>
    <row r="6" spans="1:5" x14ac:dyDescent="0.2">
      <c r="A6" s="1"/>
      <c r="B6" t="s">
        <v>51</v>
      </c>
    </row>
    <row r="7" spans="1:5" x14ac:dyDescent="0.2">
      <c r="A7" s="1"/>
      <c r="B7" t="s">
        <v>108</v>
      </c>
    </row>
    <row r="8" spans="1:5" x14ac:dyDescent="0.2">
      <c r="A8" s="1"/>
      <c r="B8" t="s">
        <v>53</v>
      </c>
    </row>
    <row r="9" spans="1:5" x14ac:dyDescent="0.2">
      <c r="A9" s="1" t="s">
        <v>54</v>
      </c>
    </row>
    <row r="10" spans="1:5" x14ac:dyDescent="0.2">
      <c r="B10" t="s">
        <v>55</v>
      </c>
    </row>
    <row r="11" spans="1:5" x14ac:dyDescent="0.2">
      <c r="B11" t="s">
        <v>56</v>
      </c>
    </row>
    <row r="14" spans="1:5" ht="16" thickBot="1" x14ac:dyDescent="0.25">
      <c r="A14" t="s">
        <v>57</v>
      </c>
    </row>
    <row r="15" spans="1:5" ht="16" thickBot="1" x14ac:dyDescent="0.25">
      <c r="B15" s="16" t="s">
        <v>58</v>
      </c>
      <c r="C15" s="16" t="s">
        <v>59</v>
      </c>
      <c r="D15" s="16" t="s">
        <v>60</v>
      </c>
      <c r="E15" s="16" t="s">
        <v>61</v>
      </c>
    </row>
    <row r="16" spans="1:5" ht="16" thickBot="1" x14ac:dyDescent="0.25">
      <c r="B16" s="15" t="s">
        <v>69</v>
      </c>
      <c r="C16" s="15" t="s">
        <v>27</v>
      </c>
      <c r="D16" s="18">
        <v>199600</v>
      </c>
      <c r="E16" s="18">
        <v>199600</v>
      </c>
    </row>
    <row r="19" spans="1:7" ht="16" thickBot="1" x14ac:dyDescent="0.25">
      <c r="A19" t="s">
        <v>62</v>
      </c>
    </row>
    <row r="20" spans="1:7" ht="16" thickBot="1" x14ac:dyDescent="0.25"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63</v>
      </c>
    </row>
    <row r="21" spans="1:7" x14ac:dyDescent="0.2">
      <c r="B21" s="17" t="s">
        <v>70</v>
      </c>
      <c r="C21" s="17" t="s">
        <v>71</v>
      </c>
      <c r="D21" s="19">
        <v>560</v>
      </c>
      <c r="E21" s="19">
        <v>560</v>
      </c>
      <c r="F21" s="17" t="s">
        <v>72</v>
      </c>
    </row>
    <row r="22" spans="1:7" ht="16" thickBot="1" x14ac:dyDescent="0.25">
      <c r="B22" s="15" t="s">
        <v>73</v>
      </c>
      <c r="C22" s="15" t="s">
        <v>74</v>
      </c>
      <c r="D22" s="20">
        <v>1200</v>
      </c>
      <c r="E22" s="20">
        <v>1200</v>
      </c>
      <c r="F22" s="15" t="s">
        <v>72</v>
      </c>
    </row>
    <row r="25" spans="1:7" ht="16" thickBot="1" x14ac:dyDescent="0.25">
      <c r="A25" t="s">
        <v>64</v>
      </c>
    </row>
    <row r="26" spans="1:7" ht="16" thickBot="1" x14ac:dyDescent="0.25">
      <c r="B26" s="16" t="s">
        <v>58</v>
      </c>
      <c r="C26" s="16" t="s">
        <v>59</v>
      </c>
      <c r="D26" s="16" t="s">
        <v>65</v>
      </c>
      <c r="E26" s="16" t="s">
        <v>66</v>
      </c>
      <c r="F26" s="16" t="s">
        <v>67</v>
      </c>
      <c r="G26" s="16" t="s">
        <v>68</v>
      </c>
    </row>
    <row r="27" spans="1:7" x14ac:dyDescent="0.2">
      <c r="B27" s="17" t="s">
        <v>75</v>
      </c>
      <c r="C27" s="17" t="s">
        <v>76</v>
      </c>
      <c r="D27" s="19">
        <v>10000</v>
      </c>
      <c r="E27" s="17" t="s">
        <v>77</v>
      </c>
      <c r="F27" s="17" t="s">
        <v>78</v>
      </c>
      <c r="G27" s="17">
        <v>0</v>
      </c>
    </row>
    <row r="28" spans="1:7" x14ac:dyDescent="0.2">
      <c r="B28" s="17" t="s">
        <v>79</v>
      </c>
      <c r="C28" s="17" t="s">
        <v>80</v>
      </c>
      <c r="D28" s="19">
        <v>2960</v>
      </c>
      <c r="E28" s="17" t="s">
        <v>81</v>
      </c>
      <c r="F28" s="17" t="s">
        <v>82</v>
      </c>
      <c r="G28" s="17">
        <v>40</v>
      </c>
    </row>
    <row r="29" spans="1:7" x14ac:dyDescent="0.2">
      <c r="B29" s="17" t="s">
        <v>70</v>
      </c>
      <c r="C29" s="17" t="s">
        <v>71</v>
      </c>
      <c r="D29" s="19">
        <v>560</v>
      </c>
      <c r="E29" s="17" t="s">
        <v>83</v>
      </c>
      <c r="F29" s="17" t="s">
        <v>82</v>
      </c>
      <c r="G29" s="17">
        <v>40</v>
      </c>
    </row>
    <row r="30" spans="1:7" ht="16" thickBot="1" x14ac:dyDescent="0.25">
      <c r="B30" s="15" t="s">
        <v>73</v>
      </c>
      <c r="C30" s="15" t="s">
        <v>74</v>
      </c>
      <c r="D30" s="20">
        <v>1200</v>
      </c>
      <c r="E30" s="15" t="s">
        <v>84</v>
      </c>
      <c r="F30" s="15" t="s">
        <v>78</v>
      </c>
      <c r="G30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E05-2457-2148-B19D-445F12909946}">
  <dimension ref="A1:H16"/>
  <sheetViews>
    <sheetView showGridLines="0" workbookViewId="0">
      <selection sqref="A1:A3"/>
    </sheetView>
  </sheetViews>
  <sheetFormatPr baseColWidth="10" defaultRowHeight="15" x14ac:dyDescent="0.2"/>
  <cols>
    <col min="1" max="1" width="2.33203125" customWidth="1"/>
    <col min="2" max="2" width="6.1640625" bestFit="1" customWidth="1"/>
    <col min="3" max="3" width="34.6640625" bestFit="1" customWidth="1"/>
    <col min="4" max="4" width="6.1640625" bestFit="1" customWidth="1"/>
    <col min="5" max="5" width="8" bestFit="1" customWidth="1"/>
    <col min="6" max="6" width="9.6640625" bestFit="1" customWidth="1"/>
    <col min="7" max="8" width="9" bestFit="1" customWidth="1"/>
  </cols>
  <sheetData>
    <row r="1" spans="1:8" x14ac:dyDescent="0.2">
      <c r="A1" s="1" t="s">
        <v>85</v>
      </c>
    </row>
    <row r="2" spans="1:8" x14ac:dyDescent="0.2">
      <c r="A2" s="1" t="s">
        <v>106</v>
      </c>
    </row>
    <row r="3" spans="1:8" x14ac:dyDescent="0.2">
      <c r="A3" s="1" t="s">
        <v>107</v>
      </c>
    </row>
    <row r="6" spans="1:8" ht="16" thickBot="1" x14ac:dyDescent="0.25">
      <c r="A6" t="s">
        <v>62</v>
      </c>
    </row>
    <row r="7" spans="1:8" x14ac:dyDescent="0.2">
      <c r="B7" s="21"/>
      <c r="C7" s="21"/>
      <c r="D7" s="21" t="s">
        <v>87</v>
      </c>
      <c r="E7" s="21" t="s">
        <v>89</v>
      </c>
      <c r="F7" s="21" t="s">
        <v>91</v>
      </c>
      <c r="G7" s="21" t="s">
        <v>93</v>
      </c>
      <c r="H7" s="21" t="s">
        <v>93</v>
      </c>
    </row>
    <row r="8" spans="1:8" ht="16" thickBot="1" x14ac:dyDescent="0.25">
      <c r="B8" s="22" t="s">
        <v>58</v>
      </c>
      <c r="C8" s="22" t="s">
        <v>59</v>
      </c>
      <c r="D8" s="22" t="s">
        <v>88</v>
      </c>
      <c r="E8" s="22" t="s">
        <v>90</v>
      </c>
      <c r="F8" s="22" t="s">
        <v>92</v>
      </c>
      <c r="G8" s="22" t="s">
        <v>94</v>
      </c>
      <c r="H8" s="22" t="s">
        <v>95</v>
      </c>
    </row>
    <row r="9" spans="1:8" x14ac:dyDescent="0.2">
      <c r="B9" s="17" t="s">
        <v>70</v>
      </c>
      <c r="C9" s="17" t="s">
        <v>71</v>
      </c>
      <c r="D9" s="17">
        <v>560</v>
      </c>
      <c r="E9" s="17">
        <v>0</v>
      </c>
      <c r="F9" s="17">
        <v>80</v>
      </c>
      <c r="G9" s="17">
        <v>27.499999999999986</v>
      </c>
      <c r="H9" s="17">
        <v>80</v>
      </c>
    </row>
    <row r="10" spans="1:8" ht="16" thickBot="1" x14ac:dyDescent="0.25">
      <c r="B10" s="15" t="s">
        <v>73</v>
      </c>
      <c r="C10" s="15" t="s">
        <v>74</v>
      </c>
      <c r="D10" s="15">
        <v>1200</v>
      </c>
      <c r="E10" s="15">
        <v>32.999999999999986</v>
      </c>
      <c r="F10" s="15">
        <v>129</v>
      </c>
      <c r="G10" s="15">
        <v>1E+30</v>
      </c>
      <c r="H10" s="15">
        <v>32.999999999999986</v>
      </c>
    </row>
    <row r="12" spans="1:8" ht="16" thickBot="1" x14ac:dyDescent="0.25">
      <c r="A12" t="s">
        <v>64</v>
      </c>
    </row>
    <row r="13" spans="1:8" x14ac:dyDescent="0.2">
      <c r="B13" s="21"/>
      <c r="C13" s="21"/>
      <c r="D13" s="21" t="s">
        <v>87</v>
      </c>
      <c r="E13" s="21" t="s">
        <v>96</v>
      </c>
      <c r="F13" s="21" t="s">
        <v>98</v>
      </c>
      <c r="G13" s="21" t="s">
        <v>93</v>
      </c>
      <c r="H13" s="21" t="s">
        <v>93</v>
      </c>
    </row>
    <row r="14" spans="1:8" ht="16" thickBot="1" x14ac:dyDescent="0.25">
      <c r="B14" s="22" t="s">
        <v>58</v>
      </c>
      <c r="C14" s="22" t="s">
        <v>59</v>
      </c>
      <c r="D14" s="22" t="s">
        <v>88</v>
      </c>
      <c r="E14" s="22" t="s">
        <v>97</v>
      </c>
      <c r="F14" s="22" t="s">
        <v>99</v>
      </c>
      <c r="G14" s="22" t="s">
        <v>94</v>
      </c>
      <c r="H14" s="22" t="s">
        <v>95</v>
      </c>
    </row>
    <row r="15" spans="1:8" x14ac:dyDescent="0.2">
      <c r="B15" s="17" t="s">
        <v>75</v>
      </c>
      <c r="C15" s="17" t="s">
        <v>76</v>
      </c>
      <c r="D15" s="17">
        <v>10000</v>
      </c>
      <c r="E15" s="17">
        <v>16</v>
      </c>
      <c r="F15" s="17">
        <v>10000</v>
      </c>
      <c r="G15" s="17">
        <v>200</v>
      </c>
      <c r="H15" s="17">
        <v>2800</v>
      </c>
    </row>
    <row r="16" spans="1:8" ht="16" thickBot="1" x14ac:dyDescent="0.25">
      <c r="B16" s="15" t="s">
        <v>79</v>
      </c>
      <c r="C16" s="15" t="s">
        <v>80</v>
      </c>
      <c r="D16" s="15">
        <v>2960</v>
      </c>
      <c r="E16" s="15">
        <v>0</v>
      </c>
      <c r="F16" s="15">
        <v>3000</v>
      </c>
      <c r="G16" s="15">
        <v>1E+30</v>
      </c>
      <c r="H16" s="15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D3FF-70FA-9742-97B1-1DA40D78BB35}">
  <dimension ref="A1:J14"/>
  <sheetViews>
    <sheetView showGridLines="0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20.33203125" bestFit="1" customWidth="1"/>
    <col min="4" max="4" width="8.6640625" bestFit="1" customWidth="1"/>
    <col min="5" max="5" width="2.33203125" customWidth="1"/>
    <col min="6" max="6" width="6" bestFit="1" customWidth="1"/>
    <col min="7" max="7" width="8.6640625" bestFit="1" customWidth="1"/>
    <col min="8" max="8" width="2.33203125" customWidth="1"/>
    <col min="9" max="9" width="6.1640625" bestFit="1" customWidth="1"/>
    <col min="10" max="10" width="8.6640625" bestFit="1" customWidth="1"/>
  </cols>
  <sheetData>
    <row r="1" spans="1:10" x14ac:dyDescent="0.2">
      <c r="A1" s="1" t="s">
        <v>100</v>
      </c>
    </row>
    <row r="2" spans="1:10" x14ac:dyDescent="0.2">
      <c r="A2" s="1" t="s">
        <v>106</v>
      </c>
    </row>
    <row r="3" spans="1:10" x14ac:dyDescent="0.2">
      <c r="A3" s="1" t="s">
        <v>107</v>
      </c>
    </row>
    <row r="5" spans="1:10" ht="16" thickBot="1" x14ac:dyDescent="0.25"/>
    <row r="6" spans="1:10" x14ac:dyDescent="0.2">
      <c r="B6" s="21"/>
      <c r="C6" s="21" t="s">
        <v>91</v>
      </c>
      <c r="D6" s="21"/>
    </row>
    <row r="7" spans="1:10" ht="16" thickBot="1" x14ac:dyDescent="0.25">
      <c r="B7" s="22" t="s">
        <v>58</v>
      </c>
      <c r="C7" s="22" t="s">
        <v>59</v>
      </c>
      <c r="D7" s="22" t="s">
        <v>88</v>
      </c>
    </row>
    <row r="8" spans="1:10" ht="16" thickBot="1" x14ac:dyDescent="0.25">
      <c r="B8" s="15" t="s">
        <v>69</v>
      </c>
      <c r="C8" s="15" t="s">
        <v>27</v>
      </c>
      <c r="D8" s="18">
        <v>199600</v>
      </c>
    </row>
    <row r="10" spans="1:10" ht="16" thickBot="1" x14ac:dyDescent="0.25"/>
    <row r="11" spans="1:10" x14ac:dyDescent="0.2">
      <c r="B11" s="21"/>
      <c r="C11" s="21" t="s">
        <v>101</v>
      </c>
      <c r="D11" s="21"/>
      <c r="F11" s="21" t="s">
        <v>102</v>
      </c>
      <c r="G11" s="21" t="s">
        <v>91</v>
      </c>
      <c r="I11" s="21" t="s">
        <v>105</v>
      </c>
      <c r="J11" s="21" t="s">
        <v>91</v>
      </c>
    </row>
    <row r="12" spans="1:10" ht="16" thickBot="1" x14ac:dyDescent="0.25">
      <c r="B12" s="22" t="s">
        <v>58</v>
      </c>
      <c r="C12" s="22" t="s">
        <v>59</v>
      </c>
      <c r="D12" s="22" t="s">
        <v>88</v>
      </c>
      <c r="F12" s="22" t="s">
        <v>103</v>
      </c>
      <c r="G12" s="22" t="s">
        <v>104</v>
      </c>
      <c r="I12" s="22" t="s">
        <v>103</v>
      </c>
      <c r="J12" s="22" t="s">
        <v>104</v>
      </c>
    </row>
    <row r="13" spans="1:10" x14ac:dyDescent="0.2">
      <c r="B13" s="17" t="s">
        <v>70</v>
      </c>
      <c r="C13" s="17" t="s">
        <v>71</v>
      </c>
      <c r="D13" s="19">
        <v>560</v>
      </c>
      <c r="F13" s="19">
        <v>0</v>
      </c>
      <c r="G13" s="23">
        <v>85</v>
      </c>
      <c r="I13" s="19">
        <v>250</v>
      </c>
      <c r="J13" s="23">
        <v>18835</v>
      </c>
    </row>
    <row r="14" spans="1:10" ht="16" thickBot="1" x14ac:dyDescent="0.25">
      <c r="B14" s="15" t="s">
        <v>73</v>
      </c>
      <c r="C14" s="15" t="s">
        <v>74</v>
      </c>
      <c r="D14" s="20">
        <v>1200</v>
      </c>
      <c r="F14" s="20">
        <v>0</v>
      </c>
      <c r="G14" s="18">
        <v>110</v>
      </c>
      <c r="I14" s="20">
        <v>398.5</v>
      </c>
      <c r="J14" s="18">
        <v>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5"/>
  <sheetViews>
    <sheetView zoomScale="176" workbookViewId="0">
      <selection activeCell="C12" sqref="C12"/>
    </sheetView>
  </sheetViews>
  <sheetFormatPr baseColWidth="10" defaultColWidth="8.83203125" defaultRowHeight="15" x14ac:dyDescent="0.2"/>
  <cols>
    <col min="1" max="1" width="31" customWidth="1"/>
    <col min="2" max="2" width="10.83203125" bestFit="1" customWidth="1"/>
    <col min="5" max="5" width="19.6640625" bestFit="1" customWidth="1"/>
  </cols>
  <sheetData>
    <row r="1" spans="1:6" x14ac:dyDescent="0.2">
      <c r="A1" s="1" t="s">
        <v>0</v>
      </c>
      <c r="E1" s="1" t="s">
        <v>20</v>
      </c>
    </row>
    <row r="2" spans="1:6" x14ac:dyDescent="0.2">
      <c r="E2" s="10" t="s">
        <v>42</v>
      </c>
      <c r="F2" s="10" t="s">
        <v>21</v>
      </c>
    </row>
    <row r="3" spans="1:6" x14ac:dyDescent="0.2">
      <c r="A3" t="s">
        <v>11</v>
      </c>
      <c r="B3" s="5">
        <v>11</v>
      </c>
      <c r="E3" s="10" t="s">
        <v>43</v>
      </c>
      <c r="F3" s="10" t="s">
        <v>22</v>
      </c>
    </row>
    <row r="4" spans="1:6" x14ac:dyDescent="0.2">
      <c r="A4" t="s">
        <v>12</v>
      </c>
      <c r="B4" s="5">
        <v>15</v>
      </c>
      <c r="E4" s="10" t="s">
        <v>23</v>
      </c>
      <c r="F4" s="10" t="s">
        <v>24</v>
      </c>
    </row>
    <row r="5" spans="1:6" x14ac:dyDescent="0.2">
      <c r="E5" s="10" t="s">
        <v>25</v>
      </c>
      <c r="F5" s="10" t="s">
        <v>26</v>
      </c>
    </row>
    <row r="6" spans="1:6" x14ac:dyDescent="0.2">
      <c r="A6" t="s">
        <v>3</v>
      </c>
      <c r="E6" s="10" t="s">
        <v>27</v>
      </c>
      <c r="F6" s="10" t="s">
        <v>28</v>
      </c>
    </row>
    <row r="7" spans="1:6" x14ac:dyDescent="0.2">
      <c r="B7" s="2" t="s">
        <v>1</v>
      </c>
      <c r="C7" s="2" t="s">
        <v>2</v>
      </c>
    </row>
    <row r="8" spans="1:6" x14ac:dyDescent="0.2">
      <c r="A8" t="s">
        <v>4</v>
      </c>
      <c r="B8" s="3">
        <v>5</v>
      </c>
      <c r="C8" s="3">
        <v>6</v>
      </c>
    </row>
    <row r="9" spans="1:6" x14ac:dyDescent="0.2">
      <c r="A9" t="s">
        <v>5</v>
      </c>
      <c r="B9" s="3">
        <v>1</v>
      </c>
      <c r="C9" s="3">
        <v>2</v>
      </c>
    </row>
    <row r="10" spans="1:6" x14ac:dyDescent="0.2">
      <c r="A10" t="s">
        <v>6</v>
      </c>
      <c r="B10" s="5">
        <v>150</v>
      </c>
      <c r="C10" s="5">
        <v>225</v>
      </c>
    </row>
    <row r="11" spans="1:6" x14ac:dyDescent="0.2">
      <c r="A11" t="s">
        <v>7</v>
      </c>
      <c r="B11" s="5">
        <v>300</v>
      </c>
      <c r="C11" s="5">
        <v>450</v>
      </c>
    </row>
    <row r="12" spans="1:6" x14ac:dyDescent="0.2">
      <c r="A12" t="s">
        <v>8</v>
      </c>
      <c r="B12" s="6">
        <f>B11-B8*$B$3-B9*$B$4-B10</f>
        <v>80</v>
      </c>
      <c r="C12" s="6">
        <f>C11-C8*$B$3-C9*$B$4-C10</f>
        <v>129</v>
      </c>
    </row>
    <row r="14" spans="1:6" x14ac:dyDescent="0.2">
      <c r="A14" t="s">
        <v>9</v>
      </c>
    </row>
    <row r="15" spans="1:6" x14ac:dyDescent="0.2">
      <c r="B15" s="2" t="s">
        <v>1</v>
      </c>
      <c r="C15" s="2" t="s">
        <v>2</v>
      </c>
    </row>
    <row r="16" spans="1:6" x14ac:dyDescent="0.2">
      <c r="A16" t="s">
        <v>17</v>
      </c>
      <c r="B16" s="4">
        <v>560</v>
      </c>
      <c r="C16" s="4">
        <v>1200</v>
      </c>
    </row>
    <row r="17" spans="1:4" x14ac:dyDescent="0.2">
      <c r="B17" s="9" t="s">
        <v>15</v>
      </c>
      <c r="C17" s="9" t="s">
        <v>15</v>
      </c>
    </row>
    <row r="18" spans="1:4" x14ac:dyDescent="0.2">
      <c r="A18" t="s">
        <v>18</v>
      </c>
      <c r="B18" s="3">
        <v>600</v>
      </c>
      <c r="C18" s="3">
        <v>1200</v>
      </c>
    </row>
    <row r="20" spans="1:4" x14ac:dyDescent="0.2">
      <c r="A20" t="s">
        <v>16</v>
      </c>
      <c r="B20" s="2" t="s">
        <v>40</v>
      </c>
      <c r="C20" s="2"/>
      <c r="D20" s="12" t="s">
        <v>41</v>
      </c>
    </row>
    <row r="21" spans="1:4" x14ac:dyDescent="0.2">
      <c r="A21" t="s">
        <v>13</v>
      </c>
      <c r="B21">
        <f>SUMPRODUCT(B8:C8,Number_to_produce)</f>
        <v>10000</v>
      </c>
      <c r="C21" s="8" t="s">
        <v>15</v>
      </c>
      <c r="D21" s="3">
        <v>10000</v>
      </c>
    </row>
    <row r="22" spans="1:4" x14ac:dyDescent="0.2">
      <c r="A22" t="s">
        <v>14</v>
      </c>
      <c r="B22">
        <f>SUMPRODUCT(B9:C9,Number_to_produce)</f>
        <v>2960</v>
      </c>
      <c r="C22" s="8" t="s">
        <v>15</v>
      </c>
      <c r="D22" s="3">
        <v>3000</v>
      </c>
    </row>
    <row r="24" spans="1:4" x14ac:dyDescent="0.2">
      <c r="A24" t="s">
        <v>19</v>
      </c>
      <c r="B24" s="2" t="s">
        <v>1</v>
      </c>
      <c r="C24" s="2" t="s">
        <v>2</v>
      </c>
      <c r="D24" s="2" t="s">
        <v>10</v>
      </c>
    </row>
    <row r="25" spans="1:4" x14ac:dyDescent="0.2">
      <c r="B25" s="6">
        <f>B12*B16</f>
        <v>44800</v>
      </c>
      <c r="C25" s="6">
        <f>C12*C16</f>
        <v>154800</v>
      </c>
      <c r="D25" s="7">
        <f>SUM(B25:C25)</f>
        <v>199600</v>
      </c>
    </row>
  </sheetData>
  <printOptions headings="1" gridLines="1"/>
  <pageMargins left="0.7" right="0.7" top="0.75" bottom="0.75" header="0.3" footer="0.3"/>
  <pageSetup scale="8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D168-5A7B-884D-A6DB-516BE05ED1C6}">
  <dimension ref="A1:G30"/>
  <sheetViews>
    <sheetView showGridLines="0" topLeftCell="A12" zoomScale="138" workbookViewId="0"/>
  </sheetViews>
  <sheetFormatPr baseColWidth="10" defaultRowHeight="15" outlineLevelRow="1" x14ac:dyDescent="0.2"/>
  <cols>
    <col min="1" max="1" width="2.33203125" customWidth="1"/>
    <col min="2" max="2" width="6.1640625" bestFit="1" customWidth="1"/>
    <col min="3" max="3" width="34.6640625" bestFit="1" customWidth="1"/>
    <col min="4" max="4" width="12" bestFit="1" customWidth="1"/>
    <col min="5" max="5" width="13" bestFit="1" customWidth="1"/>
    <col min="6" max="6" width="10.1640625" bestFit="1" customWidth="1"/>
    <col min="7" max="7" width="5" bestFit="1" customWidth="1"/>
  </cols>
  <sheetData>
    <row r="1" spans="1:5" x14ac:dyDescent="0.2">
      <c r="A1" s="1" t="s">
        <v>46</v>
      </c>
    </row>
    <row r="2" spans="1:5" x14ac:dyDescent="0.2">
      <c r="A2" s="1" t="s">
        <v>47</v>
      </c>
    </row>
    <row r="3" spans="1:5" x14ac:dyDescent="0.2">
      <c r="A3" s="1" t="s">
        <v>48</v>
      </c>
    </row>
    <row r="4" spans="1:5" x14ac:dyDescent="0.2">
      <c r="A4" s="1" t="s">
        <v>49</v>
      </c>
    </row>
    <row r="5" spans="1:5" x14ac:dyDescent="0.2">
      <c r="A5" s="1" t="s">
        <v>50</v>
      </c>
    </row>
    <row r="6" spans="1:5" hidden="1" outlineLevel="1" x14ac:dyDescent="0.2">
      <c r="A6" s="1"/>
      <c r="B6" t="s">
        <v>51</v>
      </c>
    </row>
    <row r="7" spans="1:5" hidden="1" outlineLevel="1" x14ac:dyDescent="0.2">
      <c r="A7" s="1"/>
      <c r="B7" t="s">
        <v>52</v>
      </c>
    </row>
    <row r="8" spans="1:5" hidden="1" outlineLevel="1" x14ac:dyDescent="0.2">
      <c r="A8" s="1"/>
      <c r="B8" t="s">
        <v>53</v>
      </c>
    </row>
    <row r="9" spans="1:5" collapsed="1" x14ac:dyDescent="0.2">
      <c r="A9" s="1" t="s">
        <v>54</v>
      </c>
    </row>
    <row r="10" spans="1:5" hidden="1" outlineLevel="1" x14ac:dyDescent="0.2">
      <c r="B10" t="s">
        <v>55</v>
      </c>
    </row>
    <row r="11" spans="1:5" hidden="1" outlineLevel="1" x14ac:dyDescent="0.2">
      <c r="B11" t="s">
        <v>56</v>
      </c>
    </row>
    <row r="12" spans="1:5" collapsed="1" x14ac:dyDescent="0.2"/>
    <row r="14" spans="1:5" ht="16" thickBot="1" x14ac:dyDescent="0.25">
      <c r="A14" t="s">
        <v>57</v>
      </c>
    </row>
    <row r="15" spans="1:5" ht="16" thickBot="1" x14ac:dyDescent="0.25">
      <c r="B15" s="16" t="s">
        <v>58</v>
      </c>
      <c r="C15" s="16" t="s">
        <v>59</v>
      </c>
      <c r="D15" s="16" t="s">
        <v>60</v>
      </c>
      <c r="E15" s="16" t="s">
        <v>61</v>
      </c>
    </row>
    <row r="16" spans="1:5" ht="16" thickBot="1" x14ac:dyDescent="0.25">
      <c r="B16" s="15" t="s">
        <v>69</v>
      </c>
      <c r="C16" s="15" t="s">
        <v>27</v>
      </c>
      <c r="D16" s="18">
        <v>199600</v>
      </c>
      <c r="E16" s="18">
        <v>199600</v>
      </c>
    </row>
    <row r="19" spans="1:7" ht="16" thickBot="1" x14ac:dyDescent="0.25">
      <c r="A19" t="s">
        <v>62</v>
      </c>
    </row>
    <row r="20" spans="1:7" ht="16" thickBot="1" x14ac:dyDescent="0.25"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63</v>
      </c>
    </row>
    <row r="21" spans="1:7" x14ac:dyDescent="0.2">
      <c r="B21" s="17" t="s">
        <v>70</v>
      </c>
      <c r="C21" s="17" t="s">
        <v>71</v>
      </c>
      <c r="D21" s="19">
        <v>560</v>
      </c>
      <c r="E21" s="19">
        <v>560</v>
      </c>
      <c r="F21" s="17" t="s">
        <v>72</v>
      </c>
    </row>
    <row r="22" spans="1:7" ht="16" thickBot="1" x14ac:dyDescent="0.25">
      <c r="B22" s="15" t="s">
        <v>73</v>
      </c>
      <c r="C22" s="15" t="s">
        <v>74</v>
      </c>
      <c r="D22" s="20">
        <v>1200</v>
      </c>
      <c r="E22" s="20">
        <v>1200</v>
      </c>
      <c r="F22" s="15" t="s">
        <v>72</v>
      </c>
    </row>
    <row r="25" spans="1:7" ht="16" thickBot="1" x14ac:dyDescent="0.25">
      <c r="A25" t="s">
        <v>64</v>
      </c>
    </row>
    <row r="26" spans="1:7" ht="16" thickBot="1" x14ac:dyDescent="0.25">
      <c r="B26" s="16" t="s">
        <v>58</v>
      </c>
      <c r="C26" s="16" t="s">
        <v>59</v>
      </c>
      <c r="D26" s="16" t="s">
        <v>65</v>
      </c>
      <c r="E26" s="16" t="s">
        <v>66</v>
      </c>
      <c r="F26" s="16" t="s">
        <v>67</v>
      </c>
      <c r="G26" s="16" t="s">
        <v>68</v>
      </c>
    </row>
    <row r="27" spans="1:7" x14ac:dyDescent="0.2">
      <c r="B27" s="17" t="s">
        <v>75</v>
      </c>
      <c r="C27" s="17" t="s">
        <v>76</v>
      </c>
      <c r="D27" s="19">
        <v>10000</v>
      </c>
      <c r="E27" s="17" t="s">
        <v>77</v>
      </c>
      <c r="F27" s="17" t="s">
        <v>78</v>
      </c>
      <c r="G27" s="17">
        <v>0</v>
      </c>
    </row>
    <row r="28" spans="1:7" x14ac:dyDescent="0.2">
      <c r="B28" s="17" t="s">
        <v>79</v>
      </c>
      <c r="C28" s="17" t="s">
        <v>80</v>
      </c>
      <c r="D28" s="19">
        <v>2960</v>
      </c>
      <c r="E28" s="17" t="s">
        <v>81</v>
      </c>
      <c r="F28" s="17" t="s">
        <v>82</v>
      </c>
      <c r="G28" s="17">
        <v>40</v>
      </c>
    </row>
    <row r="29" spans="1:7" x14ac:dyDescent="0.2">
      <c r="B29" s="17" t="s">
        <v>70</v>
      </c>
      <c r="C29" s="17" t="s">
        <v>71</v>
      </c>
      <c r="D29" s="19">
        <v>560</v>
      </c>
      <c r="E29" s="17" t="s">
        <v>83</v>
      </c>
      <c r="F29" s="17" t="s">
        <v>82</v>
      </c>
      <c r="G29" s="17">
        <v>40</v>
      </c>
    </row>
    <row r="30" spans="1:7" ht="16" thickBot="1" x14ac:dyDescent="0.25">
      <c r="B30" s="15" t="s">
        <v>73</v>
      </c>
      <c r="C30" s="15" t="s">
        <v>74</v>
      </c>
      <c r="D30" s="20">
        <v>1200</v>
      </c>
      <c r="E30" s="15" t="s">
        <v>84</v>
      </c>
      <c r="F30" s="15" t="s">
        <v>78</v>
      </c>
      <c r="G30" s="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042C-FA05-1E4B-B089-6FEF849B528C}">
  <dimension ref="A1:H16"/>
  <sheetViews>
    <sheetView showGridLines="0" topLeftCell="A10" zoomScale="169" workbookViewId="0">
      <selection sqref="A1:A3"/>
    </sheetView>
  </sheetViews>
  <sheetFormatPr baseColWidth="10" defaultRowHeight="15" x14ac:dyDescent="0.2"/>
  <cols>
    <col min="1" max="1" width="2.33203125" customWidth="1"/>
    <col min="2" max="2" width="6.1640625" bestFit="1" customWidth="1"/>
    <col min="3" max="3" width="34.6640625" bestFit="1" customWidth="1"/>
    <col min="4" max="4" width="6.1640625" bestFit="1" customWidth="1"/>
    <col min="5" max="5" width="8" bestFit="1" customWidth="1"/>
    <col min="6" max="6" width="9.6640625" bestFit="1" customWidth="1"/>
    <col min="7" max="8" width="9" bestFit="1" customWidth="1"/>
  </cols>
  <sheetData>
    <row r="1" spans="1:8" x14ac:dyDescent="0.2">
      <c r="A1" s="1" t="s">
        <v>85</v>
      </c>
    </row>
    <row r="2" spans="1:8" x14ac:dyDescent="0.2">
      <c r="A2" s="1" t="s">
        <v>47</v>
      </c>
    </row>
    <row r="3" spans="1:8" x14ac:dyDescent="0.2">
      <c r="A3" s="1" t="s">
        <v>86</v>
      </c>
    </row>
    <row r="6" spans="1:8" ht="16" thickBot="1" x14ac:dyDescent="0.25">
      <c r="A6" t="s">
        <v>62</v>
      </c>
    </row>
    <row r="7" spans="1:8" x14ac:dyDescent="0.2">
      <c r="B7" s="21"/>
      <c r="C7" s="21"/>
      <c r="D7" s="21" t="s">
        <v>87</v>
      </c>
      <c r="E7" s="21" t="s">
        <v>89</v>
      </c>
      <c r="F7" s="21" t="s">
        <v>91</v>
      </c>
      <c r="G7" s="21" t="s">
        <v>93</v>
      </c>
      <c r="H7" s="21" t="s">
        <v>93</v>
      </c>
    </row>
    <row r="8" spans="1:8" ht="16" thickBot="1" x14ac:dyDescent="0.25">
      <c r="B8" s="22" t="s">
        <v>58</v>
      </c>
      <c r="C8" s="22" t="s">
        <v>59</v>
      </c>
      <c r="D8" s="22" t="s">
        <v>88</v>
      </c>
      <c r="E8" s="22" t="s">
        <v>90</v>
      </c>
      <c r="F8" s="22" t="s">
        <v>92</v>
      </c>
      <c r="G8" s="22" t="s">
        <v>94</v>
      </c>
      <c r="H8" s="22" t="s">
        <v>95</v>
      </c>
    </row>
    <row r="9" spans="1:8" x14ac:dyDescent="0.2">
      <c r="B9" s="17" t="s">
        <v>70</v>
      </c>
      <c r="C9" s="17" t="s">
        <v>71</v>
      </c>
      <c r="D9" s="17">
        <v>560</v>
      </c>
      <c r="E9" s="17">
        <v>0</v>
      </c>
      <c r="F9" s="17">
        <v>80</v>
      </c>
      <c r="G9" s="17">
        <v>27.499999999999986</v>
      </c>
      <c r="H9" s="17">
        <v>80</v>
      </c>
    </row>
    <row r="10" spans="1:8" ht="16" thickBot="1" x14ac:dyDescent="0.25">
      <c r="B10" s="15" t="s">
        <v>73</v>
      </c>
      <c r="C10" s="15" t="s">
        <v>74</v>
      </c>
      <c r="D10" s="15">
        <v>1200</v>
      </c>
      <c r="E10" s="15">
        <v>32.999999999999986</v>
      </c>
      <c r="F10" s="15">
        <v>129</v>
      </c>
      <c r="G10" s="15">
        <v>1E+30</v>
      </c>
      <c r="H10" s="15">
        <v>32.999999999999986</v>
      </c>
    </row>
    <row r="12" spans="1:8" ht="16" thickBot="1" x14ac:dyDescent="0.25">
      <c r="A12" t="s">
        <v>64</v>
      </c>
    </row>
    <row r="13" spans="1:8" x14ac:dyDescent="0.2">
      <c r="B13" s="21"/>
      <c r="C13" s="21"/>
      <c r="D13" s="21" t="s">
        <v>87</v>
      </c>
      <c r="E13" s="21" t="s">
        <v>96</v>
      </c>
      <c r="F13" s="21" t="s">
        <v>98</v>
      </c>
      <c r="G13" s="21" t="s">
        <v>93</v>
      </c>
      <c r="H13" s="21" t="s">
        <v>93</v>
      </c>
    </row>
    <row r="14" spans="1:8" ht="16" thickBot="1" x14ac:dyDescent="0.25">
      <c r="B14" s="22" t="s">
        <v>58</v>
      </c>
      <c r="C14" s="22" t="s">
        <v>59</v>
      </c>
      <c r="D14" s="22" t="s">
        <v>88</v>
      </c>
      <c r="E14" s="22" t="s">
        <v>97</v>
      </c>
      <c r="F14" s="22" t="s">
        <v>99</v>
      </c>
      <c r="G14" s="22" t="s">
        <v>94</v>
      </c>
      <c r="H14" s="22" t="s">
        <v>95</v>
      </c>
    </row>
    <row r="15" spans="1:8" x14ac:dyDescent="0.2">
      <c r="B15" s="17" t="s">
        <v>75</v>
      </c>
      <c r="C15" s="17" t="s">
        <v>76</v>
      </c>
      <c r="D15" s="17">
        <v>10000</v>
      </c>
      <c r="E15" s="17">
        <v>16</v>
      </c>
      <c r="F15" s="17">
        <v>10000</v>
      </c>
      <c r="G15" s="17">
        <v>200</v>
      </c>
      <c r="H15" s="17">
        <v>2800</v>
      </c>
    </row>
    <row r="16" spans="1:8" ht="16" thickBot="1" x14ac:dyDescent="0.25">
      <c r="B16" s="15" t="s">
        <v>79</v>
      </c>
      <c r="C16" s="15" t="s">
        <v>80</v>
      </c>
      <c r="D16" s="15">
        <v>2960</v>
      </c>
      <c r="E16" s="15">
        <v>0</v>
      </c>
      <c r="F16" s="15">
        <v>3000</v>
      </c>
      <c r="G16" s="15">
        <v>1E+30</v>
      </c>
      <c r="H16" s="15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2B87-F97C-5042-8452-08C651C3066B}">
  <dimension ref="A1:J14"/>
  <sheetViews>
    <sheetView showGridLines="0" tabSelected="1" zoomScale="164" workbookViewId="0">
      <selection activeCell="S16" sqref="S16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20.33203125" bestFit="1" customWidth="1"/>
    <col min="4" max="4" width="8.6640625" bestFit="1" customWidth="1"/>
    <col min="5" max="5" width="2.33203125" customWidth="1"/>
    <col min="6" max="6" width="6" bestFit="1" customWidth="1"/>
    <col min="7" max="7" width="8.6640625" bestFit="1" customWidth="1"/>
    <col min="8" max="8" width="2.33203125" customWidth="1"/>
    <col min="9" max="9" width="6.1640625" bestFit="1" customWidth="1"/>
    <col min="10" max="10" width="8.6640625" bestFit="1" customWidth="1"/>
  </cols>
  <sheetData>
    <row r="1" spans="1:10" x14ac:dyDescent="0.2">
      <c r="A1" s="1" t="s">
        <v>100</v>
      </c>
    </row>
    <row r="2" spans="1:10" x14ac:dyDescent="0.2">
      <c r="A2" s="1" t="s">
        <v>47</v>
      </c>
    </row>
    <row r="3" spans="1:10" x14ac:dyDescent="0.2">
      <c r="A3" s="1" t="s">
        <v>86</v>
      </c>
    </row>
    <row r="5" spans="1:10" ht="16" thickBot="1" x14ac:dyDescent="0.25"/>
    <row r="6" spans="1:10" x14ac:dyDescent="0.2">
      <c r="B6" s="21"/>
      <c r="C6" s="21" t="s">
        <v>91</v>
      </c>
      <c r="D6" s="21"/>
    </row>
    <row r="7" spans="1:10" ht="16" thickBot="1" x14ac:dyDescent="0.25">
      <c r="B7" s="22" t="s">
        <v>58</v>
      </c>
      <c r="C7" s="22" t="s">
        <v>59</v>
      </c>
      <c r="D7" s="22" t="s">
        <v>88</v>
      </c>
    </row>
    <row r="8" spans="1:10" ht="16" thickBot="1" x14ac:dyDescent="0.25">
      <c r="B8" s="15" t="s">
        <v>69</v>
      </c>
      <c r="C8" s="15" t="s">
        <v>27</v>
      </c>
      <c r="D8" s="18">
        <v>199600</v>
      </c>
    </row>
    <row r="10" spans="1:10" ht="16" thickBot="1" x14ac:dyDescent="0.25"/>
    <row r="11" spans="1:10" x14ac:dyDescent="0.2">
      <c r="B11" s="21"/>
      <c r="C11" s="21" t="s">
        <v>101</v>
      </c>
      <c r="D11" s="21"/>
      <c r="F11" s="21" t="s">
        <v>102</v>
      </c>
      <c r="G11" s="21" t="s">
        <v>91</v>
      </c>
      <c r="I11" s="21" t="s">
        <v>105</v>
      </c>
      <c r="J11" s="21" t="s">
        <v>91</v>
      </c>
    </row>
    <row r="12" spans="1:10" ht="16" thickBot="1" x14ac:dyDescent="0.25">
      <c r="B12" s="22" t="s">
        <v>58</v>
      </c>
      <c r="C12" s="22" t="s">
        <v>59</v>
      </c>
      <c r="D12" s="22" t="s">
        <v>88</v>
      </c>
      <c r="F12" s="22" t="s">
        <v>103</v>
      </c>
      <c r="G12" s="22" t="s">
        <v>104</v>
      </c>
      <c r="I12" s="22" t="s">
        <v>103</v>
      </c>
      <c r="J12" s="22" t="s">
        <v>104</v>
      </c>
    </row>
    <row r="13" spans="1:10" x14ac:dyDescent="0.2">
      <c r="B13" s="17" t="s">
        <v>70</v>
      </c>
      <c r="C13" s="17" t="s">
        <v>71</v>
      </c>
      <c r="D13" s="19">
        <v>560</v>
      </c>
      <c r="F13" s="19">
        <v>0</v>
      </c>
      <c r="G13" s="23">
        <v>85</v>
      </c>
      <c r="I13" s="19">
        <v>250</v>
      </c>
      <c r="J13" s="23">
        <v>18835</v>
      </c>
    </row>
    <row r="14" spans="1:10" ht="16" thickBot="1" x14ac:dyDescent="0.25">
      <c r="B14" s="15" t="s">
        <v>73</v>
      </c>
      <c r="C14" s="15" t="s">
        <v>74</v>
      </c>
      <c r="D14" s="20">
        <v>1200</v>
      </c>
      <c r="F14" s="20">
        <v>0</v>
      </c>
      <c r="G14" s="18">
        <v>110</v>
      </c>
      <c r="I14" s="20">
        <v>398.5</v>
      </c>
      <c r="J14" s="18">
        <v>20035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G25"/>
  <sheetViews>
    <sheetView workbookViewId="0">
      <selection activeCell="K18" sqref="K18"/>
    </sheetView>
  </sheetViews>
  <sheetFormatPr baseColWidth="10" defaultColWidth="8.83203125" defaultRowHeight="15" x14ac:dyDescent="0.2"/>
  <cols>
    <col min="1" max="1" width="31" customWidth="1"/>
    <col min="2" max="2" width="10.83203125" bestFit="1" customWidth="1"/>
    <col min="5" max="5" width="9.1640625" customWidth="1"/>
  </cols>
  <sheetData>
    <row r="1" spans="1:6" x14ac:dyDescent="0.2">
      <c r="A1" s="1" t="s">
        <v>0</v>
      </c>
      <c r="E1" s="1"/>
    </row>
    <row r="2" spans="1:6" x14ac:dyDescent="0.2">
      <c r="E2" s="10"/>
      <c r="F2" s="10"/>
    </row>
    <row r="3" spans="1:6" x14ac:dyDescent="0.2">
      <c r="A3" t="s">
        <v>11</v>
      </c>
      <c r="B3" s="5">
        <v>11</v>
      </c>
      <c r="E3" s="10"/>
      <c r="F3" s="10"/>
    </row>
    <row r="4" spans="1:6" x14ac:dyDescent="0.2">
      <c r="A4" t="s">
        <v>12</v>
      </c>
      <c r="B4" s="5">
        <v>15</v>
      </c>
      <c r="E4" s="10"/>
      <c r="F4" s="10"/>
    </row>
    <row r="5" spans="1:6" x14ac:dyDescent="0.2">
      <c r="E5" s="10"/>
      <c r="F5" s="10"/>
    </row>
    <row r="6" spans="1:6" x14ac:dyDescent="0.2">
      <c r="A6" t="s">
        <v>3</v>
      </c>
      <c r="E6" s="10"/>
      <c r="F6" s="10"/>
    </row>
    <row r="7" spans="1:6" x14ac:dyDescent="0.2">
      <c r="B7" s="2" t="s">
        <v>1</v>
      </c>
      <c r="C7" s="2" t="s">
        <v>2</v>
      </c>
    </row>
    <row r="8" spans="1:6" x14ac:dyDescent="0.2">
      <c r="A8" t="s">
        <v>4</v>
      </c>
      <c r="B8" s="3">
        <v>5</v>
      </c>
      <c r="C8" s="3">
        <v>6</v>
      </c>
    </row>
    <row r="9" spans="1:6" x14ac:dyDescent="0.2">
      <c r="A9" t="s">
        <v>5</v>
      </c>
      <c r="B9" s="3">
        <v>1</v>
      </c>
      <c r="C9" s="3">
        <v>2</v>
      </c>
    </row>
    <row r="10" spans="1:6" x14ac:dyDescent="0.2">
      <c r="A10" t="s">
        <v>6</v>
      </c>
      <c r="B10" s="5">
        <v>150</v>
      </c>
      <c r="C10" s="5">
        <v>225</v>
      </c>
    </row>
    <row r="11" spans="1:6" x14ac:dyDescent="0.2">
      <c r="A11" t="s">
        <v>7</v>
      </c>
      <c r="B11" s="5">
        <v>300</v>
      </c>
      <c r="C11" s="5">
        <v>450</v>
      </c>
    </row>
    <row r="12" spans="1:6" x14ac:dyDescent="0.2">
      <c r="A12" t="s">
        <v>8</v>
      </c>
      <c r="B12" s="6">
        <f>B11-B8*$B$3-B9*$B$4-B10</f>
        <v>80</v>
      </c>
      <c r="C12" s="6">
        <f>C11-C8*$B$3-C9*$B$4-C10</f>
        <v>129</v>
      </c>
    </row>
    <row r="14" spans="1:6" x14ac:dyDescent="0.2">
      <c r="A14" t="s">
        <v>9</v>
      </c>
    </row>
    <row r="15" spans="1:6" x14ac:dyDescent="0.2">
      <c r="B15" s="2" t="s">
        <v>1</v>
      </c>
      <c r="C15" s="2" t="s">
        <v>2</v>
      </c>
    </row>
    <row r="16" spans="1:6" x14ac:dyDescent="0.2">
      <c r="A16" t="s">
        <v>17</v>
      </c>
      <c r="B16" s="4">
        <v>560</v>
      </c>
      <c r="C16" s="4">
        <v>1200</v>
      </c>
    </row>
    <row r="17" spans="1:7" x14ac:dyDescent="0.2">
      <c r="B17" s="9" t="s">
        <v>15</v>
      </c>
      <c r="C17" s="9" t="s">
        <v>15</v>
      </c>
      <c r="E17" t="s">
        <v>44</v>
      </c>
      <c r="G17" t="s">
        <v>37</v>
      </c>
    </row>
    <row r="18" spans="1:7" x14ac:dyDescent="0.2">
      <c r="A18" t="s">
        <v>18</v>
      </c>
      <c r="B18" s="14">
        <f>E18*(1+$G$18)</f>
        <v>600</v>
      </c>
      <c r="C18" s="14">
        <f>F18*(1+$G$18)</f>
        <v>1200</v>
      </c>
      <c r="E18" s="3">
        <v>600</v>
      </c>
      <c r="F18" s="3">
        <v>1200</v>
      </c>
      <c r="G18" s="13">
        <v>0</v>
      </c>
    </row>
    <row r="20" spans="1:7" x14ac:dyDescent="0.2">
      <c r="A20" t="s">
        <v>16</v>
      </c>
      <c r="B20" s="2" t="s">
        <v>40</v>
      </c>
      <c r="C20" s="2"/>
      <c r="D20" s="12" t="s">
        <v>41</v>
      </c>
    </row>
    <row r="21" spans="1:7" x14ac:dyDescent="0.2">
      <c r="A21" t="s">
        <v>13</v>
      </c>
      <c r="B21">
        <f>SUMPRODUCT(B8:C8,Number_to_produce)</f>
        <v>10000</v>
      </c>
      <c r="C21" s="8" t="s">
        <v>15</v>
      </c>
      <c r="D21" s="3">
        <v>10000</v>
      </c>
    </row>
    <row r="22" spans="1:7" x14ac:dyDescent="0.2">
      <c r="A22" t="s">
        <v>14</v>
      </c>
      <c r="B22">
        <f>SUMPRODUCT(B9:C9,Number_to_produce)</f>
        <v>2960</v>
      </c>
      <c r="C22" s="8" t="s">
        <v>15</v>
      </c>
      <c r="D22" s="3">
        <v>3000</v>
      </c>
    </row>
    <row r="24" spans="1:7" x14ac:dyDescent="0.2">
      <c r="A24" t="s">
        <v>19</v>
      </c>
      <c r="B24" s="2" t="s">
        <v>1</v>
      </c>
      <c r="C24" s="2" t="s">
        <v>2</v>
      </c>
      <c r="D24" s="2" t="s">
        <v>10</v>
      </c>
    </row>
    <row r="25" spans="1:7" x14ac:dyDescent="0.2">
      <c r="B25" s="6">
        <f>B12*B16</f>
        <v>44800</v>
      </c>
      <c r="C25" s="6">
        <f>C12*C16</f>
        <v>154800</v>
      </c>
      <c r="D25" s="7">
        <f>SUM(B25:C25)</f>
        <v>199600</v>
      </c>
    </row>
  </sheetData>
  <printOptions headings="1" gridLines="1"/>
  <pageMargins left="0.7" right="0.7" top="0.75" bottom="0.75" header="0.3" footer="0.3"/>
  <pageSetup scale="9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A2" t="s">
        <v>38</v>
      </c>
    </row>
    <row r="3" spans="1:2" x14ac:dyDescent="0.2">
      <c r="A3">
        <v>1</v>
      </c>
    </row>
    <row r="4" spans="1:2" x14ac:dyDescent="0.2">
      <c r="A4">
        <v>-0.3</v>
      </c>
    </row>
    <row r="5" spans="1:2" x14ac:dyDescent="0.2">
      <c r="A5">
        <v>0.3</v>
      </c>
    </row>
    <row r="6" spans="1:2" x14ac:dyDescent="0.2">
      <c r="A6">
        <v>0.1</v>
      </c>
    </row>
    <row r="8" spans="1:2" x14ac:dyDescent="0.2">
      <c r="A8" s="11"/>
      <c r="B8" s="11"/>
    </row>
    <row r="9" spans="1:2" x14ac:dyDescent="0.2">
      <c r="A9" t="s">
        <v>45</v>
      </c>
    </row>
    <row r="10" spans="1:2" x14ac:dyDescent="0.2">
      <c r="A10" t="s">
        <v>39</v>
      </c>
    </row>
    <row r="15" spans="1:2" x14ac:dyDescent="0.2">
      <c r="B15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</v>
      </c>
    </row>
    <row r="2" spans="1:2" x14ac:dyDescent="0.2">
      <c r="A2" t="s">
        <v>29</v>
      </c>
      <c r="B2" t="s">
        <v>32</v>
      </c>
    </row>
    <row r="3" spans="1:2" x14ac:dyDescent="0.2">
      <c r="A3">
        <v>1</v>
      </c>
      <c r="B3">
        <v>1</v>
      </c>
    </row>
    <row r="4" spans="1:2" x14ac:dyDescent="0.2">
      <c r="A4">
        <v>350</v>
      </c>
      <c r="B4">
        <v>8000</v>
      </c>
    </row>
    <row r="5" spans="1:2" x14ac:dyDescent="0.2">
      <c r="A5">
        <v>550</v>
      </c>
      <c r="B5">
        <v>12000</v>
      </c>
    </row>
    <row r="6" spans="1:2" x14ac:dyDescent="0.2">
      <c r="A6">
        <v>25</v>
      </c>
      <c r="B6">
        <v>500</v>
      </c>
    </row>
    <row r="8" spans="1:2" x14ac:dyDescent="0.2">
      <c r="A8" s="11"/>
      <c r="B8" s="11" t="s">
        <v>33</v>
      </c>
    </row>
    <row r="9" spans="1:2" x14ac:dyDescent="0.2">
      <c r="A9" t="s">
        <v>30</v>
      </c>
      <c r="B9" t="s">
        <v>34</v>
      </c>
    </row>
    <row r="10" spans="1:2" x14ac:dyDescent="0.2">
      <c r="A10" t="s">
        <v>31</v>
      </c>
      <c r="B10">
        <v>1</v>
      </c>
    </row>
    <row r="11" spans="1:2" x14ac:dyDescent="0.2">
      <c r="B11">
        <v>2000</v>
      </c>
    </row>
    <row r="12" spans="1:2" x14ac:dyDescent="0.2">
      <c r="B12">
        <v>5000</v>
      </c>
    </row>
    <row r="13" spans="1:2" x14ac:dyDescent="0.2">
      <c r="B13">
        <v>500</v>
      </c>
    </row>
    <row r="15" spans="1:2" x14ac:dyDescent="0.2">
      <c r="B15" s="11" t="s">
        <v>33</v>
      </c>
    </row>
    <row r="16" spans="1:2" x14ac:dyDescent="0.2">
      <c r="B16" t="s">
        <v>30</v>
      </c>
    </row>
    <row r="17" spans="2:2" x14ac:dyDescent="0.2">
      <c r="B17" t="s">
        <v>35</v>
      </c>
    </row>
    <row r="18" spans="2:2" x14ac:dyDescent="0.2"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Answer Report 2</vt:lpstr>
      <vt:lpstr>Sensitivity Report 2</vt:lpstr>
      <vt:lpstr>Limits Report 2</vt:lpstr>
      <vt:lpstr>Model</vt:lpstr>
      <vt:lpstr>Answer Report 1</vt:lpstr>
      <vt:lpstr>Sensitivity Report 1</vt:lpstr>
      <vt:lpstr>Limits Report 1</vt:lpstr>
      <vt:lpstr>Modified Model</vt:lpstr>
      <vt:lpstr>'Modified Model'!Hours_Available</vt:lpstr>
      <vt:lpstr>Hours_Available</vt:lpstr>
      <vt:lpstr>'Modified Model'!Hours_Used</vt:lpstr>
      <vt:lpstr>Hours_Used</vt:lpstr>
      <vt:lpstr>'Modified Model'!Maximum_sales</vt:lpstr>
      <vt:lpstr>Maximum_sales</vt:lpstr>
      <vt:lpstr>'Modified Model'!Number_to_produce</vt:lpstr>
      <vt:lpstr>Number_to_produce</vt:lpstr>
      <vt:lpstr>Model!Print_Area</vt:lpstr>
      <vt:lpstr>'Modified Model'!Print_Area</vt:lpstr>
      <vt:lpstr>'Modified Model'!Total_profit</vt:lpstr>
      <vt:lpstr>Total_profit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Microsoft Office User</cp:lastModifiedBy>
  <cp:lastPrinted>2009-12-27T17:10:49Z</cp:lastPrinted>
  <dcterms:created xsi:type="dcterms:W3CDTF">2009-09-28T15:17:58Z</dcterms:created>
  <dcterms:modified xsi:type="dcterms:W3CDTF">2022-06-30T20:49:24Z</dcterms:modified>
</cp:coreProperties>
</file>