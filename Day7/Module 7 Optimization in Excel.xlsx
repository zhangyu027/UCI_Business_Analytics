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6.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drawings/drawing7.xml" ContentType="application/vnd.openxmlformats-officedocument.drawing+xml"/>
  <Override PartName="/xl/comments3.xml" ContentType="application/vnd.openxmlformats-officedocument.spreadsheetml.comments+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4"/>
  <workbookPr codeName="ThisWorkbook" defaultThemeVersion="124226"/>
  <mc:AlternateContent xmlns:mc="http://schemas.openxmlformats.org/markup-compatibility/2006">
    <mc:Choice Requires="x15">
      <x15ac:absPath xmlns:x15ac="http://schemas.microsoft.com/office/spreadsheetml/2010/11/ac" url="/Users/yuzhang/Dropbox/Academia/UCI Lecturer/I&amp;C_SCI_X425.89/Day7/"/>
    </mc:Choice>
  </mc:AlternateContent>
  <xr:revisionPtr revIDLastSave="0" documentId="13_ncr:1_{6E39CBBF-EC9D-B045-853C-52D8BC52AA47}" xr6:coauthVersionLast="47" xr6:coauthVersionMax="47" xr10:uidLastSave="{00000000-0000-0000-0000-000000000000}"/>
  <bookViews>
    <workbookView xWindow="11080" yWindow="500" windowWidth="29520" windowHeight="19340" activeTab="3" xr2:uid="{00000000-000D-0000-FFFF-FFFF00000000}"/>
  </bookViews>
  <sheets>
    <sheet name="Model" sheetId="1" r:id="rId1"/>
    <sheet name="Answer Report 1" sheetId="32" r:id="rId2"/>
    <sheet name="Sensitivity Report 2" sheetId="33" r:id="rId3"/>
    <sheet name="Limits Report 1" sheetId="34" r:id="rId4"/>
    <sheet name="Modified Model" sheetId="7" r:id="rId5"/>
    <sheet name="Graphical Solution" sheetId="2" r:id="rId6"/>
    <sheet name="Sensitivity Report 1" sheetId="28" r:id="rId7"/>
    <sheet name="Modified Model_STS" sheetId="8" state="veryHidden" r:id="rId8"/>
    <sheet name="Model_STS" sheetId="4" state="veryHidden" r:id="rId9"/>
    <sheet name="STS_1" sheetId="29" r:id="rId10"/>
    <sheet name="STS_2" sheetId="30" r:id="rId11"/>
    <sheet name="STS_3" sheetId="31" r:id="rId12"/>
  </sheets>
  <definedNames>
    <definedName name="ChartData" localSheetId="9">STS_1!$K$5:$K$13</definedName>
    <definedName name="ChartData" localSheetId="11">STS_3!$K$5:$K$11</definedName>
    <definedName name="ChartData1" localSheetId="10">STS_2!$K$5:$K$11</definedName>
    <definedName name="ChartData2" localSheetId="10">STS_2!$O$5:$O$13</definedName>
    <definedName name="Hours_Available" localSheetId="4">'Modified Model'!$D$21:$D$22</definedName>
    <definedName name="Hours_Available">Model!$D$21:$D$22</definedName>
    <definedName name="Hours_Used" localSheetId="4">'Modified Model'!$B$21:$B$22</definedName>
    <definedName name="Hours_Used">Model!$B$21:$B$22</definedName>
    <definedName name="InputValues" localSheetId="9">STS_1!$A$5:$A$13</definedName>
    <definedName name="InputValues" localSheetId="11">STS_3!$A$5:$A$11</definedName>
    <definedName name="InputValues1" localSheetId="10">STS_2!$A$5:$A$13</definedName>
    <definedName name="InputValues2" localSheetId="10">STS_2!$B$4:$H$4</definedName>
    <definedName name="Maximum_sales" localSheetId="4">'Modified Model'!$B$18:$C$18</definedName>
    <definedName name="Maximum_sales">Model!$B$18:$C$18</definedName>
    <definedName name="Number_to_produce" localSheetId="4">'Modified Model'!$B$16:$C$16</definedName>
    <definedName name="Number_to_produce">Model!$B$16:$C$16</definedName>
    <definedName name="OutputAddresses" localSheetId="9">STS_1!$B$4:$D$4</definedName>
    <definedName name="OutputAddresses" localSheetId="10">STS_2!$AZ$2:$AZ$4</definedName>
    <definedName name="OutputAddresses" localSheetId="11">STS_3!$B$4:$E$4</definedName>
    <definedName name="OutputValues" localSheetId="9">STS_1!$B$5:$D$13</definedName>
    <definedName name="OutputValues" localSheetId="11">STS_3!$B$5:$E$11</definedName>
    <definedName name="OutputValues_1" localSheetId="10">STS_2!$B$5:$H$13</definedName>
    <definedName name="OutputValues_2" localSheetId="10">STS_2!$B$16:$H$24</definedName>
    <definedName name="OutputValues_3" localSheetId="10">STS_2!$B$27:$H$35</definedName>
    <definedName name="_xlnm.Print_Area" localSheetId="5">'Graphical Solution'!$B$2:$R$32</definedName>
    <definedName name="_xlnm.Print_Area" localSheetId="0">Model!$A$1:$G$25</definedName>
    <definedName name="_xlnm.Print_Area" localSheetId="4">'Modified Model'!$A$1:$H$25</definedName>
    <definedName name="solver_adj" localSheetId="0" hidden="1">Model!$B$16:$C$16</definedName>
    <definedName name="solver_adj" localSheetId="4" hidden="1">'Modified Model'!$B$16:$C$16</definedName>
    <definedName name="solver_cvg" localSheetId="0" hidden="1">0.0001</definedName>
    <definedName name="solver_cvg" localSheetId="4" hidden="1">0.0001</definedName>
    <definedName name="solver_drv" localSheetId="0" hidden="1">1</definedName>
    <definedName name="solver_drv" localSheetId="4" hidden="1">1</definedName>
    <definedName name="solver_eng" localSheetId="0" hidden="1">2</definedName>
    <definedName name="solver_eng" localSheetId="4" hidden="1">2</definedName>
    <definedName name="solver_est" localSheetId="0" hidden="1">1</definedName>
    <definedName name="solver_est" localSheetId="4" hidden="1">1</definedName>
    <definedName name="solver_itr" localSheetId="0" hidden="1">100</definedName>
    <definedName name="solver_itr" localSheetId="4" hidden="1">100</definedName>
    <definedName name="solver_lhs1" localSheetId="0" hidden="1">Model!$B$21:$B$22</definedName>
    <definedName name="solver_lhs1" localSheetId="4" hidden="1">'Modified Model'!$B$21:$B$22</definedName>
    <definedName name="solver_lhs2" localSheetId="0" hidden="1">Model!$B$16:$C$16</definedName>
    <definedName name="solver_lhs2" localSheetId="4" hidden="1">'Modified Model'!$B$16:$C$16</definedName>
    <definedName name="solver_lin" localSheetId="0" hidden="1">1</definedName>
    <definedName name="solver_lin" localSheetId="4" hidden="1">1</definedName>
    <definedName name="solver_mip" localSheetId="0" hidden="1">2147483647</definedName>
    <definedName name="solver_mip" localSheetId="4" hidden="1">2147483647</definedName>
    <definedName name="solver_mni" localSheetId="0" hidden="1">30</definedName>
    <definedName name="solver_mni" localSheetId="4" hidden="1">30</definedName>
    <definedName name="solver_mrt" localSheetId="0" hidden="1">0.075</definedName>
    <definedName name="solver_mrt" localSheetId="4" hidden="1">0.075</definedName>
    <definedName name="solver_msl" localSheetId="0" hidden="1">2</definedName>
    <definedName name="solver_msl" localSheetId="4" hidden="1">2</definedName>
    <definedName name="solver_neg" localSheetId="0" hidden="1">1</definedName>
    <definedName name="solver_neg" localSheetId="4" hidden="1">1</definedName>
    <definedName name="solver_nod" localSheetId="0" hidden="1">2147483647</definedName>
    <definedName name="solver_nod" localSheetId="4" hidden="1">2147483647</definedName>
    <definedName name="solver_num" localSheetId="0" hidden="1">2</definedName>
    <definedName name="solver_num" localSheetId="4" hidden="1">2</definedName>
    <definedName name="solver_nwt" localSheetId="0" hidden="1">1</definedName>
    <definedName name="solver_nwt" localSheetId="4" hidden="1">1</definedName>
    <definedName name="solver_opt" localSheetId="0" hidden="1">Model!$D$25</definedName>
    <definedName name="solver_opt" localSheetId="4" hidden="1">'Modified Model'!$D$25</definedName>
    <definedName name="solver_pre" localSheetId="0" hidden="1">0.000001</definedName>
    <definedName name="solver_pre" localSheetId="4" hidden="1">0.000001</definedName>
    <definedName name="solver_rbv" localSheetId="0" hidden="1">1</definedName>
    <definedName name="solver_rbv" localSheetId="4" hidden="1">1</definedName>
    <definedName name="solver_rel1" localSheetId="0" hidden="1">1</definedName>
    <definedName name="solver_rel1" localSheetId="4" hidden="1">1</definedName>
    <definedName name="solver_rel2" localSheetId="0" hidden="1">1</definedName>
    <definedName name="solver_rel2" localSheetId="4" hidden="1">1</definedName>
    <definedName name="solver_rhs1" localSheetId="0" hidden="1">Hours_Available</definedName>
    <definedName name="solver_rhs1" localSheetId="4" hidden="1">'Modified Model'!$D$21:$D$22</definedName>
    <definedName name="solver_rhs2" localSheetId="0" hidden="1">Maximum_sales</definedName>
    <definedName name="solver_rhs2" localSheetId="4" hidden="1">'Modified Model'!$B$18:$C$18</definedName>
    <definedName name="solver_rlx" localSheetId="0" hidden="1">1</definedName>
    <definedName name="solver_rlx" localSheetId="4" hidden="1">1</definedName>
    <definedName name="solver_rsd" localSheetId="0" hidden="1">0</definedName>
    <definedName name="solver_rsd" localSheetId="4" hidden="1">0</definedName>
    <definedName name="solver_scl" localSheetId="0" hidden="1">2</definedName>
    <definedName name="solver_scl" localSheetId="4" hidden="1">2</definedName>
    <definedName name="solver_sho" localSheetId="0" hidden="1">2</definedName>
    <definedName name="solver_sho" localSheetId="4" hidden="1">2</definedName>
    <definedName name="solver_ssz" localSheetId="0" hidden="1">100</definedName>
    <definedName name="solver_ssz" localSheetId="4" hidden="1">100</definedName>
    <definedName name="solver_tim" localSheetId="0" hidden="1">100</definedName>
    <definedName name="solver_tim" localSheetId="4" hidden="1">100</definedName>
    <definedName name="solver_tol" localSheetId="0" hidden="1">0.05</definedName>
    <definedName name="solver_tol" localSheetId="4" hidden="1">0.05</definedName>
    <definedName name="solver_typ" localSheetId="0" hidden="1">1</definedName>
    <definedName name="solver_typ" localSheetId="4" hidden="1">1</definedName>
    <definedName name="solver_val" localSheetId="0" hidden="1">0</definedName>
    <definedName name="solver_val" localSheetId="4" hidden="1">0</definedName>
    <definedName name="solver_ver" localSheetId="0" hidden="1">2</definedName>
    <definedName name="solver_ver" localSheetId="4" hidden="1">2</definedName>
    <definedName name="Total_profit" localSheetId="4">'Modified Model'!$D$25</definedName>
    <definedName name="Total_profit">Model!$D$25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 i="31" l="1"/>
  <c r="J4" i="31"/>
  <c r="K11" i="31" s="1"/>
  <c r="O1" i="30"/>
  <c r="K1" i="30"/>
  <c r="Q4" i="30"/>
  <c r="N4" i="30"/>
  <c r="N5" i="30" s="1"/>
  <c r="M4" i="30"/>
  <c r="J4" i="30"/>
  <c r="J5" i="30" s="1"/>
  <c r="K1" i="29"/>
  <c r="J4" i="29"/>
  <c r="K13" i="29" s="1"/>
  <c r="O11" i="30"/>
  <c r="K11" i="30"/>
  <c r="K5" i="31" l="1"/>
  <c r="K6" i="31"/>
  <c r="K7" i="31"/>
  <c r="K8" i="31"/>
  <c r="K9" i="31"/>
  <c r="K10" i="31"/>
  <c r="K11" i="29"/>
  <c r="K6" i="29"/>
  <c r="K7" i="29"/>
  <c r="K8" i="29"/>
  <c r="K9" i="29"/>
  <c r="K10" i="29"/>
  <c r="K12" i="29"/>
  <c r="K5" i="29"/>
  <c r="B18" i="7"/>
  <c r="C18" i="7"/>
  <c r="B22" i="7"/>
  <c r="B21" i="7"/>
  <c r="C12" i="7"/>
  <c r="C25" i="7"/>
  <c r="B12" i="7"/>
  <c r="B25" i="7" s="1"/>
  <c r="B21" i="1"/>
  <c r="B22" i="1"/>
  <c r="B12" i="1"/>
  <c r="B25" i="1" s="1"/>
  <c r="C12" i="1"/>
  <c r="C25" i="1" s="1"/>
  <c r="K7" i="30"/>
  <c r="O13" i="30"/>
  <c r="K10" i="30"/>
  <c r="K8" i="30"/>
  <c r="O6" i="30"/>
  <c r="O9" i="30"/>
  <c r="O12" i="30"/>
  <c r="O8" i="30"/>
  <c r="O5" i="30"/>
  <c r="K6" i="30"/>
  <c r="O10" i="30"/>
  <c r="K5" i="30"/>
  <c r="O7" i="30"/>
  <c r="K9" i="30"/>
  <c r="D25" i="7" l="1"/>
  <c r="D2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author>
  </authors>
  <commentList>
    <comment ref="B5" authorId="0" shapeId="0" xr:uid="{00000000-0006-0000-0600-000001000000}">
      <text>
        <r>
          <rPr>
            <sz val="9"/>
            <color indexed="81"/>
            <rFont val="Tahoma"/>
            <family val="2"/>
          </rPr>
          <t>Solver found a solution. All constraints and optimality conditions are satisfied.</t>
        </r>
      </text>
    </comment>
    <comment ref="B6" authorId="0" shapeId="0" xr:uid="{00000000-0006-0000-0600-000002000000}">
      <text>
        <r>
          <rPr>
            <sz val="9"/>
            <color indexed="81"/>
            <rFont val="Tahoma"/>
            <family val="2"/>
          </rPr>
          <t>Solver found a solution. All constraints and optimality conditions are satisfied.</t>
        </r>
      </text>
    </comment>
    <comment ref="B7" authorId="0" shapeId="0" xr:uid="{00000000-0006-0000-0600-000003000000}">
      <text>
        <r>
          <rPr>
            <sz val="9"/>
            <color indexed="81"/>
            <rFont val="Tahoma"/>
            <family val="2"/>
          </rPr>
          <t>Solver found a solution. All constraints and optimality conditions are satisfied.</t>
        </r>
      </text>
    </comment>
    <comment ref="B8" authorId="0" shapeId="0" xr:uid="{00000000-0006-0000-0600-000004000000}">
      <text>
        <r>
          <rPr>
            <sz val="9"/>
            <color indexed="81"/>
            <rFont val="Tahoma"/>
            <family val="2"/>
          </rPr>
          <t>Solver found a solution. All constraints and optimality conditions are satisfied.</t>
        </r>
      </text>
    </comment>
    <comment ref="B9" authorId="0" shapeId="0" xr:uid="{00000000-0006-0000-0600-000005000000}">
      <text>
        <r>
          <rPr>
            <sz val="9"/>
            <color indexed="81"/>
            <rFont val="Tahoma"/>
            <family val="2"/>
          </rPr>
          <t>Solver found a solution. All constraints and optimality conditions are satisfied.</t>
        </r>
      </text>
    </comment>
    <comment ref="B10" authorId="0" shapeId="0" xr:uid="{00000000-0006-0000-0600-000006000000}">
      <text>
        <r>
          <rPr>
            <sz val="9"/>
            <color indexed="81"/>
            <rFont val="Tahoma"/>
            <family val="2"/>
          </rPr>
          <t>Solver found a solution. All constraints and optimality conditions are satisfied.</t>
        </r>
      </text>
    </comment>
    <comment ref="B11" authorId="0" shapeId="0" xr:uid="{00000000-0006-0000-0600-000007000000}">
      <text>
        <r>
          <rPr>
            <sz val="9"/>
            <color indexed="81"/>
            <rFont val="Tahoma"/>
            <family val="2"/>
          </rPr>
          <t>Solver found a solution. All constraints and optimality conditions are satisfied.</t>
        </r>
      </text>
    </comment>
    <comment ref="B12" authorId="0" shapeId="0" xr:uid="{00000000-0006-0000-0600-000008000000}">
      <text>
        <r>
          <rPr>
            <sz val="9"/>
            <color indexed="81"/>
            <rFont val="Tahoma"/>
            <family val="2"/>
          </rPr>
          <t>Solver found a solution. All constraints and optimality conditions are satisfied.</t>
        </r>
      </text>
    </comment>
    <comment ref="B13" authorId="0" shapeId="0" xr:uid="{00000000-0006-0000-0600-000009000000}">
      <text>
        <r>
          <rPr>
            <sz val="9"/>
            <color indexed="81"/>
            <rFont val="Tahoma"/>
            <family val="2"/>
          </rPr>
          <t>Solver found a solution. All constraints and optimality conditions are satisfied.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Chris</author>
  </authors>
  <commentList>
    <comment ref="B5" authorId="0" shapeId="0" xr:uid="{00000000-0006-0000-0700-000001000000}">
      <text>
        <r>
          <rPr>
            <sz val="9"/>
            <color indexed="81"/>
            <rFont val="Tahoma"/>
            <family val="2"/>
          </rPr>
          <t>Solver found a solution. All constraints and optimality conditions are satisfied.</t>
        </r>
      </text>
    </comment>
    <comment ref="C5" authorId="0" shapeId="0" xr:uid="{00000000-0006-0000-0700-000002000000}">
      <text>
        <r>
          <rPr>
            <sz val="9"/>
            <color indexed="81"/>
            <rFont val="Tahoma"/>
            <family val="2"/>
          </rPr>
          <t>Solver found a solution. All constraints and optimality conditions are satisfied.</t>
        </r>
      </text>
    </comment>
    <comment ref="D5" authorId="0" shapeId="0" xr:uid="{00000000-0006-0000-0700-000003000000}">
      <text>
        <r>
          <rPr>
            <sz val="9"/>
            <color indexed="81"/>
            <rFont val="Tahoma"/>
            <family val="2"/>
          </rPr>
          <t>Solver found a solution. All constraints and optimality conditions are satisfied.</t>
        </r>
      </text>
    </comment>
    <comment ref="E5" authorId="0" shapeId="0" xr:uid="{00000000-0006-0000-0700-000004000000}">
      <text>
        <r>
          <rPr>
            <sz val="9"/>
            <color indexed="81"/>
            <rFont val="Tahoma"/>
            <family val="2"/>
          </rPr>
          <t>Solver found a solution. All constraints and optimality conditions are satisfied.</t>
        </r>
      </text>
    </comment>
    <comment ref="F5" authorId="0" shapeId="0" xr:uid="{00000000-0006-0000-0700-000005000000}">
      <text>
        <r>
          <rPr>
            <sz val="9"/>
            <color indexed="81"/>
            <rFont val="Tahoma"/>
            <family val="2"/>
          </rPr>
          <t>Solver found a solution. All constraints and optimality conditions are satisfied.</t>
        </r>
      </text>
    </comment>
    <comment ref="G5" authorId="0" shapeId="0" xr:uid="{00000000-0006-0000-0700-000006000000}">
      <text>
        <r>
          <rPr>
            <sz val="9"/>
            <color indexed="81"/>
            <rFont val="Tahoma"/>
            <family val="2"/>
          </rPr>
          <t>Solver found a solution. All constraints and optimality conditions are satisfied.</t>
        </r>
      </text>
    </comment>
    <comment ref="H5" authorId="0" shapeId="0" xr:uid="{00000000-0006-0000-0700-000007000000}">
      <text>
        <r>
          <rPr>
            <sz val="9"/>
            <color indexed="81"/>
            <rFont val="Tahoma"/>
            <family val="2"/>
          </rPr>
          <t>Solver found a solution. All constraints and optimality conditions are satisfied.</t>
        </r>
      </text>
    </comment>
    <comment ref="B6" authorId="0" shapeId="0" xr:uid="{00000000-0006-0000-0700-000008000000}">
      <text>
        <r>
          <rPr>
            <sz val="9"/>
            <color indexed="81"/>
            <rFont val="Tahoma"/>
            <family val="2"/>
          </rPr>
          <t>Solver found a solution. All constraints and optimality conditions are satisfied.</t>
        </r>
      </text>
    </comment>
    <comment ref="C6" authorId="0" shapeId="0" xr:uid="{00000000-0006-0000-0700-000009000000}">
      <text>
        <r>
          <rPr>
            <sz val="9"/>
            <color indexed="81"/>
            <rFont val="Tahoma"/>
            <family val="2"/>
          </rPr>
          <t>Solver found a solution. All constraints and optimality conditions are satisfied.</t>
        </r>
      </text>
    </comment>
    <comment ref="D6" authorId="0" shapeId="0" xr:uid="{00000000-0006-0000-0700-00000A000000}">
      <text>
        <r>
          <rPr>
            <sz val="9"/>
            <color indexed="81"/>
            <rFont val="Tahoma"/>
            <family val="2"/>
          </rPr>
          <t>Solver found a solution. All constraints and optimality conditions are satisfied.</t>
        </r>
      </text>
    </comment>
    <comment ref="E6" authorId="0" shapeId="0" xr:uid="{00000000-0006-0000-0700-00000B000000}">
      <text>
        <r>
          <rPr>
            <sz val="9"/>
            <color indexed="81"/>
            <rFont val="Tahoma"/>
            <family val="2"/>
          </rPr>
          <t>Solver found a solution. All constraints and optimality conditions are satisfied.</t>
        </r>
      </text>
    </comment>
    <comment ref="F6" authorId="0" shapeId="0" xr:uid="{00000000-0006-0000-0700-00000C000000}">
      <text>
        <r>
          <rPr>
            <sz val="9"/>
            <color indexed="81"/>
            <rFont val="Tahoma"/>
            <family val="2"/>
          </rPr>
          <t>Solver found a solution. All constraints and optimality conditions are satisfied.</t>
        </r>
      </text>
    </comment>
    <comment ref="G6" authorId="0" shapeId="0" xr:uid="{00000000-0006-0000-0700-00000D000000}">
      <text>
        <r>
          <rPr>
            <sz val="9"/>
            <color indexed="81"/>
            <rFont val="Tahoma"/>
            <family val="2"/>
          </rPr>
          <t>Solver found a solution. All constraints and optimality conditions are satisfied.</t>
        </r>
      </text>
    </comment>
    <comment ref="H6" authorId="0" shapeId="0" xr:uid="{00000000-0006-0000-0700-00000E000000}">
      <text>
        <r>
          <rPr>
            <sz val="9"/>
            <color indexed="81"/>
            <rFont val="Tahoma"/>
            <family val="2"/>
          </rPr>
          <t>Solver found a solution. All constraints and optimality conditions are satisfied.</t>
        </r>
      </text>
    </comment>
    <comment ref="B7" authorId="0" shapeId="0" xr:uid="{00000000-0006-0000-0700-00000F000000}">
      <text>
        <r>
          <rPr>
            <sz val="9"/>
            <color indexed="81"/>
            <rFont val="Tahoma"/>
            <family val="2"/>
          </rPr>
          <t>Solver found a solution. All constraints and optimality conditions are satisfied.</t>
        </r>
      </text>
    </comment>
    <comment ref="C7" authorId="0" shapeId="0" xr:uid="{00000000-0006-0000-0700-000010000000}">
      <text>
        <r>
          <rPr>
            <sz val="9"/>
            <color indexed="81"/>
            <rFont val="Tahoma"/>
            <family val="2"/>
          </rPr>
          <t>Solver found a solution. All constraints and optimality conditions are satisfied.</t>
        </r>
      </text>
    </comment>
    <comment ref="D7" authorId="0" shapeId="0" xr:uid="{00000000-0006-0000-0700-000011000000}">
      <text>
        <r>
          <rPr>
            <sz val="9"/>
            <color indexed="81"/>
            <rFont val="Tahoma"/>
            <family val="2"/>
          </rPr>
          <t>Solver found a solution. All constraints and optimality conditions are satisfied.</t>
        </r>
      </text>
    </comment>
    <comment ref="E7" authorId="0" shapeId="0" xr:uid="{00000000-0006-0000-0700-000012000000}">
      <text>
        <r>
          <rPr>
            <sz val="9"/>
            <color indexed="81"/>
            <rFont val="Tahoma"/>
            <family val="2"/>
          </rPr>
          <t>Solver found a solution. All constraints and optimality conditions are satisfied.</t>
        </r>
      </text>
    </comment>
    <comment ref="F7" authorId="0" shapeId="0" xr:uid="{00000000-0006-0000-0700-000013000000}">
      <text>
        <r>
          <rPr>
            <sz val="9"/>
            <color indexed="81"/>
            <rFont val="Tahoma"/>
            <family val="2"/>
          </rPr>
          <t>Solver found a solution. All constraints and optimality conditions are satisfied.</t>
        </r>
      </text>
    </comment>
    <comment ref="G7" authorId="0" shapeId="0" xr:uid="{00000000-0006-0000-0700-000014000000}">
      <text>
        <r>
          <rPr>
            <sz val="9"/>
            <color indexed="81"/>
            <rFont val="Tahoma"/>
            <family val="2"/>
          </rPr>
          <t>Solver found a solution. All constraints and optimality conditions are satisfied.</t>
        </r>
      </text>
    </comment>
    <comment ref="H7" authorId="0" shapeId="0" xr:uid="{00000000-0006-0000-0700-000015000000}">
      <text>
        <r>
          <rPr>
            <sz val="9"/>
            <color indexed="81"/>
            <rFont val="Tahoma"/>
            <family val="2"/>
          </rPr>
          <t>Solver found a solution. All constraints and optimality conditions are satisfied.</t>
        </r>
      </text>
    </comment>
    <comment ref="B8" authorId="0" shapeId="0" xr:uid="{00000000-0006-0000-0700-000016000000}">
      <text>
        <r>
          <rPr>
            <sz val="9"/>
            <color indexed="81"/>
            <rFont val="Tahoma"/>
            <family val="2"/>
          </rPr>
          <t>Solver found a solution. All constraints and optimality conditions are satisfied.</t>
        </r>
      </text>
    </comment>
    <comment ref="C8" authorId="0" shapeId="0" xr:uid="{00000000-0006-0000-0700-000017000000}">
      <text>
        <r>
          <rPr>
            <sz val="9"/>
            <color indexed="81"/>
            <rFont val="Tahoma"/>
            <family val="2"/>
          </rPr>
          <t>Solver found a solution. All constraints and optimality conditions are satisfied.</t>
        </r>
      </text>
    </comment>
    <comment ref="D8" authorId="0" shapeId="0" xr:uid="{00000000-0006-0000-0700-000018000000}">
      <text>
        <r>
          <rPr>
            <sz val="9"/>
            <color indexed="81"/>
            <rFont val="Tahoma"/>
            <family val="2"/>
          </rPr>
          <t>Solver found a solution. All constraints and optimality conditions are satisfied.</t>
        </r>
      </text>
    </comment>
    <comment ref="E8" authorId="0" shapeId="0" xr:uid="{00000000-0006-0000-0700-000019000000}">
      <text>
        <r>
          <rPr>
            <sz val="9"/>
            <color indexed="81"/>
            <rFont val="Tahoma"/>
            <family val="2"/>
          </rPr>
          <t>Solver found a solution. All constraints and optimality conditions are satisfied.</t>
        </r>
      </text>
    </comment>
    <comment ref="F8" authorId="0" shapeId="0" xr:uid="{00000000-0006-0000-0700-00001A000000}">
      <text>
        <r>
          <rPr>
            <sz val="9"/>
            <color indexed="81"/>
            <rFont val="Tahoma"/>
            <family val="2"/>
          </rPr>
          <t>Solver found a solution. All constraints and optimality conditions are satisfied.</t>
        </r>
      </text>
    </comment>
    <comment ref="G8" authorId="0" shapeId="0" xr:uid="{00000000-0006-0000-0700-00001B000000}">
      <text>
        <r>
          <rPr>
            <sz val="9"/>
            <color indexed="81"/>
            <rFont val="Tahoma"/>
            <family val="2"/>
          </rPr>
          <t>Solver found a solution. All constraints and optimality conditions are satisfied.</t>
        </r>
      </text>
    </comment>
    <comment ref="H8" authorId="0" shapeId="0" xr:uid="{00000000-0006-0000-0700-00001C000000}">
      <text>
        <r>
          <rPr>
            <sz val="9"/>
            <color indexed="81"/>
            <rFont val="Tahoma"/>
            <family val="2"/>
          </rPr>
          <t>Solver found a solution. All constraints and optimality conditions are satisfied.</t>
        </r>
      </text>
    </comment>
    <comment ref="B9" authorId="0" shapeId="0" xr:uid="{00000000-0006-0000-0700-00001D000000}">
      <text>
        <r>
          <rPr>
            <sz val="9"/>
            <color indexed="81"/>
            <rFont val="Tahoma"/>
            <family val="2"/>
          </rPr>
          <t>Solver found a solution. All constraints and optimality conditions are satisfied.</t>
        </r>
      </text>
    </comment>
    <comment ref="C9" authorId="0" shapeId="0" xr:uid="{00000000-0006-0000-0700-00001E000000}">
      <text>
        <r>
          <rPr>
            <sz val="9"/>
            <color indexed="81"/>
            <rFont val="Tahoma"/>
            <family val="2"/>
          </rPr>
          <t>Solver found a solution. All constraints and optimality conditions are satisfied.</t>
        </r>
      </text>
    </comment>
    <comment ref="D9" authorId="0" shapeId="0" xr:uid="{00000000-0006-0000-0700-00001F000000}">
      <text>
        <r>
          <rPr>
            <sz val="9"/>
            <color indexed="81"/>
            <rFont val="Tahoma"/>
            <family val="2"/>
          </rPr>
          <t>Solver found a solution. All constraints and optimality conditions are satisfied.</t>
        </r>
      </text>
    </comment>
    <comment ref="E9" authorId="0" shapeId="0" xr:uid="{00000000-0006-0000-0700-000020000000}">
      <text>
        <r>
          <rPr>
            <sz val="9"/>
            <color indexed="81"/>
            <rFont val="Tahoma"/>
            <family val="2"/>
          </rPr>
          <t>Solver found a solution. All constraints and optimality conditions are satisfied.</t>
        </r>
      </text>
    </comment>
    <comment ref="F9" authorId="0" shapeId="0" xr:uid="{00000000-0006-0000-0700-000021000000}">
      <text>
        <r>
          <rPr>
            <sz val="9"/>
            <color indexed="81"/>
            <rFont val="Tahoma"/>
            <family val="2"/>
          </rPr>
          <t>Solver found a solution. All constraints and optimality conditions are satisfied.</t>
        </r>
      </text>
    </comment>
    <comment ref="G9" authorId="0" shapeId="0" xr:uid="{00000000-0006-0000-0700-000022000000}">
      <text>
        <r>
          <rPr>
            <sz val="9"/>
            <color indexed="81"/>
            <rFont val="Tahoma"/>
            <family val="2"/>
          </rPr>
          <t>Solver found a solution. All constraints and optimality conditions are satisfied.</t>
        </r>
      </text>
    </comment>
    <comment ref="H9" authorId="0" shapeId="0" xr:uid="{00000000-0006-0000-0700-000023000000}">
      <text>
        <r>
          <rPr>
            <sz val="9"/>
            <color indexed="81"/>
            <rFont val="Tahoma"/>
            <family val="2"/>
          </rPr>
          <t>Solver found a solution. All constraints and optimality conditions are satisfied.</t>
        </r>
      </text>
    </comment>
    <comment ref="B10" authorId="0" shapeId="0" xr:uid="{00000000-0006-0000-0700-000024000000}">
      <text>
        <r>
          <rPr>
            <sz val="9"/>
            <color indexed="81"/>
            <rFont val="Tahoma"/>
            <family val="2"/>
          </rPr>
          <t>Solver found a solution. All constraints and optimality conditions are satisfied.</t>
        </r>
      </text>
    </comment>
    <comment ref="C10" authorId="0" shapeId="0" xr:uid="{00000000-0006-0000-0700-000025000000}">
      <text>
        <r>
          <rPr>
            <sz val="9"/>
            <color indexed="81"/>
            <rFont val="Tahoma"/>
            <family val="2"/>
          </rPr>
          <t>Solver found a solution. All constraints and optimality conditions are satisfied.</t>
        </r>
      </text>
    </comment>
    <comment ref="D10" authorId="0" shapeId="0" xr:uid="{00000000-0006-0000-0700-000026000000}">
      <text>
        <r>
          <rPr>
            <sz val="9"/>
            <color indexed="81"/>
            <rFont val="Tahoma"/>
            <family val="2"/>
          </rPr>
          <t>Solver found a solution. All constraints and optimality conditions are satisfied.</t>
        </r>
      </text>
    </comment>
    <comment ref="E10" authorId="0" shapeId="0" xr:uid="{00000000-0006-0000-0700-000027000000}">
      <text>
        <r>
          <rPr>
            <sz val="9"/>
            <color indexed="81"/>
            <rFont val="Tahoma"/>
            <family val="2"/>
          </rPr>
          <t>Solver found a solution. All constraints and optimality conditions are satisfied.</t>
        </r>
      </text>
    </comment>
    <comment ref="F10" authorId="0" shapeId="0" xr:uid="{00000000-0006-0000-0700-000028000000}">
      <text>
        <r>
          <rPr>
            <sz val="9"/>
            <color indexed="81"/>
            <rFont val="Tahoma"/>
            <family val="2"/>
          </rPr>
          <t>Solver found a solution. All constraints and optimality conditions are satisfied.</t>
        </r>
      </text>
    </comment>
    <comment ref="G10" authorId="0" shapeId="0" xr:uid="{00000000-0006-0000-0700-000029000000}">
      <text>
        <r>
          <rPr>
            <sz val="9"/>
            <color indexed="81"/>
            <rFont val="Tahoma"/>
            <family val="2"/>
          </rPr>
          <t>Solver found a solution. All constraints and optimality conditions are satisfied.</t>
        </r>
      </text>
    </comment>
    <comment ref="H10" authorId="0" shapeId="0" xr:uid="{00000000-0006-0000-0700-00002A000000}">
      <text>
        <r>
          <rPr>
            <sz val="9"/>
            <color indexed="81"/>
            <rFont val="Tahoma"/>
            <family val="2"/>
          </rPr>
          <t>Solver found a solution. All constraints and optimality conditions are satisfied.</t>
        </r>
      </text>
    </comment>
    <comment ref="B11" authorId="0" shapeId="0" xr:uid="{00000000-0006-0000-0700-00002B000000}">
      <text>
        <r>
          <rPr>
            <sz val="9"/>
            <color indexed="81"/>
            <rFont val="Tahoma"/>
            <family val="2"/>
          </rPr>
          <t>Solver found a solution. All constraints and optimality conditions are satisfied.</t>
        </r>
      </text>
    </comment>
    <comment ref="C11" authorId="0" shapeId="0" xr:uid="{00000000-0006-0000-0700-00002C000000}">
      <text>
        <r>
          <rPr>
            <sz val="9"/>
            <color indexed="81"/>
            <rFont val="Tahoma"/>
            <family val="2"/>
          </rPr>
          <t>Solver found a solution. All constraints and optimality conditions are satisfied.</t>
        </r>
      </text>
    </comment>
    <comment ref="D11" authorId="0" shapeId="0" xr:uid="{00000000-0006-0000-0700-00002D000000}">
      <text>
        <r>
          <rPr>
            <sz val="9"/>
            <color indexed="81"/>
            <rFont val="Tahoma"/>
            <family val="2"/>
          </rPr>
          <t>Solver found a solution. All constraints and optimality conditions are satisfied.</t>
        </r>
      </text>
    </comment>
    <comment ref="E11" authorId="0" shapeId="0" xr:uid="{00000000-0006-0000-0700-00002E000000}">
      <text>
        <r>
          <rPr>
            <sz val="9"/>
            <color indexed="81"/>
            <rFont val="Tahoma"/>
            <family val="2"/>
          </rPr>
          <t>Solver found a solution. All constraints and optimality conditions are satisfied.</t>
        </r>
      </text>
    </comment>
    <comment ref="F11" authorId="0" shapeId="0" xr:uid="{00000000-0006-0000-0700-00002F000000}">
      <text>
        <r>
          <rPr>
            <sz val="9"/>
            <color indexed="81"/>
            <rFont val="Tahoma"/>
            <family val="2"/>
          </rPr>
          <t>Solver found a solution. All constraints and optimality conditions are satisfied.</t>
        </r>
      </text>
    </comment>
    <comment ref="G11" authorId="0" shapeId="0" xr:uid="{00000000-0006-0000-0700-000030000000}">
      <text>
        <r>
          <rPr>
            <sz val="9"/>
            <color indexed="81"/>
            <rFont val="Tahoma"/>
            <family val="2"/>
          </rPr>
          <t>Solver found a solution. All constraints and optimality conditions are satisfied.</t>
        </r>
      </text>
    </comment>
    <comment ref="H11" authorId="0" shapeId="0" xr:uid="{00000000-0006-0000-0700-000031000000}">
      <text>
        <r>
          <rPr>
            <sz val="9"/>
            <color indexed="81"/>
            <rFont val="Tahoma"/>
            <family val="2"/>
          </rPr>
          <t>Solver found a solution. All constraints and optimality conditions are satisfied.</t>
        </r>
      </text>
    </comment>
    <comment ref="B12" authorId="0" shapeId="0" xr:uid="{00000000-0006-0000-0700-000032000000}">
      <text>
        <r>
          <rPr>
            <sz val="9"/>
            <color indexed="81"/>
            <rFont val="Tahoma"/>
            <family val="2"/>
          </rPr>
          <t>Solver found a solution. All constraints and optimality conditions are satisfied.</t>
        </r>
      </text>
    </comment>
    <comment ref="C12" authorId="0" shapeId="0" xr:uid="{00000000-0006-0000-0700-000033000000}">
      <text>
        <r>
          <rPr>
            <sz val="9"/>
            <color indexed="81"/>
            <rFont val="Tahoma"/>
            <family val="2"/>
          </rPr>
          <t>Solver found a solution. All constraints and optimality conditions are satisfied.</t>
        </r>
      </text>
    </comment>
    <comment ref="D12" authorId="0" shapeId="0" xr:uid="{00000000-0006-0000-0700-000034000000}">
      <text>
        <r>
          <rPr>
            <sz val="9"/>
            <color indexed="81"/>
            <rFont val="Tahoma"/>
            <family val="2"/>
          </rPr>
          <t>Solver found a solution. All constraints and optimality conditions are satisfied.</t>
        </r>
      </text>
    </comment>
    <comment ref="E12" authorId="0" shapeId="0" xr:uid="{00000000-0006-0000-0700-000035000000}">
      <text>
        <r>
          <rPr>
            <sz val="9"/>
            <color indexed="81"/>
            <rFont val="Tahoma"/>
            <family val="2"/>
          </rPr>
          <t>Solver found a solution. All constraints and optimality conditions are satisfied.</t>
        </r>
      </text>
    </comment>
    <comment ref="F12" authorId="0" shapeId="0" xr:uid="{00000000-0006-0000-0700-000036000000}">
      <text>
        <r>
          <rPr>
            <sz val="9"/>
            <color indexed="81"/>
            <rFont val="Tahoma"/>
            <family val="2"/>
          </rPr>
          <t>Solver found a solution. All constraints and optimality conditions are satisfied.</t>
        </r>
      </text>
    </comment>
    <comment ref="G12" authorId="0" shapeId="0" xr:uid="{00000000-0006-0000-0700-000037000000}">
      <text>
        <r>
          <rPr>
            <sz val="9"/>
            <color indexed="81"/>
            <rFont val="Tahoma"/>
            <family val="2"/>
          </rPr>
          <t>Solver found a solution. All constraints and optimality conditions are satisfied.</t>
        </r>
      </text>
    </comment>
    <comment ref="H12" authorId="0" shapeId="0" xr:uid="{00000000-0006-0000-0700-000038000000}">
      <text>
        <r>
          <rPr>
            <sz val="9"/>
            <color indexed="81"/>
            <rFont val="Tahoma"/>
            <family val="2"/>
          </rPr>
          <t>Solver found a solution. All constraints and optimality conditions are satisfied.</t>
        </r>
      </text>
    </comment>
    <comment ref="B13" authorId="0" shapeId="0" xr:uid="{00000000-0006-0000-0700-000039000000}">
      <text>
        <r>
          <rPr>
            <sz val="9"/>
            <color indexed="81"/>
            <rFont val="Tahoma"/>
            <family val="2"/>
          </rPr>
          <t>Solver found a solution. All constraints and optimality conditions are satisfied.</t>
        </r>
      </text>
    </comment>
    <comment ref="C13" authorId="0" shapeId="0" xr:uid="{00000000-0006-0000-0700-00003A000000}">
      <text>
        <r>
          <rPr>
            <sz val="9"/>
            <color indexed="81"/>
            <rFont val="Tahoma"/>
            <family val="2"/>
          </rPr>
          <t>Solver found a solution. All constraints and optimality conditions are satisfied.</t>
        </r>
      </text>
    </comment>
    <comment ref="D13" authorId="0" shapeId="0" xr:uid="{00000000-0006-0000-0700-00003B000000}">
      <text>
        <r>
          <rPr>
            <sz val="9"/>
            <color indexed="81"/>
            <rFont val="Tahoma"/>
            <family val="2"/>
          </rPr>
          <t>Solver found a solution. All constraints and optimality conditions are satisfied.</t>
        </r>
      </text>
    </comment>
    <comment ref="E13" authorId="0" shapeId="0" xr:uid="{00000000-0006-0000-0700-00003C000000}">
      <text>
        <r>
          <rPr>
            <sz val="9"/>
            <color indexed="81"/>
            <rFont val="Tahoma"/>
            <family val="2"/>
          </rPr>
          <t>Solver found a solution. All constraints and optimality conditions are satisfied.</t>
        </r>
      </text>
    </comment>
    <comment ref="F13" authorId="0" shapeId="0" xr:uid="{00000000-0006-0000-0700-00003D000000}">
      <text>
        <r>
          <rPr>
            <sz val="9"/>
            <color indexed="81"/>
            <rFont val="Tahoma"/>
            <family val="2"/>
          </rPr>
          <t>Solver found a solution. All constraints and optimality conditions are satisfied.</t>
        </r>
      </text>
    </comment>
    <comment ref="G13" authorId="0" shapeId="0" xr:uid="{00000000-0006-0000-0700-00003E000000}">
      <text>
        <r>
          <rPr>
            <sz val="9"/>
            <color indexed="81"/>
            <rFont val="Tahoma"/>
            <family val="2"/>
          </rPr>
          <t>Solver found a solution. All constraints and optimality conditions are satisfied.</t>
        </r>
      </text>
    </comment>
    <comment ref="H13" authorId="0" shapeId="0" xr:uid="{00000000-0006-0000-0700-00003F000000}">
      <text>
        <r>
          <rPr>
            <sz val="9"/>
            <color indexed="81"/>
            <rFont val="Tahoma"/>
            <family val="2"/>
          </rPr>
          <t>Solver found a solution. All constraints and optimality conditions are satisfied.</t>
        </r>
      </text>
    </comment>
    <comment ref="B16" authorId="0" shapeId="0" xr:uid="{00000000-0006-0000-0700-000040000000}">
      <text>
        <r>
          <rPr>
            <sz val="9"/>
            <color indexed="81"/>
            <rFont val="Tahoma"/>
            <family val="2"/>
          </rPr>
          <t>Solver found a solution. All constraints and optimality conditions are satisfied.</t>
        </r>
      </text>
    </comment>
    <comment ref="C16" authorId="0" shapeId="0" xr:uid="{00000000-0006-0000-0700-000041000000}">
      <text>
        <r>
          <rPr>
            <sz val="9"/>
            <color indexed="81"/>
            <rFont val="Tahoma"/>
            <family val="2"/>
          </rPr>
          <t>Solver found a solution. All constraints and optimality conditions are satisfied.</t>
        </r>
      </text>
    </comment>
    <comment ref="D16" authorId="0" shapeId="0" xr:uid="{00000000-0006-0000-0700-000042000000}">
      <text>
        <r>
          <rPr>
            <sz val="9"/>
            <color indexed="81"/>
            <rFont val="Tahoma"/>
            <family val="2"/>
          </rPr>
          <t>Solver found a solution. All constraints and optimality conditions are satisfied.</t>
        </r>
      </text>
    </comment>
    <comment ref="E16" authorId="0" shapeId="0" xr:uid="{00000000-0006-0000-0700-000043000000}">
      <text>
        <r>
          <rPr>
            <sz val="9"/>
            <color indexed="81"/>
            <rFont val="Tahoma"/>
            <family val="2"/>
          </rPr>
          <t>Solver found a solution. All constraints and optimality conditions are satisfied.</t>
        </r>
      </text>
    </comment>
    <comment ref="F16" authorId="0" shapeId="0" xr:uid="{00000000-0006-0000-0700-000044000000}">
      <text>
        <r>
          <rPr>
            <sz val="9"/>
            <color indexed="81"/>
            <rFont val="Tahoma"/>
            <family val="2"/>
          </rPr>
          <t>Solver found a solution. All constraints and optimality conditions are satisfied.</t>
        </r>
      </text>
    </comment>
    <comment ref="G16" authorId="0" shapeId="0" xr:uid="{00000000-0006-0000-0700-000045000000}">
      <text>
        <r>
          <rPr>
            <sz val="9"/>
            <color indexed="81"/>
            <rFont val="Tahoma"/>
            <family val="2"/>
          </rPr>
          <t>Solver found a solution. All constraints and optimality conditions are satisfied.</t>
        </r>
      </text>
    </comment>
    <comment ref="H16" authorId="0" shapeId="0" xr:uid="{00000000-0006-0000-0700-000046000000}">
      <text>
        <r>
          <rPr>
            <sz val="9"/>
            <color indexed="81"/>
            <rFont val="Tahoma"/>
            <family val="2"/>
          </rPr>
          <t>Solver found a solution. All constraints and optimality conditions are satisfied.</t>
        </r>
      </text>
    </comment>
    <comment ref="B17" authorId="0" shapeId="0" xr:uid="{00000000-0006-0000-0700-000047000000}">
      <text>
        <r>
          <rPr>
            <sz val="9"/>
            <color indexed="81"/>
            <rFont val="Tahoma"/>
            <family val="2"/>
          </rPr>
          <t>Solver found a solution. All constraints and optimality conditions are satisfied.</t>
        </r>
      </text>
    </comment>
    <comment ref="C17" authorId="0" shapeId="0" xr:uid="{00000000-0006-0000-0700-000048000000}">
      <text>
        <r>
          <rPr>
            <sz val="9"/>
            <color indexed="81"/>
            <rFont val="Tahoma"/>
            <family val="2"/>
          </rPr>
          <t>Solver found a solution. All constraints and optimality conditions are satisfied.</t>
        </r>
      </text>
    </comment>
    <comment ref="D17" authorId="0" shapeId="0" xr:uid="{00000000-0006-0000-0700-000049000000}">
      <text>
        <r>
          <rPr>
            <sz val="9"/>
            <color indexed="81"/>
            <rFont val="Tahoma"/>
            <family val="2"/>
          </rPr>
          <t>Solver found a solution. All constraints and optimality conditions are satisfied.</t>
        </r>
      </text>
    </comment>
    <comment ref="E17" authorId="0" shapeId="0" xr:uid="{00000000-0006-0000-0700-00004A000000}">
      <text>
        <r>
          <rPr>
            <sz val="9"/>
            <color indexed="81"/>
            <rFont val="Tahoma"/>
            <family val="2"/>
          </rPr>
          <t>Solver found a solution. All constraints and optimality conditions are satisfied.</t>
        </r>
      </text>
    </comment>
    <comment ref="F17" authorId="0" shapeId="0" xr:uid="{00000000-0006-0000-0700-00004B000000}">
      <text>
        <r>
          <rPr>
            <sz val="9"/>
            <color indexed="81"/>
            <rFont val="Tahoma"/>
            <family val="2"/>
          </rPr>
          <t>Solver found a solution. All constraints and optimality conditions are satisfied.</t>
        </r>
      </text>
    </comment>
    <comment ref="G17" authorId="0" shapeId="0" xr:uid="{00000000-0006-0000-0700-00004C000000}">
      <text>
        <r>
          <rPr>
            <sz val="9"/>
            <color indexed="81"/>
            <rFont val="Tahoma"/>
            <family val="2"/>
          </rPr>
          <t>Solver found a solution. All constraints and optimality conditions are satisfied.</t>
        </r>
      </text>
    </comment>
    <comment ref="H17" authorId="0" shapeId="0" xr:uid="{00000000-0006-0000-0700-00004D000000}">
      <text>
        <r>
          <rPr>
            <sz val="9"/>
            <color indexed="81"/>
            <rFont val="Tahoma"/>
            <family val="2"/>
          </rPr>
          <t>Solver found a solution. All constraints and optimality conditions are satisfied.</t>
        </r>
      </text>
    </comment>
    <comment ref="B18" authorId="0" shapeId="0" xr:uid="{00000000-0006-0000-0700-00004E000000}">
      <text>
        <r>
          <rPr>
            <sz val="9"/>
            <color indexed="81"/>
            <rFont val="Tahoma"/>
            <family val="2"/>
          </rPr>
          <t>Solver found a solution. All constraints and optimality conditions are satisfied.</t>
        </r>
      </text>
    </comment>
    <comment ref="C18" authorId="0" shapeId="0" xr:uid="{00000000-0006-0000-0700-00004F000000}">
      <text>
        <r>
          <rPr>
            <sz val="9"/>
            <color indexed="81"/>
            <rFont val="Tahoma"/>
            <family val="2"/>
          </rPr>
          <t>Solver found a solution. All constraints and optimality conditions are satisfied.</t>
        </r>
      </text>
    </comment>
    <comment ref="D18" authorId="0" shapeId="0" xr:uid="{00000000-0006-0000-0700-000050000000}">
      <text>
        <r>
          <rPr>
            <sz val="9"/>
            <color indexed="81"/>
            <rFont val="Tahoma"/>
            <family val="2"/>
          </rPr>
          <t>Solver found a solution. All constraints and optimality conditions are satisfied.</t>
        </r>
      </text>
    </comment>
    <comment ref="E18" authorId="0" shapeId="0" xr:uid="{00000000-0006-0000-0700-000051000000}">
      <text>
        <r>
          <rPr>
            <sz val="9"/>
            <color indexed="81"/>
            <rFont val="Tahoma"/>
            <family val="2"/>
          </rPr>
          <t>Solver found a solution. All constraints and optimality conditions are satisfied.</t>
        </r>
      </text>
    </comment>
    <comment ref="F18" authorId="0" shapeId="0" xr:uid="{00000000-0006-0000-0700-000052000000}">
      <text>
        <r>
          <rPr>
            <sz val="9"/>
            <color indexed="81"/>
            <rFont val="Tahoma"/>
            <family val="2"/>
          </rPr>
          <t>Solver found a solution. All constraints and optimality conditions are satisfied.</t>
        </r>
      </text>
    </comment>
    <comment ref="G18" authorId="0" shapeId="0" xr:uid="{00000000-0006-0000-0700-000053000000}">
      <text>
        <r>
          <rPr>
            <sz val="9"/>
            <color indexed="81"/>
            <rFont val="Tahoma"/>
            <family val="2"/>
          </rPr>
          <t>Solver found a solution. All constraints and optimality conditions are satisfied.</t>
        </r>
      </text>
    </comment>
    <comment ref="H18" authorId="0" shapeId="0" xr:uid="{00000000-0006-0000-0700-000054000000}">
      <text>
        <r>
          <rPr>
            <sz val="9"/>
            <color indexed="81"/>
            <rFont val="Tahoma"/>
            <family val="2"/>
          </rPr>
          <t>Solver found a solution. All constraints and optimality conditions are satisfied.</t>
        </r>
      </text>
    </comment>
    <comment ref="B19" authorId="0" shapeId="0" xr:uid="{00000000-0006-0000-0700-000055000000}">
      <text>
        <r>
          <rPr>
            <sz val="9"/>
            <color indexed="81"/>
            <rFont val="Tahoma"/>
            <family val="2"/>
          </rPr>
          <t>Solver found a solution. All constraints and optimality conditions are satisfied.</t>
        </r>
      </text>
    </comment>
    <comment ref="C19" authorId="0" shapeId="0" xr:uid="{00000000-0006-0000-0700-000056000000}">
      <text>
        <r>
          <rPr>
            <sz val="9"/>
            <color indexed="81"/>
            <rFont val="Tahoma"/>
            <family val="2"/>
          </rPr>
          <t>Solver found a solution. All constraints and optimality conditions are satisfied.</t>
        </r>
      </text>
    </comment>
    <comment ref="D19" authorId="0" shapeId="0" xr:uid="{00000000-0006-0000-0700-000057000000}">
      <text>
        <r>
          <rPr>
            <sz val="9"/>
            <color indexed="81"/>
            <rFont val="Tahoma"/>
            <family val="2"/>
          </rPr>
          <t>Solver found a solution. All constraints and optimality conditions are satisfied.</t>
        </r>
      </text>
    </comment>
    <comment ref="E19" authorId="0" shapeId="0" xr:uid="{00000000-0006-0000-0700-000058000000}">
      <text>
        <r>
          <rPr>
            <sz val="9"/>
            <color indexed="81"/>
            <rFont val="Tahoma"/>
            <family val="2"/>
          </rPr>
          <t>Solver found a solution. All constraints and optimality conditions are satisfied.</t>
        </r>
      </text>
    </comment>
    <comment ref="F19" authorId="0" shapeId="0" xr:uid="{00000000-0006-0000-0700-000059000000}">
      <text>
        <r>
          <rPr>
            <sz val="9"/>
            <color indexed="81"/>
            <rFont val="Tahoma"/>
            <family val="2"/>
          </rPr>
          <t>Solver found a solution. All constraints and optimality conditions are satisfied.</t>
        </r>
      </text>
    </comment>
    <comment ref="G19" authorId="0" shapeId="0" xr:uid="{00000000-0006-0000-0700-00005A000000}">
      <text>
        <r>
          <rPr>
            <sz val="9"/>
            <color indexed="81"/>
            <rFont val="Tahoma"/>
            <family val="2"/>
          </rPr>
          <t>Solver found a solution. All constraints and optimality conditions are satisfied.</t>
        </r>
      </text>
    </comment>
    <comment ref="H19" authorId="0" shapeId="0" xr:uid="{00000000-0006-0000-0700-00005B000000}">
      <text>
        <r>
          <rPr>
            <sz val="9"/>
            <color indexed="81"/>
            <rFont val="Tahoma"/>
            <family val="2"/>
          </rPr>
          <t>Solver found a solution. All constraints and optimality conditions are satisfied.</t>
        </r>
      </text>
    </comment>
    <comment ref="B20" authorId="0" shapeId="0" xr:uid="{00000000-0006-0000-0700-00005C000000}">
      <text>
        <r>
          <rPr>
            <sz val="9"/>
            <color indexed="81"/>
            <rFont val="Tahoma"/>
            <family val="2"/>
          </rPr>
          <t>Solver found a solution. All constraints and optimality conditions are satisfied.</t>
        </r>
      </text>
    </comment>
    <comment ref="C20" authorId="0" shapeId="0" xr:uid="{00000000-0006-0000-0700-00005D000000}">
      <text>
        <r>
          <rPr>
            <sz val="9"/>
            <color indexed="81"/>
            <rFont val="Tahoma"/>
            <family val="2"/>
          </rPr>
          <t>Solver found a solution. All constraints and optimality conditions are satisfied.</t>
        </r>
      </text>
    </comment>
    <comment ref="D20" authorId="0" shapeId="0" xr:uid="{00000000-0006-0000-0700-00005E000000}">
      <text>
        <r>
          <rPr>
            <sz val="9"/>
            <color indexed="81"/>
            <rFont val="Tahoma"/>
            <family val="2"/>
          </rPr>
          <t>Solver found a solution. All constraints and optimality conditions are satisfied.</t>
        </r>
      </text>
    </comment>
    <comment ref="E20" authorId="0" shapeId="0" xr:uid="{00000000-0006-0000-0700-00005F000000}">
      <text>
        <r>
          <rPr>
            <sz val="9"/>
            <color indexed="81"/>
            <rFont val="Tahoma"/>
            <family val="2"/>
          </rPr>
          <t>Solver found a solution. All constraints and optimality conditions are satisfied.</t>
        </r>
      </text>
    </comment>
    <comment ref="F20" authorId="0" shapeId="0" xr:uid="{00000000-0006-0000-0700-000060000000}">
      <text>
        <r>
          <rPr>
            <sz val="9"/>
            <color indexed="81"/>
            <rFont val="Tahoma"/>
            <family val="2"/>
          </rPr>
          <t>Solver found a solution. All constraints and optimality conditions are satisfied.</t>
        </r>
      </text>
    </comment>
    <comment ref="G20" authorId="0" shapeId="0" xr:uid="{00000000-0006-0000-0700-000061000000}">
      <text>
        <r>
          <rPr>
            <sz val="9"/>
            <color indexed="81"/>
            <rFont val="Tahoma"/>
            <family val="2"/>
          </rPr>
          <t>Solver found a solution. All constraints and optimality conditions are satisfied.</t>
        </r>
      </text>
    </comment>
    <comment ref="H20" authorId="0" shapeId="0" xr:uid="{00000000-0006-0000-0700-000062000000}">
      <text>
        <r>
          <rPr>
            <sz val="9"/>
            <color indexed="81"/>
            <rFont val="Tahoma"/>
            <family val="2"/>
          </rPr>
          <t>Solver found a solution. All constraints and optimality conditions are satisfied.</t>
        </r>
      </text>
    </comment>
    <comment ref="B21" authorId="0" shapeId="0" xr:uid="{00000000-0006-0000-0700-000063000000}">
      <text>
        <r>
          <rPr>
            <sz val="9"/>
            <color indexed="81"/>
            <rFont val="Tahoma"/>
            <family val="2"/>
          </rPr>
          <t>Solver found a solution. All constraints and optimality conditions are satisfied.</t>
        </r>
      </text>
    </comment>
    <comment ref="C21" authorId="0" shapeId="0" xr:uid="{00000000-0006-0000-0700-000064000000}">
      <text>
        <r>
          <rPr>
            <sz val="9"/>
            <color indexed="81"/>
            <rFont val="Tahoma"/>
            <family val="2"/>
          </rPr>
          <t>Solver found a solution. All constraints and optimality conditions are satisfied.</t>
        </r>
      </text>
    </comment>
    <comment ref="D21" authorId="0" shapeId="0" xr:uid="{00000000-0006-0000-0700-000065000000}">
      <text>
        <r>
          <rPr>
            <sz val="9"/>
            <color indexed="81"/>
            <rFont val="Tahoma"/>
            <family val="2"/>
          </rPr>
          <t>Solver found a solution. All constraints and optimality conditions are satisfied.</t>
        </r>
      </text>
    </comment>
    <comment ref="E21" authorId="0" shapeId="0" xr:uid="{00000000-0006-0000-0700-000066000000}">
      <text>
        <r>
          <rPr>
            <sz val="9"/>
            <color indexed="81"/>
            <rFont val="Tahoma"/>
            <family val="2"/>
          </rPr>
          <t>Solver found a solution. All constraints and optimality conditions are satisfied.</t>
        </r>
      </text>
    </comment>
    <comment ref="F21" authorId="0" shapeId="0" xr:uid="{00000000-0006-0000-0700-000067000000}">
      <text>
        <r>
          <rPr>
            <sz val="9"/>
            <color indexed="81"/>
            <rFont val="Tahoma"/>
            <family val="2"/>
          </rPr>
          <t>Solver found a solution. All constraints and optimality conditions are satisfied.</t>
        </r>
      </text>
    </comment>
    <comment ref="G21" authorId="0" shapeId="0" xr:uid="{00000000-0006-0000-0700-000068000000}">
      <text>
        <r>
          <rPr>
            <sz val="9"/>
            <color indexed="81"/>
            <rFont val="Tahoma"/>
            <family val="2"/>
          </rPr>
          <t>Solver found a solution. All constraints and optimality conditions are satisfied.</t>
        </r>
      </text>
    </comment>
    <comment ref="H21" authorId="0" shapeId="0" xr:uid="{00000000-0006-0000-0700-000069000000}">
      <text>
        <r>
          <rPr>
            <sz val="9"/>
            <color indexed="81"/>
            <rFont val="Tahoma"/>
            <family val="2"/>
          </rPr>
          <t>Solver found a solution. All constraints and optimality conditions are satisfied.</t>
        </r>
      </text>
    </comment>
    <comment ref="B22" authorId="0" shapeId="0" xr:uid="{00000000-0006-0000-0700-00006A000000}">
      <text>
        <r>
          <rPr>
            <sz val="9"/>
            <color indexed="81"/>
            <rFont val="Tahoma"/>
            <family val="2"/>
          </rPr>
          <t>Solver found a solution. All constraints and optimality conditions are satisfied.</t>
        </r>
      </text>
    </comment>
    <comment ref="C22" authorId="0" shapeId="0" xr:uid="{00000000-0006-0000-0700-00006B000000}">
      <text>
        <r>
          <rPr>
            <sz val="9"/>
            <color indexed="81"/>
            <rFont val="Tahoma"/>
            <family val="2"/>
          </rPr>
          <t>Solver found a solution. All constraints and optimality conditions are satisfied.</t>
        </r>
      </text>
    </comment>
    <comment ref="D22" authorId="0" shapeId="0" xr:uid="{00000000-0006-0000-0700-00006C000000}">
      <text>
        <r>
          <rPr>
            <sz val="9"/>
            <color indexed="81"/>
            <rFont val="Tahoma"/>
            <family val="2"/>
          </rPr>
          <t>Solver found a solution. All constraints and optimality conditions are satisfied.</t>
        </r>
      </text>
    </comment>
    <comment ref="E22" authorId="0" shapeId="0" xr:uid="{00000000-0006-0000-0700-00006D000000}">
      <text>
        <r>
          <rPr>
            <sz val="9"/>
            <color indexed="81"/>
            <rFont val="Tahoma"/>
            <family val="2"/>
          </rPr>
          <t>Solver found a solution. All constraints and optimality conditions are satisfied.</t>
        </r>
      </text>
    </comment>
    <comment ref="F22" authorId="0" shapeId="0" xr:uid="{00000000-0006-0000-0700-00006E000000}">
      <text>
        <r>
          <rPr>
            <sz val="9"/>
            <color rgb="FF000000"/>
            <rFont val="Tahoma"/>
            <family val="2"/>
          </rPr>
          <t>Solver found a solution. All constraints and optimality conditions are satisfied.</t>
        </r>
      </text>
    </comment>
    <comment ref="G22" authorId="0" shapeId="0" xr:uid="{00000000-0006-0000-0700-00006F000000}">
      <text>
        <r>
          <rPr>
            <sz val="9"/>
            <color indexed="81"/>
            <rFont val="Tahoma"/>
            <family val="2"/>
          </rPr>
          <t>Solver found a solution. All constraints and optimality conditions are satisfied.</t>
        </r>
      </text>
    </comment>
    <comment ref="H22" authorId="0" shapeId="0" xr:uid="{00000000-0006-0000-0700-000070000000}">
      <text>
        <r>
          <rPr>
            <sz val="9"/>
            <color indexed="81"/>
            <rFont val="Tahoma"/>
            <family val="2"/>
          </rPr>
          <t>Solver found a solution. All constraints and optimality conditions are satisfied.</t>
        </r>
      </text>
    </comment>
    <comment ref="B23" authorId="0" shapeId="0" xr:uid="{00000000-0006-0000-0700-000071000000}">
      <text>
        <r>
          <rPr>
            <sz val="9"/>
            <color indexed="81"/>
            <rFont val="Tahoma"/>
            <family val="2"/>
          </rPr>
          <t>Solver found a solution. All constraints and optimality conditions are satisfied.</t>
        </r>
      </text>
    </comment>
    <comment ref="C23" authorId="0" shapeId="0" xr:uid="{00000000-0006-0000-0700-000072000000}">
      <text>
        <r>
          <rPr>
            <sz val="9"/>
            <color indexed="81"/>
            <rFont val="Tahoma"/>
            <family val="2"/>
          </rPr>
          <t>Solver found a solution. All constraints and optimality conditions are satisfied.</t>
        </r>
      </text>
    </comment>
    <comment ref="D23" authorId="0" shapeId="0" xr:uid="{00000000-0006-0000-0700-000073000000}">
      <text>
        <r>
          <rPr>
            <sz val="9"/>
            <color indexed="81"/>
            <rFont val="Tahoma"/>
            <family val="2"/>
          </rPr>
          <t>Solver found a solution. All constraints and optimality conditions are satisfied.</t>
        </r>
      </text>
    </comment>
    <comment ref="E23" authorId="0" shapeId="0" xr:uid="{00000000-0006-0000-0700-000074000000}">
      <text>
        <r>
          <rPr>
            <sz val="9"/>
            <color indexed="81"/>
            <rFont val="Tahoma"/>
            <family val="2"/>
          </rPr>
          <t>Solver found a solution. All constraints and optimality conditions are satisfied.</t>
        </r>
      </text>
    </comment>
    <comment ref="F23" authorId="0" shapeId="0" xr:uid="{00000000-0006-0000-0700-000075000000}">
      <text>
        <r>
          <rPr>
            <sz val="9"/>
            <color indexed="81"/>
            <rFont val="Tahoma"/>
            <family val="2"/>
          </rPr>
          <t>Solver found a solution. All constraints and optimality conditions are satisfied.</t>
        </r>
      </text>
    </comment>
    <comment ref="G23" authorId="0" shapeId="0" xr:uid="{00000000-0006-0000-0700-000076000000}">
      <text>
        <r>
          <rPr>
            <sz val="9"/>
            <color indexed="81"/>
            <rFont val="Tahoma"/>
            <family val="2"/>
          </rPr>
          <t>Solver found a solution. All constraints and optimality conditions are satisfied.</t>
        </r>
      </text>
    </comment>
    <comment ref="H23" authorId="0" shapeId="0" xr:uid="{00000000-0006-0000-0700-000077000000}">
      <text>
        <r>
          <rPr>
            <sz val="9"/>
            <color indexed="81"/>
            <rFont val="Tahoma"/>
            <family val="2"/>
          </rPr>
          <t>Solver found a solution. All constraints and optimality conditions are satisfied.</t>
        </r>
      </text>
    </comment>
    <comment ref="B24" authorId="0" shapeId="0" xr:uid="{00000000-0006-0000-0700-000078000000}">
      <text>
        <r>
          <rPr>
            <sz val="9"/>
            <color indexed="81"/>
            <rFont val="Tahoma"/>
            <family val="2"/>
          </rPr>
          <t>Solver found a solution. All constraints and optimality conditions are satisfied.</t>
        </r>
      </text>
    </comment>
    <comment ref="C24" authorId="0" shapeId="0" xr:uid="{00000000-0006-0000-0700-000079000000}">
      <text>
        <r>
          <rPr>
            <sz val="9"/>
            <color indexed="81"/>
            <rFont val="Tahoma"/>
            <family val="2"/>
          </rPr>
          <t>Solver found a solution. All constraints and optimality conditions are satisfied.</t>
        </r>
      </text>
    </comment>
    <comment ref="D24" authorId="0" shapeId="0" xr:uid="{00000000-0006-0000-0700-00007A000000}">
      <text>
        <r>
          <rPr>
            <sz val="9"/>
            <color indexed="81"/>
            <rFont val="Tahoma"/>
            <family val="2"/>
          </rPr>
          <t>Solver found a solution. All constraints and optimality conditions are satisfied.</t>
        </r>
      </text>
    </comment>
    <comment ref="E24" authorId="0" shapeId="0" xr:uid="{00000000-0006-0000-0700-00007B000000}">
      <text>
        <r>
          <rPr>
            <sz val="9"/>
            <color indexed="81"/>
            <rFont val="Tahoma"/>
            <family val="2"/>
          </rPr>
          <t>Solver found a solution. All constraints and optimality conditions are satisfied.</t>
        </r>
      </text>
    </comment>
    <comment ref="F24" authorId="0" shapeId="0" xr:uid="{00000000-0006-0000-0700-00007C000000}">
      <text>
        <r>
          <rPr>
            <sz val="9"/>
            <color indexed="81"/>
            <rFont val="Tahoma"/>
            <family val="2"/>
          </rPr>
          <t>Solver found a solution. All constraints and optimality conditions are satisfied.</t>
        </r>
      </text>
    </comment>
    <comment ref="G24" authorId="0" shapeId="0" xr:uid="{00000000-0006-0000-0700-00007D000000}">
      <text>
        <r>
          <rPr>
            <sz val="9"/>
            <color indexed="81"/>
            <rFont val="Tahoma"/>
            <family val="2"/>
          </rPr>
          <t>Solver found a solution. All constraints and optimality conditions are satisfied.</t>
        </r>
      </text>
    </comment>
    <comment ref="H24" authorId="0" shapeId="0" xr:uid="{00000000-0006-0000-0700-00007E000000}">
      <text>
        <r>
          <rPr>
            <sz val="9"/>
            <color indexed="81"/>
            <rFont val="Tahoma"/>
            <family val="2"/>
          </rPr>
          <t>Solver found a solution. All constraints and optimality conditions are satisfied.</t>
        </r>
      </text>
    </comment>
    <comment ref="B27" authorId="0" shapeId="0" xr:uid="{00000000-0006-0000-0700-00007F000000}">
      <text>
        <r>
          <rPr>
            <sz val="9"/>
            <color indexed="81"/>
            <rFont val="Tahoma"/>
            <family val="2"/>
          </rPr>
          <t>Solver found a solution. All constraints and optimality conditions are satisfied.</t>
        </r>
      </text>
    </comment>
    <comment ref="C27" authorId="0" shapeId="0" xr:uid="{00000000-0006-0000-0700-000080000000}">
      <text>
        <r>
          <rPr>
            <sz val="9"/>
            <color indexed="81"/>
            <rFont val="Tahoma"/>
            <family val="2"/>
          </rPr>
          <t>Solver found a solution. All constraints and optimality conditions are satisfied.</t>
        </r>
      </text>
    </comment>
    <comment ref="D27" authorId="0" shapeId="0" xr:uid="{00000000-0006-0000-0700-000081000000}">
      <text>
        <r>
          <rPr>
            <sz val="9"/>
            <color indexed="81"/>
            <rFont val="Tahoma"/>
            <family val="2"/>
          </rPr>
          <t>Solver found a solution. All constraints and optimality conditions are satisfied.</t>
        </r>
      </text>
    </comment>
    <comment ref="E27" authorId="0" shapeId="0" xr:uid="{00000000-0006-0000-0700-000082000000}">
      <text>
        <r>
          <rPr>
            <sz val="9"/>
            <color indexed="81"/>
            <rFont val="Tahoma"/>
            <family val="2"/>
          </rPr>
          <t>Solver found a solution. All constraints and optimality conditions are satisfied.</t>
        </r>
      </text>
    </comment>
    <comment ref="F27" authorId="0" shapeId="0" xr:uid="{00000000-0006-0000-0700-000083000000}">
      <text>
        <r>
          <rPr>
            <sz val="9"/>
            <color indexed="81"/>
            <rFont val="Tahoma"/>
            <family val="2"/>
          </rPr>
          <t>Solver found a solution. All constraints and optimality conditions are satisfied.</t>
        </r>
      </text>
    </comment>
    <comment ref="G27" authorId="0" shapeId="0" xr:uid="{00000000-0006-0000-0700-000084000000}">
      <text>
        <r>
          <rPr>
            <sz val="9"/>
            <color indexed="81"/>
            <rFont val="Tahoma"/>
            <family val="2"/>
          </rPr>
          <t>Solver found a solution. All constraints and optimality conditions are satisfied.</t>
        </r>
      </text>
    </comment>
    <comment ref="H27" authorId="0" shapeId="0" xr:uid="{00000000-0006-0000-0700-000085000000}">
      <text>
        <r>
          <rPr>
            <sz val="9"/>
            <color indexed="81"/>
            <rFont val="Tahoma"/>
            <family val="2"/>
          </rPr>
          <t>Solver found a solution. All constraints and optimality conditions are satisfied.</t>
        </r>
      </text>
    </comment>
    <comment ref="B28" authorId="0" shapeId="0" xr:uid="{00000000-0006-0000-0700-000086000000}">
      <text>
        <r>
          <rPr>
            <sz val="9"/>
            <color indexed="81"/>
            <rFont val="Tahoma"/>
            <family val="2"/>
          </rPr>
          <t>Solver found a solution. All constraints and optimality conditions are satisfied.</t>
        </r>
      </text>
    </comment>
    <comment ref="C28" authorId="0" shapeId="0" xr:uid="{00000000-0006-0000-0700-000087000000}">
      <text>
        <r>
          <rPr>
            <sz val="9"/>
            <color indexed="81"/>
            <rFont val="Tahoma"/>
            <family val="2"/>
          </rPr>
          <t>Solver found a solution. All constraints and optimality conditions are satisfied.</t>
        </r>
      </text>
    </comment>
    <comment ref="D28" authorId="0" shapeId="0" xr:uid="{00000000-0006-0000-0700-000088000000}">
      <text>
        <r>
          <rPr>
            <sz val="9"/>
            <color indexed="81"/>
            <rFont val="Tahoma"/>
            <family val="2"/>
          </rPr>
          <t>Solver found a solution. All constraints and optimality conditions are satisfied.</t>
        </r>
      </text>
    </comment>
    <comment ref="E28" authorId="0" shapeId="0" xr:uid="{00000000-0006-0000-0700-000089000000}">
      <text>
        <r>
          <rPr>
            <sz val="9"/>
            <color indexed="81"/>
            <rFont val="Tahoma"/>
            <family val="2"/>
          </rPr>
          <t>Solver found a solution. All constraints and optimality conditions are satisfied.</t>
        </r>
      </text>
    </comment>
    <comment ref="F28" authorId="0" shapeId="0" xr:uid="{00000000-0006-0000-0700-00008A000000}">
      <text>
        <r>
          <rPr>
            <sz val="9"/>
            <color indexed="81"/>
            <rFont val="Tahoma"/>
            <family val="2"/>
          </rPr>
          <t>Solver found a solution. All constraints and optimality conditions are satisfied.</t>
        </r>
      </text>
    </comment>
    <comment ref="G28" authorId="0" shapeId="0" xr:uid="{00000000-0006-0000-0700-00008B000000}">
      <text>
        <r>
          <rPr>
            <sz val="9"/>
            <color indexed="81"/>
            <rFont val="Tahoma"/>
            <family val="2"/>
          </rPr>
          <t>Solver found a solution. All constraints and optimality conditions are satisfied.</t>
        </r>
      </text>
    </comment>
    <comment ref="H28" authorId="0" shapeId="0" xr:uid="{00000000-0006-0000-0700-00008C000000}">
      <text>
        <r>
          <rPr>
            <sz val="9"/>
            <color indexed="81"/>
            <rFont val="Tahoma"/>
            <family val="2"/>
          </rPr>
          <t>Solver found a solution. All constraints and optimality conditions are satisfied.</t>
        </r>
      </text>
    </comment>
    <comment ref="B29" authorId="0" shapeId="0" xr:uid="{00000000-0006-0000-0700-00008D000000}">
      <text>
        <r>
          <rPr>
            <sz val="9"/>
            <color indexed="81"/>
            <rFont val="Tahoma"/>
            <family val="2"/>
          </rPr>
          <t>Solver found a solution. All constraints and optimality conditions are satisfied.</t>
        </r>
      </text>
    </comment>
    <comment ref="C29" authorId="0" shapeId="0" xr:uid="{00000000-0006-0000-0700-00008E000000}">
      <text>
        <r>
          <rPr>
            <sz val="9"/>
            <color indexed="81"/>
            <rFont val="Tahoma"/>
            <family val="2"/>
          </rPr>
          <t>Solver found a solution. All constraints and optimality conditions are satisfied.</t>
        </r>
      </text>
    </comment>
    <comment ref="D29" authorId="0" shapeId="0" xr:uid="{00000000-0006-0000-0700-00008F000000}">
      <text>
        <r>
          <rPr>
            <sz val="9"/>
            <color indexed="81"/>
            <rFont val="Tahoma"/>
            <family val="2"/>
          </rPr>
          <t>Solver found a solution. All constraints and optimality conditions are satisfied.</t>
        </r>
      </text>
    </comment>
    <comment ref="E29" authorId="0" shapeId="0" xr:uid="{00000000-0006-0000-0700-000090000000}">
      <text>
        <r>
          <rPr>
            <sz val="9"/>
            <color indexed="81"/>
            <rFont val="Tahoma"/>
            <family val="2"/>
          </rPr>
          <t>Solver found a solution. All constraints and optimality conditions are satisfied.</t>
        </r>
      </text>
    </comment>
    <comment ref="F29" authorId="0" shapeId="0" xr:uid="{00000000-0006-0000-0700-000091000000}">
      <text>
        <r>
          <rPr>
            <sz val="9"/>
            <color indexed="81"/>
            <rFont val="Tahoma"/>
            <family val="2"/>
          </rPr>
          <t>Solver found a solution. All constraints and optimality conditions are satisfied.</t>
        </r>
      </text>
    </comment>
    <comment ref="G29" authorId="0" shapeId="0" xr:uid="{00000000-0006-0000-0700-000092000000}">
      <text>
        <r>
          <rPr>
            <sz val="9"/>
            <color indexed="81"/>
            <rFont val="Tahoma"/>
            <family val="2"/>
          </rPr>
          <t>Solver found a solution. All constraints and optimality conditions are satisfied.</t>
        </r>
      </text>
    </comment>
    <comment ref="H29" authorId="0" shapeId="0" xr:uid="{00000000-0006-0000-0700-000093000000}">
      <text>
        <r>
          <rPr>
            <sz val="9"/>
            <color indexed="81"/>
            <rFont val="Tahoma"/>
            <family val="2"/>
          </rPr>
          <t>Solver found a solution. All constraints and optimality conditions are satisfied.</t>
        </r>
      </text>
    </comment>
    <comment ref="B30" authorId="0" shapeId="0" xr:uid="{00000000-0006-0000-0700-000094000000}">
      <text>
        <r>
          <rPr>
            <sz val="9"/>
            <color indexed="81"/>
            <rFont val="Tahoma"/>
            <family val="2"/>
          </rPr>
          <t>Solver found a solution. All constraints and optimality conditions are satisfied.</t>
        </r>
      </text>
    </comment>
    <comment ref="C30" authorId="0" shapeId="0" xr:uid="{00000000-0006-0000-0700-000095000000}">
      <text>
        <r>
          <rPr>
            <sz val="9"/>
            <color indexed="81"/>
            <rFont val="Tahoma"/>
            <family val="2"/>
          </rPr>
          <t>Solver found a solution. All constraints and optimality conditions are satisfied.</t>
        </r>
      </text>
    </comment>
    <comment ref="D30" authorId="0" shapeId="0" xr:uid="{00000000-0006-0000-0700-000096000000}">
      <text>
        <r>
          <rPr>
            <sz val="9"/>
            <color indexed="81"/>
            <rFont val="Tahoma"/>
            <family val="2"/>
          </rPr>
          <t>Solver found a solution. All constraints and optimality conditions are satisfied.</t>
        </r>
      </text>
    </comment>
    <comment ref="E30" authorId="0" shapeId="0" xr:uid="{00000000-0006-0000-0700-000097000000}">
      <text>
        <r>
          <rPr>
            <sz val="9"/>
            <color indexed="81"/>
            <rFont val="Tahoma"/>
            <family val="2"/>
          </rPr>
          <t>Solver found a solution. All constraints and optimality conditions are satisfied.</t>
        </r>
      </text>
    </comment>
    <comment ref="F30" authorId="0" shapeId="0" xr:uid="{00000000-0006-0000-0700-000098000000}">
      <text>
        <r>
          <rPr>
            <sz val="9"/>
            <color indexed="81"/>
            <rFont val="Tahoma"/>
            <family val="2"/>
          </rPr>
          <t>Solver found a solution. All constraints and optimality conditions are satisfied.</t>
        </r>
      </text>
    </comment>
    <comment ref="G30" authorId="0" shapeId="0" xr:uid="{00000000-0006-0000-0700-000099000000}">
      <text>
        <r>
          <rPr>
            <sz val="9"/>
            <color indexed="81"/>
            <rFont val="Tahoma"/>
            <family val="2"/>
          </rPr>
          <t>Solver found a solution. All constraints and optimality conditions are satisfied.</t>
        </r>
      </text>
    </comment>
    <comment ref="H30" authorId="0" shapeId="0" xr:uid="{00000000-0006-0000-0700-00009A000000}">
      <text>
        <r>
          <rPr>
            <sz val="9"/>
            <color indexed="81"/>
            <rFont val="Tahoma"/>
            <family val="2"/>
          </rPr>
          <t>Solver found a solution. All constraints and optimality conditions are satisfied.</t>
        </r>
      </text>
    </comment>
    <comment ref="B31" authorId="0" shapeId="0" xr:uid="{00000000-0006-0000-0700-00009B000000}">
      <text>
        <r>
          <rPr>
            <sz val="9"/>
            <color indexed="81"/>
            <rFont val="Tahoma"/>
            <family val="2"/>
          </rPr>
          <t>Solver found a solution. All constraints and optimality conditions are satisfied.</t>
        </r>
      </text>
    </comment>
    <comment ref="C31" authorId="0" shapeId="0" xr:uid="{00000000-0006-0000-0700-00009C000000}">
      <text>
        <r>
          <rPr>
            <sz val="9"/>
            <color indexed="81"/>
            <rFont val="Tahoma"/>
            <family val="2"/>
          </rPr>
          <t>Solver found a solution. All constraints and optimality conditions are satisfied.</t>
        </r>
      </text>
    </comment>
    <comment ref="D31" authorId="0" shapeId="0" xr:uid="{00000000-0006-0000-0700-00009D000000}">
      <text>
        <r>
          <rPr>
            <sz val="9"/>
            <color indexed="81"/>
            <rFont val="Tahoma"/>
            <family val="2"/>
          </rPr>
          <t>Solver found a solution. All constraints and optimality conditions are satisfied.</t>
        </r>
      </text>
    </comment>
    <comment ref="E31" authorId="0" shapeId="0" xr:uid="{00000000-0006-0000-0700-00009E000000}">
      <text>
        <r>
          <rPr>
            <sz val="9"/>
            <color indexed="81"/>
            <rFont val="Tahoma"/>
            <family val="2"/>
          </rPr>
          <t>Solver found a solution. All constraints and optimality conditions are satisfied.</t>
        </r>
      </text>
    </comment>
    <comment ref="F31" authorId="0" shapeId="0" xr:uid="{00000000-0006-0000-0700-00009F000000}">
      <text>
        <r>
          <rPr>
            <sz val="9"/>
            <color indexed="81"/>
            <rFont val="Tahoma"/>
            <family val="2"/>
          </rPr>
          <t>Solver found a solution. All constraints and optimality conditions are satisfied.</t>
        </r>
      </text>
    </comment>
    <comment ref="G31" authorId="0" shapeId="0" xr:uid="{00000000-0006-0000-0700-0000A0000000}">
      <text>
        <r>
          <rPr>
            <sz val="9"/>
            <color indexed="81"/>
            <rFont val="Tahoma"/>
            <family val="2"/>
          </rPr>
          <t>Solver found a solution. All constraints and optimality conditions are satisfied.</t>
        </r>
      </text>
    </comment>
    <comment ref="H31" authorId="0" shapeId="0" xr:uid="{00000000-0006-0000-0700-0000A1000000}">
      <text>
        <r>
          <rPr>
            <sz val="9"/>
            <color indexed="81"/>
            <rFont val="Tahoma"/>
            <family val="2"/>
          </rPr>
          <t>Solver found a solution. All constraints and optimality conditions are satisfied.</t>
        </r>
      </text>
    </comment>
    <comment ref="B32" authorId="0" shapeId="0" xr:uid="{00000000-0006-0000-0700-0000A2000000}">
      <text>
        <r>
          <rPr>
            <sz val="9"/>
            <color indexed="81"/>
            <rFont val="Tahoma"/>
            <family val="2"/>
          </rPr>
          <t>Solver found a solution. All constraints and optimality conditions are satisfied.</t>
        </r>
      </text>
    </comment>
    <comment ref="C32" authorId="0" shapeId="0" xr:uid="{00000000-0006-0000-0700-0000A3000000}">
      <text>
        <r>
          <rPr>
            <sz val="9"/>
            <color indexed="81"/>
            <rFont val="Tahoma"/>
            <family val="2"/>
          </rPr>
          <t>Solver found a solution. All constraints and optimality conditions are satisfied.</t>
        </r>
      </text>
    </comment>
    <comment ref="D32" authorId="0" shapeId="0" xr:uid="{00000000-0006-0000-0700-0000A4000000}">
      <text>
        <r>
          <rPr>
            <sz val="9"/>
            <color indexed="81"/>
            <rFont val="Tahoma"/>
            <family val="2"/>
          </rPr>
          <t>Solver found a solution. All constraints and optimality conditions are satisfied.</t>
        </r>
      </text>
    </comment>
    <comment ref="E32" authorId="0" shapeId="0" xr:uid="{00000000-0006-0000-0700-0000A5000000}">
      <text>
        <r>
          <rPr>
            <sz val="9"/>
            <color indexed="81"/>
            <rFont val="Tahoma"/>
            <family val="2"/>
          </rPr>
          <t>Solver found a solution. All constraints and optimality conditions are satisfied.</t>
        </r>
      </text>
    </comment>
    <comment ref="F32" authorId="0" shapeId="0" xr:uid="{00000000-0006-0000-0700-0000A6000000}">
      <text>
        <r>
          <rPr>
            <sz val="9"/>
            <color indexed="81"/>
            <rFont val="Tahoma"/>
            <family val="2"/>
          </rPr>
          <t>Solver found a solution. All constraints and optimality conditions are satisfied.</t>
        </r>
      </text>
    </comment>
    <comment ref="G32" authorId="0" shapeId="0" xr:uid="{00000000-0006-0000-0700-0000A7000000}">
      <text>
        <r>
          <rPr>
            <sz val="9"/>
            <color indexed="81"/>
            <rFont val="Tahoma"/>
            <family val="2"/>
          </rPr>
          <t>Solver found a solution. All constraints and optimality conditions are satisfied.</t>
        </r>
      </text>
    </comment>
    <comment ref="H32" authorId="0" shapeId="0" xr:uid="{00000000-0006-0000-0700-0000A8000000}">
      <text>
        <r>
          <rPr>
            <sz val="9"/>
            <color indexed="81"/>
            <rFont val="Tahoma"/>
            <family val="2"/>
          </rPr>
          <t>Solver found a solution. All constraints and optimality conditions are satisfied.</t>
        </r>
      </text>
    </comment>
    <comment ref="B33" authorId="0" shapeId="0" xr:uid="{00000000-0006-0000-0700-0000A9000000}">
      <text>
        <r>
          <rPr>
            <sz val="9"/>
            <color indexed="81"/>
            <rFont val="Tahoma"/>
            <family val="2"/>
          </rPr>
          <t>Solver found a solution. All constraints and optimality conditions are satisfied.</t>
        </r>
      </text>
    </comment>
    <comment ref="C33" authorId="0" shapeId="0" xr:uid="{00000000-0006-0000-0700-0000AA000000}">
      <text>
        <r>
          <rPr>
            <sz val="9"/>
            <color indexed="81"/>
            <rFont val="Tahoma"/>
            <family val="2"/>
          </rPr>
          <t>Solver found a solution. All constraints and optimality conditions are satisfied.</t>
        </r>
      </text>
    </comment>
    <comment ref="D33" authorId="0" shapeId="0" xr:uid="{00000000-0006-0000-0700-0000AB000000}">
      <text>
        <r>
          <rPr>
            <sz val="9"/>
            <color indexed="81"/>
            <rFont val="Tahoma"/>
            <family val="2"/>
          </rPr>
          <t>Solver found a solution. All constraints and optimality conditions are satisfied.</t>
        </r>
      </text>
    </comment>
    <comment ref="E33" authorId="0" shapeId="0" xr:uid="{00000000-0006-0000-0700-0000AC000000}">
      <text>
        <r>
          <rPr>
            <sz val="9"/>
            <color indexed="81"/>
            <rFont val="Tahoma"/>
            <family val="2"/>
          </rPr>
          <t>Solver found a solution. All constraints and optimality conditions are satisfied.</t>
        </r>
      </text>
    </comment>
    <comment ref="F33" authorId="0" shapeId="0" xr:uid="{00000000-0006-0000-0700-0000AD000000}">
      <text>
        <r>
          <rPr>
            <sz val="9"/>
            <color indexed="81"/>
            <rFont val="Tahoma"/>
            <family val="2"/>
          </rPr>
          <t>Solver found a solution. All constraints and optimality conditions are satisfied.</t>
        </r>
      </text>
    </comment>
    <comment ref="G33" authorId="0" shapeId="0" xr:uid="{00000000-0006-0000-0700-0000AE000000}">
      <text>
        <r>
          <rPr>
            <sz val="9"/>
            <color indexed="81"/>
            <rFont val="Tahoma"/>
            <family val="2"/>
          </rPr>
          <t>Solver found a solution. All constraints and optimality conditions are satisfied.</t>
        </r>
      </text>
    </comment>
    <comment ref="H33" authorId="0" shapeId="0" xr:uid="{00000000-0006-0000-0700-0000AF000000}">
      <text>
        <r>
          <rPr>
            <sz val="9"/>
            <color indexed="81"/>
            <rFont val="Tahoma"/>
            <family val="2"/>
          </rPr>
          <t>Solver found a solution. All constraints and optimality conditions are satisfied.</t>
        </r>
      </text>
    </comment>
    <comment ref="B34" authorId="0" shapeId="0" xr:uid="{00000000-0006-0000-0700-0000B0000000}">
      <text>
        <r>
          <rPr>
            <sz val="9"/>
            <color indexed="81"/>
            <rFont val="Tahoma"/>
            <family val="2"/>
          </rPr>
          <t>Solver found a solution. All constraints and optimality conditions are satisfied.</t>
        </r>
      </text>
    </comment>
    <comment ref="C34" authorId="0" shapeId="0" xr:uid="{00000000-0006-0000-0700-0000B1000000}">
      <text>
        <r>
          <rPr>
            <sz val="9"/>
            <color indexed="81"/>
            <rFont val="Tahoma"/>
            <family val="2"/>
          </rPr>
          <t>Solver found a solution. All constraints and optimality conditions are satisfied.</t>
        </r>
      </text>
    </comment>
    <comment ref="D34" authorId="0" shapeId="0" xr:uid="{00000000-0006-0000-0700-0000B2000000}">
      <text>
        <r>
          <rPr>
            <sz val="9"/>
            <color indexed="81"/>
            <rFont val="Tahoma"/>
            <family val="2"/>
          </rPr>
          <t>Solver found a solution. All constraints and optimality conditions are satisfied.</t>
        </r>
      </text>
    </comment>
    <comment ref="E34" authorId="0" shapeId="0" xr:uid="{00000000-0006-0000-0700-0000B3000000}">
      <text>
        <r>
          <rPr>
            <sz val="9"/>
            <color indexed="81"/>
            <rFont val="Tahoma"/>
            <family val="2"/>
          </rPr>
          <t>Solver found a solution. All constraints and optimality conditions are satisfied.</t>
        </r>
      </text>
    </comment>
    <comment ref="F34" authorId="0" shapeId="0" xr:uid="{00000000-0006-0000-0700-0000B4000000}">
      <text>
        <r>
          <rPr>
            <sz val="9"/>
            <color indexed="81"/>
            <rFont val="Tahoma"/>
            <family val="2"/>
          </rPr>
          <t>Solver found a solution. All constraints and optimality conditions are satisfied.</t>
        </r>
      </text>
    </comment>
    <comment ref="G34" authorId="0" shapeId="0" xr:uid="{00000000-0006-0000-0700-0000B5000000}">
      <text>
        <r>
          <rPr>
            <sz val="9"/>
            <color indexed="81"/>
            <rFont val="Tahoma"/>
            <family val="2"/>
          </rPr>
          <t>Solver found a solution. All constraints and optimality conditions are satisfied.</t>
        </r>
      </text>
    </comment>
    <comment ref="H34" authorId="0" shapeId="0" xr:uid="{00000000-0006-0000-0700-0000B6000000}">
      <text>
        <r>
          <rPr>
            <sz val="9"/>
            <color indexed="81"/>
            <rFont val="Tahoma"/>
            <family val="2"/>
          </rPr>
          <t>Solver found a solution. All constraints and optimality conditions are satisfied.</t>
        </r>
      </text>
    </comment>
    <comment ref="B35" authorId="0" shapeId="0" xr:uid="{00000000-0006-0000-0700-0000B7000000}">
      <text>
        <r>
          <rPr>
            <sz val="9"/>
            <color indexed="81"/>
            <rFont val="Tahoma"/>
            <family val="2"/>
          </rPr>
          <t>Solver found a solution. All constraints and optimality conditions are satisfied.</t>
        </r>
      </text>
    </comment>
    <comment ref="C35" authorId="0" shapeId="0" xr:uid="{00000000-0006-0000-0700-0000B8000000}">
      <text>
        <r>
          <rPr>
            <sz val="9"/>
            <color indexed="81"/>
            <rFont val="Tahoma"/>
            <family val="2"/>
          </rPr>
          <t>Solver found a solution. All constraints and optimality conditions are satisfied.</t>
        </r>
      </text>
    </comment>
    <comment ref="D35" authorId="0" shapeId="0" xr:uid="{00000000-0006-0000-0700-0000B9000000}">
      <text>
        <r>
          <rPr>
            <sz val="9"/>
            <color indexed="81"/>
            <rFont val="Tahoma"/>
            <family val="2"/>
          </rPr>
          <t>Solver found a solution. All constraints and optimality conditions are satisfied.</t>
        </r>
      </text>
    </comment>
    <comment ref="E35" authorId="0" shapeId="0" xr:uid="{00000000-0006-0000-0700-0000BA000000}">
      <text>
        <r>
          <rPr>
            <sz val="9"/>
            <color indexed="81"/>
            <rFont val="Tahoma"/>
            <family val="2"/>
          </rPr>
          <t>Solver found a solution. All constraints and optimality conditions are satisfied.</t>
        </r>
      </text>
    </comment>
    <comment ref="F35" authorId="0" shapeId="0" xr:uid="{00000000-0006-0000-0700-0000BB000000}">
      <text>
        <r>
          <rPr>
            <sz val="9"/>
            <color indexed="81"/>
            <rFont val="Tahoma"/>
            <family val="2"/>
          </rPr>
          <t>Solver found a solution. All constraints and optimality conditions are satisfied.</t>
        </r>
      </text>
    </comment>
    <comment ref="G35" authorId="0" shapeId="0" xr:uid="{00000000-0006-0000-0700-0000BC000000}">
      <text>
        <r>
          <rPr>
            <sz val="9"/>
            <color indexed="81"/>
            <rFont val="Tahoma"/>
            <family val="2"/>
          </rPr>
          <t>Solver found a solution. All constraints and optimality conditions are satisfied.</t>
        </r>
      </text>
    </comment>
    <comment ref="H35" authorId="0" shapeId="0" xr:uid="{00000000-0006-0000-0700-0000BD000000}">
      <text>
        <r>
          <rPr>
            <sz val="9"/>
            <color indexed="81"/>
            <rFont val="Tahoma"/>
            <family val="2"/>
          </rPr>
          <t>Solver found a solution. All constraints and optimality conditions are satisfied.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Chris</author>
  </authors>
  <commentList>
    <comment ref="B5" authorId="0" shapeId="0" xr:uid="{00000000-0006-0000-0800-000001000000}">
      <text>
        <r>
          <rPr>
            <sz val="9"/>
            <color indexed="81"/>
            <rFont val="Tahoma"/>
            <family val="2"/>
          </rPr>
          <t>Solver found a solution. All constraints and optimality conditions are satisfied.</t>
        </r>
      </text>
    </comment>
    <comment ref="B6" authorId="0" shapeId="0" xr:uid="{00000000-0006-0000-0800-000002000000}">
      <text>
        <r>
          <rPr>
            <sz val="9"/>
            <color indexed="81"/>
            <rFont val="Tahoma"/>
            <family val="2"/>
          </rPr>
          <t>Solver found a solution. All constraints and optimality conditions are satisfied.</t>
        </r>
      </text>
    </comment>
    <comment ref="B7" authorId="0" shapeId="0" xr:uid="{00000000-0006-0000-0800-000003000000}">
      <text>
        <r>
          <rPr>
            <sz val="9"/>
            <color indexed="81"/>
            <rFont val="Tahoma"/>
            <family val="2"/>
          </rPr>
          <t>Solver found a solution. All constraints and optimality conditions are satisfied.</t>
        </r>
      </text>
    </comment>
    <comment ref="B8" authorId="0" shapeId="0" xr:uid="{00000000-0006-0000-0800-000004000000}">
      <text>
        <r>
          <rPr>
            <sz val="9"/>
            <color indexed="81"/>
            <rFont val="Tahoma"/>
            <family val="2"/>
          </rPr>
          <t>Solver found a solution. All constraints and optimality conditions are satisfied.</t>
        </r>
      </text>
    </comment>
    <comment ref="B9" authorId="0" shapeId="0" xr:uid="{00000000-0006-0000-0800-000005000000}">
      <text>
        <r>
          <rPr>
            <sz val="9"/>
            <color indexed="81"/>
            <rFont val="Tahoma"/>
            <family val="2"/>
          </rPr>
          <t>Solver found a solution. All constraints and optimality conditions are satisfied.</t>
        </r>
      </text>
    </comment>
    <comment ref="B10" authorId="0" shapeId="0" xr:uid="{00000000-0006-0000-0800-000006000000}">
      <text>
        <r>
          <rPr>
            <sz val="9"/>
            <color indexed="81"/>
            <rFont val="Tahoma"/>
            <family val="2"/>
          </rPr>
          <t>Solver found a solution. All constraints and optimality conditions are satisfied.</t>
        </r>
      </text>
    </comment>
    <comment ref="B11" authorId="0" shapeId="0" xr:uid="{00000000-0006-0000-0800-000007000000}">
      <text>
        <r>
          <rPr>
            <sz val="9"/>
            <color indexed="81"/>
            <rFont val="Tahoma"/>
            <family val="2"/>
          </rPr>
          <t>Solver found a solution. All constraints and optimality conditions are satisfied.</t>
        </r>
      </text>
    </comment>
  </commentList>
</comments>
</file>

<file path=xl/sharedStrings.xml><?xml version="1.0" encoding="utf-8"?>
<sst xmlns="http://schemas.openxmlformats.org/spreadsheetml/2006/main" count="267" uniqueCount="123">
  <si>
    <t>Assembling and testing computers</t>
  </si>
  <si>
    <t>Basic</t>
  </si>
  <si>
    <t>XP</t>
  </si>
  <si>
    <t>Inputs for assembling and testing a computer</t>
  </si>
  <si>
    <t>Labor hours for assembly</t>
  </si>
  <si>
    <t>Labor hours for testing</t>
  </si>
  <si>
    <t>Cost of component parts</t>
  </si>
  <si>
    <t>Selling price</t>
  </si>
  <si>
    <t>Unit margin</t>
  </si>
  <si>
    <t>Assembling, testing plan (# of computers)</t>
  </si>
  <si>
    <t>Total</t>
  </si>
  <si>
    <t>Cost per labor hour assembling</t>
  </si>
  <si>
    <t>Cost per labor hour testing</t>
  </si>
  <si>
    <t>Labor availability for assembling</t>
  </si>
  <si>
    <t>Labor availability for testing</t>
  </si>
  <si>
    <t>&lt;=</t>
  </si>
  <si>
    <t>Constraints (hours per month)</t>
  </si>
  <si>
    <t>Number to produce</t>
  </si>
  <si>
    <t>Maximum sales</t>
  </si>
  <si>
    <t>Net profit ($ this month)</t>
  </si>
  <si>
    <t>Range names used:</t>
  </si>
  <si>
    <t>=Model!$D$21:$D$22</t>
  </si>
  <si>
    <t>=Model!$B$21:$B$22</t>
  </si>
  <si>
    <t>Maximum_sales</t>
  </si>
  <si>
    <t>=Model!$B$18:$C$18</t>
  </si>
  <si>
    <t>Number_to_produce</t>
  </si>
  <si>
    <t>=Model!$B$16:$C$16</t>
  </si>
  <si>
    <t>Total_profit</t>
  </si>
  <si>
    <t>=Model!$D$25</t>
  </si>
  <si>
    <t>Variable Cells</t>
  </si>
  <si>
    <t>Cell</t>
  </si>
  <si>
    <t>Name</t>
  </si>
  <si>
    <t>Final</t>
  </si>
  <si>
    <t>Value</t>
  </si>
  <si>
    <t>Reduced</t>
  </si>
  <si>
    <t>Cost</t>
  </si>
  <si>
    <t>Objective</t>
  </si>
  <si>
    <t>Coefficient</t>
  </si>
  <si>
    <t>Allowable</t>
  </si>
  <si>
    <t>Increase</t>
  </si>
  <si>
    <t>Decrease</t>
  </si>
  <si>
    <t>Constraints</t>
  </si>
  <si>
    <t>Shadow</t>
  </si>
  <si>
    <t>Price</t>
  </si>
  <si>
    <t>Constraint</t>
  </si>
  <si>
    <t>R.H. Side</t>
  </si>
  <si>
    <t>$B$16</t>
  </si>
  <si>
    <t>Number to produce Basic</t>
  </si>
  <si>
    <t>$C$16</t>
  </si>
  <si>
    <t>Number to produce XP</t>
  </si>
  <si>
    <t>$B$21</t>
  </si>
  <si>
    <t>$B$22</t>
  </si>
  <si>
    <t>$C$11</t>
  </si>
  <si>
    <t>$B$16:$C$16,$D$25</t>
  </si>
  <si>
    <t>Selling Price XP</t>
  </si>
  <si>
    <t>Data for chart</t>
  </si>
  <si>
    <t>$D$21</t>
  </si>
  <si>
    <t/>
  </si>
  <si>
    <t>$D$22</t>
  </si>
  <si>
    <t>Assembling hours</t>
  </si>
  <si>
    <t>Testing hours</t>
  </si>
  <si>
    <t>Output and Assembling hours value for chart</t>
  </si>
  <si>
    <t>Output</t>
  </si>
  <si>
    <t>Assembling hours value</t>
  </si>
  <si>
    <t>Output and Testing hours value for chart</t>
  </si>
  <si>
    <t>Testing hours value</t>
  </si>
  <si>
    <t>% change in both</t>
  </si>
  <si>
    <t>$G$18</t>
  </si>
  <si>
    <t>% change in max sales</t>
  </si>
  <si>
    <t>Hours used</t>
  </si>
  <si>
    <t>Hours available</t>
  </si>
  <si>
    <t>Hours_available</t>
  </si>
  <si>
    <t>Hours_used</t>
  </si>
  <si>
    <t>Original values</t>
  </si>
  <si>
    <t>Oneway analysis for Solver model in Model worksheet</t>
  </si>
  <si>
    <t>Selling Price XP (cell $C$11) values along side, output cell(s) along top</t>
  </si>
  <si>
    <t>Number_to_produce_1</t>
  </si>
  <si>
    <t>Number_to_produce_2</t>
  </si>
  <si>
    <t>Twoway analysis for Solver model in Model worksheet</t>
  </si>
  <si>
    <t>Assembling hours (cell $D$21) values along side, Testing hours (cell $D$22) values along top, output cell in corner</t>
  </si>
  <si>
    <t>Oneway analysis for Solver model in Modified Model worksheet</t>
  </si>
  <si>
    <t>% change in max sales (cell $G$18) values along side, output cell(s) along top</t>
  </si>
  <si>
    <t>$B$16:$C$16,$D$25,$B$12</t>
  </si>
  <si>
    <t>$B$12</t>
  </si>
  <si>
    <t>Microsoft Excel 15.0 Sensitivity Report</t>
  </si>
  <si>
    <t>Worksheet: [Product Mix 1 Finished.xlsx]Model</t>
  </si>
  <si>
    <t>Report Created: 12/19/2013 10:51:44 AM</t>
  </si>
  <si>
    <t>Labor availability for assembling Hours used</t>
  </si>
  <si>
    <t>Labor availability for testing Hours used</t>
  </si>
  <si>
    <t>Microsoft Excel 16.55 Answer Report</t>
  </si>
  <si>
    <t>Worksheet: [Module 7 Optimization in Excel.xlsx]Modified Model</t>
  </si>
  <si>
    <t>Report Created: 6/30/22 7:49:17 AM</t>
  </si>
  <si>
    <t>Result: Solver found a solution.  All constraints and optimality conditions are satisfied.</t>
  </si>
  <si>
    <t>Solver Engine</t>
  </si>
  <si>
    <t>Engine: Simplex LP</t>
  </si>
  <si>
    <t>Solution Time: 445.866 Seconds.</t>
  </si>
  <si>
    <t>Iterations: 2 Subproblems: 0</t>
  </si>
  <si>
    <t>Solver Options</t>
  </si>
  <si>
    <t>Max Time 100 sec, Iterations 100, Precision 0.000001</t>
  </si>
  <si>
    <t>Max Subproblems Unlimited, Max Integer Sols Unlimited, Integer Tolerance 5%, Solve Without Integer Constraints, Assume NonNegative</t>
  </si>
  <si>
    <t>Objective Cell (Max)</t>
  </si>
  <si>
    <t>Original Value</t>
  </si>
  <si>
    <t>Final Value</t>
  </si>
  <si>
    <t>Integer</t>
  </si>
  <si>
    <t>Cell Value</t>
  </si>
  <si>
    <t>Formula</t>
  </si>
  <si>
    <t>Status</t>
  </si>
  <si>
    <t>Slack</t>
  </si>
  <si>
    <t>$D$25</t>
  </si>
  <si>
    <t>Contin</t>
  </si>
  <si>
    <t>$B$21&lt;=$D$21</t>
  </si>
  <si>
    <t>Binding</t>
  </si>
  <si>
    <t>$B$22&lt;=$D$22</t>
  </si>
  <si>
    <t>Not Binding</t>
  </si>
  <si>
    <t>$B$16&lt;=$B$18</t>
  </si>
  <si>
    <t>$C$16&lt;=$C$18</t>
  </si>
  <si>
    <t>Microsoft Excel 16.55 Sensitivity Report</t>
  </si>
  <si>
    <t>Microsoft Excel 16.55 Limits Report</t>
  </si>
  <si>
    <t>Variable</t>
  </si>
  <si>
    <t>Lower</t>
  </si>
  <si>
    <t>Limit</t>
  </si>
  <si>
    <t>Result</t>
  </si>
  <si>
    <t>Upper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</si>
</sst>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7" x14ac:knownFonts="1">
    <font>
      <sz val="11"/>
      <color theme="1"/>
      <name val="Calibri"/>
      <family val="2"/>
      <scheme val="minor"/>
    </font>
    <font>
      <b/>
      <sz val="11"/>
      <color theme="1"/>
      <name val="Calibri"/>
      <family val="2"/>
      <scheme val="minor"/>
    </font>
    <font>
      <sz val="11"/>
      <color rgb="FFFFFFFF"/>
      <name val="Calibri"/>
      <family val="2"/>
      <scheme val="minor"/>
    </font>
    <font>
      <sz val="9"/>
      <color indexed="81"/>
      <name val="Tahoma"/>
      <family val="2"/>
    </font>
    <font>
      <b/>
      <sz val="11"/>
      <color indexed="18"/>
      <name val="Calibri"/>
      <family val="2"/>
      <scheme val="minor"/>
    </font>
    <font>
      <b/>
      <sz val="11"/>
      <color indexed="18"/>
      <name val="Calibri"/>
      <family val="2"/>
      <scheme val="minor"/>
    </font>
    <font>
      <sz val="9"/>
      <color rgb="FF000000"/>
      <name val="Tahoma"/>
      <family val="2"/>
    </font>
  </fonts>
  <fills count="7">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6" tint="0.59999389629810485"/>
        <bgColor indexed="64"/>
      </patternFill>
    </fill>
  </fills>
  <borders count="14">
    <border>
      <left/>
      <right/>
      <top/>
      <bottom/>
      <diagonal/>
    </border>
    <border>
      <left/>
      <right/>
      <top style="medium">
        <color indexed="23"/>
      </top>
      <bottom/>
      <diagonal/>
    </border>
    <border>
      <left/>
      <right/>
      <top/>
      <bottom style="medium">
        <color indexed="23"/>
      </bottom>
      <diagonal/>
    </border>
    <border>
      <left/>
      <right/>
      <top style="thin">
        <color indexed="23"/>
      </top>
      <bottom/>
      <diagonal/>
    </border>
    <border>
      <left/>
      <right/>
      <top style="thin">
        <color indexed="23"/>
      </top>
      <bottom style="medium">
        <color indexed="2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medium">
        <color indexed="23"/>
      </top>
      <bottom style="medium">
        <color indexed="23"/>
      </bottom>
      <diagonal/>
    </border>
  </borders>
  <cellStyleXfs count="1">
    <xf numFmtId="0" fontId="0" fillId="0" borderId="0"/>
  </cellStyleXfs>
  <cellXfs count="48">
    <xf numFmtId="0" fontId="0" fillId="0" borderId="0" xfId="0"/>
    <xf numFmtId="0" fontId="1" fillId="0" borderId="0" xfId="0" applyFont="1"/>
    <xf numFmtId="0" fontId="0" fillId="0" borderId="0" xfId="0" applyAlignment="1">
      <alignment horizontal="right"/>
    </xf>
    <xf numFmtId="0" fontId="0" fillId="2" borderId="0" xfId="0" applyFill="1"/>
    <xf numFmtId="0" fontId="0" fillId="3" borderId="0" xfId="0" applyFill="1"/>
    <xf numFmtId="164" fontId="0" fillId="2" borderId="0" xfId="0" applyNumberFormat="1" applyFill="1"/>
    <xf numFmtId="164" fontId="0" fillId="0" borderId="0" xfId="0" applyNumberFormat="1"/>
    <xf numFmtId="164" fontId="0" fillId="4" borderId="0" xfId="0" applyNumberFormat="1" applyFill="1"/>
    <xf numFmtId="0" fontId="0" fillId="0" borderId="0" xfId="0" applyAlignment="1">
      <alignment horizontal="center"/>
    </xf>
    <xf numFmtId="0" fontId="0" fillId="0" borderId="0" xfId="0" applyFill="1" applyAlignment="1">
      <alignment horizontal="right"/>
    </xf>
    <xf numFmtId="0" fontId="0" fillId="0" borderId="0" xfId="0" applyNumberFormat="1"/>
    <xf numFmtId="0" fontId="0" fillId="0" borderId="3" xfId="0" applyFill="1" applyBorder="1" applyAlignment="1"/>
    <xf numFmtId="0" fontId="0" fillId="0" borderId="4" xfId="0" applyFill="1" applyBorder="1" applyAlignment="1"/>
    <xf numFmtId="49" fontId="0" fillId="0" borderId="0" xfId="0" applyNumberFormat="1"/>
    <xf numFmtId="0" fontId="2" fillId="0" borderId="0" xfId="0" applyFont="1"/>
    <xf numFmtId="0" fontId="0" fillId="0" borderId="5" xfId="0" applyNumberFormat="1" applyBorder="1"/>
    <xf numFmtId="0" fontId="0" fillId="0" borderId="6" xfId="0" applyNumberFormat="1" applyBorder="1"/>
    <xf numFmtId="164" fontId="0" fillId="0" borderId="7" xfId="0" applyNumberFormat="1" applyBorder="1"/>
    <xf numFmtId="0" fontId="0" fillId="0" borderId="8" xfId="0" applyNumberFormat="1" applyBorder="1"/>
    <xf numFmtId="0" fontId="0" fillId="0" borderId="0" xfId="0" applyNumberFormat="1" applyBorder="1"/>
    <xf numFmtId="164" fontId="0" fillId="0" borderId="9" xfId="0" applyNumberFormat="1" applyBorder="1"/>
    <xf numFmtId="164" fontId="0" fillId="0" borderId="10" xfId="0" applyNumberFormat="1" applyBorder="1"/>
    <xf numFmtId="0" fontId="0" fillId="0" borderId="0" xfId="0" applyAlignment="1">
      <alignment horizontal="left"/>
    </xf>
    <xf numFmtId="0" fontId="0" fillId="6" borderId="0" xfId="0" applyFill="1"/>
    <xf numFmtId="164" fontId="0" fillId="0" borderId="5" xfId="0" applyNumberFormat="1" applyBorder="1"/>
    <xf numFmtId="164" fontId="0" fillId="0" borderId="8" xfId="0" applyNumberFormat="1" applyBorder="1"/>
    <xf numFmtId="164" fontId="0" fillId="0" borderId="0" xfId="0" applyNumberFormat="1" applyBorder="1"/>
    <xf numFmtId="0" fontId="0" fillId="0" borderId="11" xfId="0" applyNumberFormat="1" applyBorder="1"/>
    <xf numFmtId="164" fontId="0" fillId="0" borderId="11" xfId="0" applyNumberFormat="1" applyBorder="1"/>
    <xf numFmtId="164" fontId="0" fillId="0" borderId="6" xfId="0" applyNumberFormat="1" applyBorder="1"/>
    <xf numFmtId="0" fontId="0" fillId="0" borderId="12" xfId="0" applyNumberFormat="1" applyBorder="1"/>
    <xf numFmtId="164" fontId="0" fillId="0" borderId="12" xfId="0" applyNumberFormat="1" applyBorder="1"/>
    <xf numFmtId="0" fontId="0" fillId="0" borderId="7" xfId="0" applyNumberFormat="1" applyBorder="1"/>
    <xf numFmtId="0" fontId="0" fillId="0" borderId="9" xfId="0" applyNumberFormat="1" applyBorder="1"/>
    <xf numFmtId="0" fontId="0" fillId="0" borderId="10" xfId="0" applyNumberFormat="1" applyBorder="1"/>
    <xf numFmtId="9" fontId="0" fillId="0" borderId="0" xfId="0" applyNumberFormat="1"/>
    <xf numFmtId="0" fontId="0" fillId="0" borderId="0" xfId="0" applyFill="1"/>
    <xf numFmtId="0" fontId="0" fillId="0" borderId="0" xfId="0" applyAlignment="1">
      <alignment horizontal="right" textRotation="90"/>
    </xf>
    <xf numFmtId="0" fontId="0" fillId="5" borderId="0" xfId="0" applyFill="1" applyAlignment="1">
      <alignment horizontal="right" textRotation="90"/>
    </xf>
    <xf numFmtId="0" fontId="4" fillId="0" borderId="1" xfId="0" applyFont="1" applyFill="1" applyBorder="1" applyAlignment="1">
      <alignment horizontal="center"/>
    </xf>
    <xf numFmtId="0" fontId="4" fillId="0" borderId="2" xfId="0" applyFont="1" applyFill="1" applyBorder="1" applyAlignment="1">
      <alignment horizontal="center"/>
    </xf>
    <xf numFmtId="0" fontId="5" fillId="0" borderId="13" xfId="0" applyFont="1" applyFill="1" applyBorder="1" applyAlignment="1">
      <alignment horizontal="center"/>
    </xf>
    <xf numFmtId="164" fontId="0" fillId="0" borderId="4" xfId="0" applyNumberFormat="1" applyFill="1" applyBorder="1" applyAlignment="1"/>
    <xf numFmtId="0" fontId="0" fillId="0" borderId="3" xfId="0" applyNumberFormat="1" applyFill="1" applyBorder="1" applyAlignment="1"/>
    <xf numFmtId="0" fontId="0" fillId="0" borderId="4" xfId="0" applyNumberFormat="1" applyFill="1" applyBorder="1" applyAlignment="1"/>
    <xf numFmtId="0" fontId="5" fillId="0" borderId="1" xfId="0" applyFont="1" applyFill="1" applyBorder="1" applyAlignment="1">
      <alignment horizontal="center"/>
    </xf>
    <xf numFmtId="0" fontId="5" fillId="0" borderId="2" xfId="0" applyFont="1" applyFill="1" applyBorder="1" applyAlignment="1">
      <alignment horizontal="center"/>
    </xf>
    <xf numFmtId="164" fontId="0" fillId="0" borderId="3" xfId="0" applyNumberFormat="1"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STS_1!$K$1</c:f>
          <c:strCache>
            <c:ptCount val="1"/>
            <c:pt idx="0">
              <c:v>Sensitivity of Total_profit to Selling Price XP</c:v>
            </c:pt>
          </c:strCache>
        </c:strRef>
      </c:tx>
      <c:overlay val="0"/>
      <c:txPr>
        <a:bodyPr/>
        <a:lstStyle/>
        <a:p>
          <a:pPr>
            <a:defRPr sz="1200"/>
          </a:pPr>
          <a:endParaRPr lang="en-US"/>
        </a:p>
      </c:txPr>
    </c:title>
    <c:autoTitleDeleted val="0"/>
    <c:plotArea>
      <c:layout/>
      <c:lineChart>
        <c:grouping val="standard"/>
        <c:varyColors val="0"/>
        <c:ser>
          <c:idx val="0"/>
          <c:order val="0"/>
          <c:cat>
            <c:numRef>
              <c:f>STS_1!$A$5:$A$13</c:f>
              <c:numCache>
                <c:formatCode>"$"#,##0</c:formatCode>
                <c:ptCount val="9"/>
                <c:pt idx="0">
                  <c:v>350</c:v>
                </c:pt>
                <c:pt idx="1">
                  <c:v>375</c:v>
                </c:pt>
                <c:pt idx="2">
                  <c:v>400</c:v>
                </c:pt>
                <c:pt idx="3">
                  <c:v>425</c:v>
                </c:pt>
                <c:pt idx="4">
                  <c:v>450</c:v>
                </c:pt>
                <c:pt idx="5">
                  <c:v>475</c:v>
                </c:pt>
                <c:pt idx="6">
                  <c:v>500</c:v>
                </c:pt>
                <c:pt idx="7">
                  <c:v>525</c:v>
                </c:pt>
                <c:pt idx="8">
                  <c:v>550</c:v>
                </c:pt>
              </c:numCache>
            </c:numRef>
          </c:cat>
          <c:val>
            <c:numRef>
              <c:f>STS_1!$K$5:$K$13</c:f>
              <c:numCache>
                <c:formatCode>General</c:formatCode>
                <c:ptCount val="9"/>
                <c:pt idx="0">
                  <c:v>81833.33</c:v>
                </c:pt>
                <c:pt idx="1">
                  <c:v>111000</c:v>
                </c:pt>
                <c:pt idx="2">
                  <c:v>140166.67000000001</c:v>
                </c:pt>
                <c:pt idx="3">
                  <c:v>169600</c:v>
                </c:pt>
                <c:pt idx="4">
                  <c:v>199600</c:v>
                </c:pt>
                <c:pt idx="5">
                  <c:v>229600</c:v>
                </c:pt>
                <c:pt idx="6">
                  <c:v>259600</c:v>
                </c:pt>
                <c:pt idx="7">
                  <c:v>289600</c:v>
                </c:pt>
                <c:pt idx="8">
                  <c:v>319600</c:v>
                </c:pt>
              </c:numCache>
            </c:numRef>
          </c:val>
          <c:smooth val="0"/>
          <c:extLst>
            <c:ext xmlns:c16="http://schemas.microsoft.com/office/drawing/2014/chart" uri="{C3380CC4-5D6E-409C-BE32-E72D297353CC}">
              <c16:uniqueId val="{00000000-060A-4AB1-950A-E0E49D1D82B8}"/>
            </c:ext>
          </c:extLst>
        </c:ser>
        <c:dLbls>
          <c:showLegendKey val="0"/>
          <c:showVal val="0"/>
          <c:showCatName val="0"/>
          <c:showSerName val="0"/>
          <c:showPercent val="0"/>
          <c:showBubbleSize val="0"/>
        </c:dLbls>
        <c:marker val="1"/>
        <c:smooth val="0"/>
        <c:axId val="165607680"/>
        <c:axId val="165704064"/>
      </c:lineChart>
      <c:catAx>
        <c:axId val="165607680"/>
        <c:scaling>
          <c:orientation val="minMax"/>
        </c:scaling>
        <c:delete val="0"/>
        <c:axPos val="b"/>
        <c:title>
          <c:tx>
            <c:rich>
              <a:bodyPr/>
              <a:lstStyle/>
              <a:p>
                <a:pPr>
                  <a:defRPr/>
                </a:pPr>
                <a:r>
                  <a:rPr lang="en-US"/>
                  <a:t>Selling Price XP ($C$11)</a:t>
                </a:r>
              </a:p>
            </c:rich>
          </c:tx>
          <c:overlay val="0"/>
        </c:title>
        <c:numFmt formatCode="&quot;$&quot;#,##0" sourceLinked="1"/>
        <c:majorTickMark val="out"/>
        <c:minorTickMark val="none"/>
        <c:tickLblPos val="nextTo"/>
        <c:crossAx val="165704064"/>
        <c:crosses val="autoZero"/>
        <c:auto val="1"/>
        <c:lblAlgn val="ctr"/>
        <c:lblOffset val="100"/>
        <c:noMultiLvlLbl val="0"/>
      </c:catAx>
      <c:valAx>
        <c:axId val="165704064"/>
        <c:scaling>
          <c:orientation val="minMax"/>
        </c:scaling>
        <c:delete val="0"/>
        <c:axPos val="l"/>
        <c:majorGridlines/>
        <c:numFmt formatCode="General" sourceLinked="1"/>
        <c:majorTickMark val="out"/>
        <c:minorTickMark val="none"/>
        <c:tickLblPos val="nextTo"/>
        <c:crossAx val="165607680"/>
        <c:crosses val="autoZero"/>
        <c:crossBetween val="between"/>
      </c:valAx>
    </c:plotArea>
    <c:plotVisOnly val="1"/>
    <c:dispBlanksAs val="gap"/>
    <c:showDLblsOverMax val="0"/>
  </c:chart>
  <c:spPr>
    <a:ln w="15875" cap="flat" cmpd="sng" algn="ctr">
      <a:solidFill>
        <a:schemeClr val="accent1">
          <a:lumMod val="100000"/>
        </a:schemeClr>
      </a:solidFill>
      <a:prstDash val="solid"/>
      <a:round/>
      <a:headEnd type="none" w="med" len="med"/>
      <a:tailEnd type="none" w="med" len="me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STS_2!$K$1</c:f>
          <c:strCache>
            <c:ptCount val="1"/>
            <c:pt idx="0">
              <c:v>Sensitivity of Number_to_produce_1 to Testing hours</c:v>
            </c:pt>
          </c:strCache>
        </c:strRef>
      </c:tx>
      <c:overlay val="0"/>
      <c:txPr>
        <a:bodyPr/>
        <a:lstStyle/>
        <a:p>
          <a:pPr>
            <a:defRPr sz="1200"/>
          </a:pPr>
          <a:endParaRPr lang="en-US"/>
        </a:p>
      </c:txPr>
    </c:title>
    <c:autoTitleDeleted val="0"/>
    <c:plotArea>
      <c:layout/>
      <c:lineChart>
        <c:grouping val="standard"/>
        <c:varyColors val="0"/>
        <c:ser>
          <c:idx val="0"/>
          <c:order val="0"/>
          <c:cat>
            <c:numRef>
              <c:f>STS_2!$B$4:$H$4</c:f>
              <c:numCache>
                <c:formatCode>General</c:formatCode>
                <c:ptCount val="7"/>
                <c:pt idx="0">
                  <c:v>2000</c:v>
                </c:pt>
                <c:pt idx="1">
                  <c:v>2500</c:v>
                </c:pt>
                <c:pt idx="2">
                  <c:v>3000</c:v>
                </c:pt>
                <c:pt idx="3">
                  <c:v>3500</c:v>
                </c:pt>
                <c:pt idx="4">
                  <c:v>4000</c:v>
                </c:pt>
                <c:pt idx="5">
                  <c:v>4500</c:v>
                </c:pt>
                <c:pt idx="6">
                  <c:v>5000</c:v>
                </c:pt>
              </c:numCache>
            </c:numRef>
          </c:cat>
          <c:val>
            <c:numRef>
              <c:f>STS_2!$K$5:$K$11</c:f>
              <c:numCache>
                <c:formatCode>General</c:formatCode>
                <c:ptCount val="7"/>
                <c:pt idx="0">
                  <c:v>600</c:v>
                </c:pt>
                <c:pt idx="1">
                  <c:v>250</c:v>
                </c:pt>
                <c:pt idx="2">
                  <c:v>160</c:v>
                </c:pt>
                <c:pt idx="3">
                  <c:v>160</c:v>
                </c:pt>
                <c:pt idx="4">
                  <c:v>160</c:v>
                </c:pt>
                <c:pt idx="5">
                  <c:v>160</c:v>
                </c:pt>
                <c:pt idx="6">
                  <c:v>160</c:v>
                </c:pt>
              </c:numCache>
            </c:numRef>
          </c:val>
          <c:smooth val="0"/>
          <c:extLst>
            <c:ext xmlns:c16="http://schemas.microsoft.com/office/drawing/2014/chart" uri="{C3380CC4-5D6E-409C-BE32-E72D297353CC}">
              <c16:uniqueId val="{00000000-AD6A-4C95-9DC5-D6FA2369C8D6}"/>
            </c:ext>
          </c:extLst>
        </c:ser>
        <c:dLbls>
          <c:showLegendKey val="0"/>
          <c:showVal val="0"/>
          <c:showCatName val="0"/>
          <c:showSerName val="0"/>
          <c:showPercent val="0"/>
          <c:showBubbleSize val="0"/>
        </c:dLbls>
        <c:marker val="1"/>
        <c:smooth val="0"/>
        <c:axId val="166290944"/>
        <c:axId val="166292864"/>
      </c:lineChart>
      <c:catAx>
        <c:axId val="166290944"/>
        <c:scaling>
          <c:orientation val="minMax"/>
        </c:scaling>
        <c:delete val="0"/>
        <c:axPos val="b"/>
        <c:title>
          <c:tx>
            <c:rich>
              <a:bodyPr/>
              <a:lstStyle/>
              <a:p>
                <a:pPr>
                  <a:defRPr/>
                </a:pPr>
                <a:r>
                  <a:rPr lang="en-US"/>
                  <a:t>Testing hours ($D$22)</a:t>
                </a:r>
              </a:p>
            </c:rich>
          </c:tx>
          <c:overlay val="0"/>
        </c:title>
        <c:numFmt formatCode="General" sourceLinked="1"/>
        <c:majorTickMark val="out"/>
        <c:minorTickMark val="none"/>
        <c:tickLblPos val="nextTo"/>
        <c:crossAx val="166292864"/>
        <c:crosses val="autoZero"/>
        <c:auto val="1"/>
        <c:lblAlgn val="ctr"/>
        <c:lblOffset val="100"/>
        <c:noMultiLvlLbl val="0"/>
      </c:catAx>
      <c:valAx>
        <c:axId val="166292864"/>
        <c:scaling>
          <c:orientation val="minMax"/>
        </c:scaling>
        <c:delete val="0"/>
        <c:axPos val="l"/>
        <c:majorGridlines/>
        <c:numFmt formatCode="General" sourceLinked="1"/>
        <c:majorTickMark val="out"/>
        <c:minorTickMark val="none"/>
        <c:tickLblPos val="nextTo"/>
        <c:crossAx val="166290944"/>
        <c:crosses val="autoZero"/>
        <c:crossBetween val="between"/>
      </c:valAx>
    </c:plotArea>
    <c:plotVisOnly val="1"/>
    <c:dispBlanksAs val="gap"/>
    <c:showDLblsOverMax val="0"/>
  </c:chart>
  <c:spPr>
    <a:ln w="15875" cap="flat" cmpd="sng" algn="ctr">
      <a:solidFill>
        <a:schemeClr val="accent1">
          <a:lumMod val="100000"/>
        </a:schemeClr>
      </a:solidFill>
      <a:prstDash val="solid"/>
      <a:round/>
      <a:headEnd type="none" w="med" len="med"/>
      <a:tailEnd type="none" w="med" len="me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STS_2!$O$1</c:f>
          <c:strCache>
            <c:ptCount val="1"/>
            <c:pt idx="0">
              <c:v>Sensitivity of Number_to_produce_1 to Assembling hours</c:v>
            </c:pt>
          </c:strCache>
        </c:strRef>
      </c:tx>
      <c:overlay val="0"/>
      <c:txPr>
        <a:bodyPr/>
        <a:lstStyle/>
        <a:p>
          <a:pPr>
            <a:defRPr sz="1200"/>
          </a:pPr>
          <a:endParaRPr lang="en-US"/>
        </a:p>
      </c:txPr>
    </c:title>
    <c:autoTitleDeleted val="0"/>
    <c:plotArea>
      <c:layout/>
      <c:lineChart>
        <c:grouping val="standard"/>
        <c:varyColors val="0"/>
        <c:ser>
          <c:idx val="0"/>
          <c:order val="0"/>
          <c:cat>
            <c:numRef>
              <c:f>STS_2!$A$5:$A$13</c:f>
              <c:numCache>
                <c:formatCode>General</c:formatCode>
                <c:ptCount val="9"/>
                <c:pt idx="0">
                  <c:v>8000</c:v>
                </c:pt>
                <c:pt idx="1">
                  <c:v>8500</c:v>
                </c:pt>
                <c:pt idx="2">
                  <c:v>9000</c:v>
                </c:pt>
                <c:pt idx="3">
                  <c:v>9500</c:v>
                </c:pt>
                <c:pt idx="4">
                  <c:v>10000</c:v>
                </c:pt>
                <c:pt idx="5">
                  <c:v>10500</c:v>
                </c:pt>
                <c:pt idx="6">
                  <c:v>11000</c:v>
                </c:pt>
                <c:pt idx="7">
                  <c:v>11500</c:v>
                </c:pt>
                <c:pt idx="8">
                  <c:v>12000</c:v>
                </c:pt>
              </c:numCache>
            </c:numRef>
          </c:cat>
          <c:val>
            <c:numRef>
              <c:f>STS_2!$O$5:$O$13</c:f>
              <c:numCache>
                <c:formatCode>General</c:formatCode>
                <c:ptCount val="9"/>
                <c:pt idx="0">
                  <c:v>600</c:v>
                </c:pt>
                <c:pt idx="1">
                  <c:v>600</c:v>
                </c:pt>
                <c:pt idx="2">
                  <c:v>600</c:v>
                </c:pt>
                <c:pt idx="3">
                  <c:v>600</c:v>
                </c:pt>
                <c:pt idx="4">
                  <c:v>600</c:v>
                </c:pt>
                <c:pt idx="5">
                  <c:v>600</c:v>
                </c:pt>
                <c:pt idx="6">
                  <c:v>600</c:v>
                </c:pt>
                <c:pt idx="7">
                  <c:v>600</c:v>
                </c:pt>
                <c:pt idx="8">
                  <c:v>600</c:v>
                </c:pt>
              </c:numCache>
            </c:numRef>
          </c:val>
          <c:smooth val="0"/>
          <c:extLst>
            <c:ext xmlns:c16="http://schemas.microsoft.com/office/drawing/2014/chart" uri="{C3380CC4-5D6E-409C-BE32-E72D297353CC}">
              <c16:uniqueId val="{00000000-5198-4033-A3F3-79C0DA9B70BF}"/>
            </c:ext>
          </c:extLst>
        </c:ser>
        <c:dLbls>
          <c:showLegendKey val="0"/>
          <c:showVal val="0"/>
          <c:showCatName val="0"/>
          <c:showSerName val="0"/>
          <c:showPercent val="0"/>
          <c:showBubbleSize val="0"/>
        </c:dLbls>
        <c:marker val="1"/>
        <c:smooth val="0"/>
        <c:axId val="166304768"/>
        <c:axId val="166319232"/>
      </c:lineChart>
      <c:catAx>
        <c:axId val="166304768"/>
        <c:scaling>
          <c:orientation val="minMax"/>
        </c:scaling>
        <c:delete val="0"/>
        <c:axPos val="b"/>
        <c:title>
          <c:tx>
            <c:rich>
              <a:bodyPr/>
              <a:lstStyle/>
              <a:p>
                <a:pPr>
                  <a:defRPr/>
                </a:pPr>
                <a:r>
                  <a:rPr lang="en-US"/>
                  <a:t>Assembling hours ($D$21)</a:t>
                </a:r>
              </a:p>
            </c:rich>
          </c:tx>
          <c:overlay val="0"/>
        </c:title>
        <c:numFmt formatCode="General" sourceLinked="1"/>
        <c:majorTickMark val="out"/>
        <c:minorTickMark val="none"/>
        <c:tickLblPos val="nextTo"/>
        <c:crossAx val="166319232"/>
        <c:crosses val="autoZero"/>
        <c:auto val="1"/>
        <c:lblAlgn val="ctr"/>
        <c:lblOffset val="100"/>
        <c:noMultiLvlLbl val="0"/>
      </c:catAx>
      <c:valAx>
        <c:axId val="166319232"/>
        <c:scaling>
          <c:orientation val="minMax"/>
        </c:scaling>
        <c:delete val="0"/>
        <c:axPos val="l"/>
        <c:majorGridlines/>
        <c:numFmt formatCode="General" sourceLinked="1"/>
        <c:majorTickMark val="out"/>
        <c:minorTickMark val="none"/>
        <c:tickLblPos val="nextTo"/>
        <c:crossAx val="166304768"/>
        <c:crosses val="autoZero"/>
        <c:crossBetween val="between"/>
      </c:valAx>
    </c:plotArea>
    <c:plotVisOnly val="1"/>
    <c:dispBlanksAs val="gap"/>
    <c:showDLblsOverMax val="0"/>
  </c:chart>
  <c:spPr>
    <a:ln w="15875" cap="flat" cmpd="sng" algn="ctr">
      <a:solidFill>
        <a:schemeClr val="accent1">
          <a:lumMod val="100000"/>
        </a:schemeClr>
      </a:solidFill>
      <a:prstDash val="solid"/>
      <a:round/>
      <a:headEnd type="none" w="med" len="med"/>
      <a:tailEnd type="none" w="med" len="me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STS_3!$K$1</c:f>
          <c:strCache>
            <c:ptCount val="1"/>
            <c:pt idx="0">
              <c:v>Sensitivity of Number_to_produce_1 to % change in max sales</c:v>
            </c:pt>
          </c:strCache>
        </c:strRef>
      </c:tx>
      <c:overlay val="0"/>
      <c:txPr>
        <a:bodyPr/>
        <a:lstStyle/>
        <a:p>
          <a:pPr>
            <a:defRPr sz="1200"/>
          </a:pPr>
          <a:endParaRPr lang="en-US"/>
        </a:p>
      </c:txPr>
    </c:title>
    <c:autoTitleDeleted val="0"/>
    <c:plotArea>
      <c:layout/>
      <c:lineChart>
        <c:grouping val="standard"/>
        <c:varyColors val="0"/>
        <c:ser>
          <c:idx val="0"/>
          <c:order val="0"/>
          <c:cat>
            <c:numRef>
              <c:f>STS_3!$A$5:$A$11</c:f>
              <c:numCache>
                <c:formatCode>0%</c:formatCode>
                <c:ptCount val="7"/>
                <c:pt idx="0">
                  <c:v>-0.30000001192092896</c:v>
                </c:pt>
                <c:pt idx="1">
                  <c:v>-0.20000001788139343</c:v>
                </c:pt>
                <c:pt idx="2">
                  <c:v>-0.10000000894069672</c:v>
                </c:pt>
                <c:pt idx="3">
                  <c:v>-7.4505805969238281E-9</c:v>
                </c:pt>
                <c:pt idx="4">
                  <c:v>9.9999994039535522E-2</c:v>
                </c:pt>
                <c:pt idx="5">
                  <c:v>0.19999998807907104</c:v>
                </c:pt>
                <c:pt idx="6">
                  <c:v>0.30000001192092896</c:v>
                </c:pt>
              </c:numCache>
            </c:numRef>
          </c:cat>
          <c:val>
            <c:numRef>
              <c:f>STS_3!$K$5:$K$11</c:f>
              <c:numCache>
                <c:formatCode>General</c:formatCode>
                <c:ptCount val="7"/>
                <c:pt idx="0">
                  <c:v>419.99999284744263</c:v>
                </c:pt>
                <c:pt idx="1">
                  <c:v>479.99998927116394</c:v>
                </c:pt>
                <c:pt idx="2">
                  <c:v>539.99999463558197</c:v>
                </c:pt>
                <c:pt idx="3">
                  <c:v>560.00001072883606</c:v>
                </c:pt>
                <c:pt idx="4">
                  <c:v>500</c:v>
                </c:pt>
                <c:pt idx="5">
                  <c:v>500</c:v>
                </c:pt>
                <c:pt idx="6">
                  <c:v>500</c:v>
                </c:pt>
              </c:numCache>
            </c:numRef>
          </c:val>
          <c:smooth val="0"/>
          <c:extLst>
            <c:ext xmlns:c16="http://schemas.microsoft.com/office/drawing/2014/chart" uri="{C3380CC4-5D6E-409C-BE32-E72D297353CC}">
              <c16:uniqueId val="{00000000-6189-48A1-9FE8-83668C2D7F85}"/>
            </c:ext>
          </c:extLst>
        </c:ser>
        <c:dLbls>
          <c:showLegendKey val="0"/>
          <c:showVal val="0"/>
          <c:showCatName val="0"/>
          <c:showSerName val="0"/>
          <c:showPercent val="0"/>
          <c:showBubbleSize val="0"/>
        </c:dLbls>
        <c:marker val="1"/>
        <c:smooth val="0"/>
        <c:axId val="166927744"/>
        <c:axId val="168297984"/>
      </c:lineChart>
      <c:catAx>
        <c:axId val="166927744"/>
        <c:scaling>
          <c:orientation val="minMax"/>
        </c:scaling>
        <c:delete val="0"/>
        <c:axPos val="b"/>
        <c:title>
          <c:tx>
            <c:rich>
              <a:bodyPr/>
              <a:lstStyle/>
              <a:p>
                <a:pPr>
                  <a:defRPr/>
                </a:pPr>
                <a:r>
                  <a:rPr lang="en-US"/>
                  <a:t>% change in max sales ($G$18)</a:t>
                </a:r>
              </a:p>
            </c:rich>
          </c:tx>
          <c:overlay val="0"/>
        </c:title>
        <c:numFmt formatCode="0%" sourceLinked="1"/>
        <c:majorTickMark val="out"/>
        <c:minorTickMark val="none"/>
        <c:tickLblPos val="nextTo"/>
        <c:crossAx val="168297984"/>
        <c:crosses val="autoZero"/>
        <c:auto val="1"/>
        <c:lblAlgn val="ctr"/>
        <c:lblOffset val="100"/>
        <c:noMultiLvlLbl val="0"/>
      </c:catAx>
      <c:valAx>
        <c:axId val="168297984"/>
        <c:scaling>
          <c:orientation val="minMax"/>
        </c:scaling>
        <c:delete val="0"/>
        <c:axPos val="l"/>
        <c:majorGridlines/>
        <c:numFmt formatCode="General" sourceLinked="1"/>
        <c:majorTickMark val="out"/>
        <c:minorTickMark val="none"/>
        <c:tickLblPos val="nextTo"/>
        <c:crossAx val="166927744"/>
        <c:crosses val="autoZero"/>
        <c:crossBetween val="between"/>
      </c:valAx>
    </c:plotArea>
    <c:plotVisOnly val="1"/>
    <c:dispBlanksAs val="gap"/>
    <c:showDLblsOverMax val="0"/>
  </c:chart>
  <c:spPr>
    <a:ln w="15875" cap="flat" cmpd="sng" algn="ctr">
      <a:solidFill>
        <a:schemeClr val="accent1">
          <a:lumMod val="100000"/>
        </a:schemeClr>
      </a:solidFill>
      <a:prstDash val="solid"/>
      <a:round/>
      <a:headEnd type="none" w="med" len="med"/>
      <a:tailEnd type="none" w="med" len="me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1133476</xdr:colOff>
      <xdr:row>13</xdr:row>
      <xdr:rowOff>0</xdr:rowOff>
    </xdr:from>
    <xdr:to>
      <xdr:col>8</xdr:col>
      <xdr:colOff>295276</xdr:colOff>
      <xdr:row>19</xdr:row>
      <xdr:rowOff>133350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143501" y="2476500"/>
          <a:ext cx="2305050" cy="1276350"/>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In general, it is interesting to check which changing cells are positive</a:t>
          </a:r>
          <a:r>
            <a:rPr lang="en-US" sz="1100" baseline="0"/>
            <a:t> (both of them here) and which constraints are binding (the XP maximum sales constraint and the first hour availability constraint).</a:t>
          </a:r>
          <a:endParaRPr lang="en-US" sz="1100"/>
        </a:p>
      </xdr:txBody>
    </xdr:sp>
    <xdr:clientData/>
  </xdr:twoCellAnchor>
  <xdr:twoCellAnchor editAs="oneCell">
    <xdr:from>
      <xdr:col>9</xdr:col>
      <xdr:colOff>66675</xdr:colOff>
      <xdr:row>2</xdr:row>
      <xdr:rowOff>114300</xdr:rowOff>
    </xdr:from>
    <xdr:to>
      <xdr:col>12</xdr:col>
      <xdr:colOff>222060</xdr:colOff>
      <xdr:row>13</xdr:row>
      <xdr:rowOff>30800</xdr:rowOff>
    </xdr:to>
    <xdr:pic>
      <xdr:nvPicPr>
        <xdr:cNvPr id="3" name="Picture 2" descr="Algebraic model equations, see Page 604 in the text">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829550" y="495300"/>
          <a:ext cx="1984185" cy="2012000"/>
        </a:xfrm>
        <a:prstGeom prst="rect">
          <a:avLst/>
        </a:prstGeom>
        <a:ln>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209550</xdr:colOff>
      <xdr:row>9</xdr:row>
      <xdr:rowOff>114301</xdr:rowOff>
    </xdr:from>
    <xdr:to>
      <xdr:col>7</xdr:col>
      <xdr:colOff>438150</xdr:colOff>
      <xdr:row>15</xdr:row>
      <xdr:rowOff>19051</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4219575" y="1828801"/>
          <a:ext cx="2057400" cy="1047750"/>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trick here</a:t>
          </a:r>
          <a:r>
            <a:rPr lang="en-US" sz="1100" baseline="0"/>
            <a:t> is to let the </a:t>
          </a:r>
          <a:r>
            <a:rPr lang="en-US" sz="1100" i="1" baseline="0"/>
            <a:t>single </a:t>
          </a:r>
          <a:r>
            <a:rPr lang="en-US" sz="1100" i="0" baseline="0"/>
            <a:t>value in cell G18 drive both values in cells B18 and C18 from their original values.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438150</xdr:colOff>
      <xdr:row>3</xdr:row>
      <xdr:rowOff>152400</xdr:rowOff>
    </xdr:from>
    <xdr:to>
      <xdr:col>2</xdr:col>
      <xdr:colOff>438150</xdr:colOff>
      <xdr:row>29</xdr:row>
      <xdr:rowOff>0</xdr:rowOff>
    </xdr:to>
    <xdr:cxnSp macro="">
      <xdr:nvCxnSpPr>
        <xdr:cNvPr id="3" name="Straight Connector 2">
          <a:extLst>
            <a:ext uri="{FF2B5EF4-FFF2-40B4-BE49-F238E27FC236}">
              <a16:creationId xmlns:a16="http://schemas.microsoft.com/office/drawing/2014/main" id="{00000000-0008-0000-0100-000003000000}"/>
            </a:ext>
          </a:extLst>
        </xdr:cNvPr>
        <xdr:cNvCxnSpPr/>
      </xdr:nvCxnSpPr>
      <xdr:spPr>
        <a:xfrm rot="5400000">
          <a:off x="-742950" y="3124200"/>
          <a:ext cx="4800600" cy="0"/>
        </a:xfrm>
        <a:prstGeom prst="line">
          <a:avLst/>
        </a:prstGeom>
        <a:ln>
          <a:headEnd type="arrow"/>
          <a:tailEnd type="non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438150</xdr:colOff>
      <xdr:row>29</xdr:row>
      <xdr:rowOff>9525</xdr:rowOff>
    </xdr:from>
    <xdr:to>
      <xdr:col>15</xdr:col>
      <xdr:colOff>219075</xdr:colOff>
      <xdr:row>29</xdr:row>
      <xdr:rowOff>9525</xdr:rowOff>
    </xdr:to>
    <xdr:cxnSp macro="">
      <xdr:nvCxnSpPr>
        <xdr:cNvPr id="5" name="Straight Connector 4">
          <a:extLst>
            <a:ext uri="{FF2B5EF4-FFF2-40B4-BE49-F238E27FC236}">
              <a16:creationId xmlns:a16="http://schemas.microsoft.com/office/drawing/2014/main" id="{00000000-0008-0000-0100-000005000000}"/>
            </a:ext>
          </a:extLst>
        </xdr:cNvPr>
        <xdr:cNvCxnSpPr/>
      </xdr:nvCxnSpPr>
      <xdr:spPr>
        <a:xfrm>
          <a:off x="1657350" y="5534025"/>
          <a:ext cx="7705725" cy="0"/>
        </a:xfrm>
        <a:prstGeom prst="line">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438150</xdr:colOff>
      <xdr:row>8</xdr:row>
      <xdr:rowOff>76200</xdr:rowOff>
    </xdr:from>
    <xdr:to>
      <xdr:col>10</xdr:col>
      <xdr:colOff>295275</xdr:colOff>
      <xdr:row>29</xdr:row>
      <xdr:rowOff>9525</xdr:rowOff>
    </xdr:to>
    <xdr:cxnSp macro="">
      <xdr:nvCxnSpPr>
        <xdr:cNvPr id="7" name="Straight Connector 6">
          <a:extLst>
            <a:ext uri="{FF2B5EF4-FFF2-40B4-BE49-F238E27FC236}">
              <a16:creationId xmlns:a16="http://schemas.microsoft.com/office/drawing/2014/main" id="{00000000-0008-0000-0100-000007000000}"/>
            </a:ext>
          </a:extLst>
        </xdr:cNvPr>
        <xdr:cNvCxnSpPr/>
      </xdr:nvCxnSpPr>
      <xdr:spPr>
        <a:xfrm>
          <a:off x="1657350" y="1600200"/>
          <a:ext cx="4733925" cy="3933825"/>
        </a:xfrm>
        <a:prstGeom prst="line">
          <a:avLst/>
        </a:prstGeom>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438150</xdr:colOff>
      <xdr:row>11</xdr:row>
      <xdr:rowOff>9525</xdr:rowOff>
    </xdr:from>
    <xdr:to>
      <xdr:col>14</xdr:col>
      <xdr:colOff>485775</xdr:colOff>
      <xdr:row>29</xdr:row>
      <xdr:rowOff>19050</xdr:rowOff>
    </xdr:to>
    <xdr:cxnSp macro="">
      <xdr:nvCxnSpPr>
        <xdr:cNvPr id="9" name="Straight Connector 8">
          <a:extLst>
            <a:ext uri="{FF2B5EF4-FFF2-40B4-BE49-F238E27FC236}">
              <a16:creationId xmlns:a16="http://schemas.microsoft.com/office/drawing/2014/main" id="{00000000-0008-0000-0100-000009000000}"/>
            </a:ext>
          </a:extLst>
        </xdr:cNvPr>
        <xdr:cNvCxnSpPr/>
      </xdr:nvCxnSpPr>
      <xdr:spPr>
        <a:xfrm>
          <a:off x="1657350" y="2105025"/>
          <a:ext cx="7362825" cy="3438525"/>
        </a:xfrm>
        <a:prstGeom prst="line">
          <a:avLst/>
        </a:prstGeom>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76200</xdr:colOff>
      <xdr:row>29</xdr:row>
      <xdr:rowOff>123825</xdr:rowOff>
    </xdr:from>
    <xdr:to>
      <xdr:col>10</xdr:col>
      <xdr:colOff>581025</xdr:colOff>
      <xdr:row>31</xdr:row>
      <xdr:rowOff>0</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6172200" y="5648325"/>
          <a:ext cx="504825"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2000</a:t>
          </a:r>
        </a:p>
      </xdr:txBody>
    </xdr:sp>
    <xdr:clientData/>
  </xdr:twoCellAnchor>
  <xdr:twoCellAnchor>
    <xdr:from>
      <xdr:col>14</xdr:col>
      <xdr:colOff>266700</xdr:colOff>
      <xdr:row>29</xdr:row>
      <xdr:rowOff>123825</xdr:rowOff>
    </xdr:from>
    <xdr:to>
      <xdr:col>15</xdr:col>
      <xdr:colOff>161925</xdr:colOff>
      <xdr:row>31</xdr:row>
      <xdr:rowOff>0</xdr:rowOff>
    </xdr:to>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8801100" y="5648325"/>
          <a:ext cx="504825"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3000</a:t>
          </a:r>
        </a:p>
      </xdr:txBody>
    </xdr:sp>
    <xdr:clientData/>
  </xdr:twoCellAnchor>
  <xdr:twoCellAnchor>
    <xdr:from>
      <xdr:col>1</xdr:col>
      <xdr:colOff>409575</xdr:colOff>
      <xdr:row>10</xdr:row>
      <xdr:rowOff>95250</xdr:rowOff>
    </xdr:from>
    <xdr:to>
      <xdr:col>2</xdr:col>
      <xdr:colOff>304800</xdr:colOff>
      <xdr:row>11</xdr:row>
      <xdr:rowOff>161925</xdr:rowOff>
    </xdr:to>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019175" y="2000250"/>
          <a:ext cx="504825"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1500</a:t>
          </a:r>
        </a:p>
      </xdr:txBody>
    </xdr:sp>
    <xdr:clientData/>
  </xdr:twoCellAnchor>
  <xdr:twoCellAnchor>
    <xdr:from>
      <xdr:col>1</xdr:col>
      <xdr:colOff>323851</xdr:colOff>
      <xdr:row>7</xdr:row>
      <xdr:rowOff>114300</xdr:rowOff>
    </xdr:from>
    <xdr:to>
      <xdr:col>2</xdr:col>
      <xdr:colOff>304801</xdr:colOff>
      <xdr:row>8</xdr:row>
      <xdr:rowOff>180975</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933451" y="1447800"/>
          <a:ext cx="590550"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1666.7</a:t>
          </a:r>
        </a:p>
      </xdr:txBody>
    </xdr:sp>
    <xdr:clientData/>
  </xdr:twoCellAnchor>
  <xdr:twoCellAnchor>
    <xdr:from>
      <xdr:col>2</xdr:col>
      <xdr:colOff>438150</xdr:colOff>
      <xdr:row>15</xdr:row>
      <xdr:rowOff>66675</xdr:rowOff>
    </xdr:from>
    <xdr:to>
      <xdr:col>7</xdr:col>
      <xdr:colOff>276225</xdr:colOff>
      <xdr:row>15</xdr:row>
      <xdr:rowOff>66675</xdr:rowOff>
    </xdr:to>
    <xdr:cxnSp macro="">
      <xdr:nvCxnSpPr>
        <xdr:cNvPr id="25" name="Straight Connector 24">
          <a:extLst>
            <a:ext uri="{FF2B5EF4-FFF2-40B4-BE49-F238E27FC236}">
              <a16:creationId xmlns:a16="http://schemas.microsoft.com/office/drawing/2014/main" id="{00000000-0008-0000-0100-000019000000}"/>
            </a:ext>
          </a:extLst>
        </xdr:cNvPr>
        <xdr:cNvCxnSpPr/>
      </xdr:nvCxnSpPr>
      <xdr:spPr>
        <a:xfrm>
          <a:off x="1657350" y="2924175"/>
          <a:ext cx="2886075" cy="0"/>
        </a:xfrm>
        <a:prstGeom prst="line">
          <a:avLst/>
        </a:prstGeom>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171450</xdr:colOff>
      <xdr:row>29</xdr:row>
      <xdr:rowOff>95250</xdr:rowOff>
    </xdr:from>
    <xdr:to>
      <xdr:col>6</xdr:col>
      <xdr:colOff>66675</xdr:colOff>
      <xdr:row>30</xdr:row>
      <xdr:rowOff>161925</xdr:rowOff>
    </xdr:to>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3219450" y="5619750"/>
          <a:ext cx="504825"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600</a:t>
          </a:r>
        </a:p>
      </xdr:txBody>
    </xdr:sp>
    <xdr:clientData/>
  </xdr:twoCellAnchor>
  <xdr:twoCellAnchor>
    <xdr:from>
      <xdr:col>1</xdr:col>
      <xdr:colOff>381000</xdr:colOff>
      <xdr:row>14</xdr:row>
      <xdr:rowOff>114300</xdr:rowOff>
    </xdr:from>
    <xdr:to>
      <xdr:col>2</xdr:col>
      <xdr:colOff>276225</xdr:colOff>
      <xdr:row>15</xdr:row>
      <xdr:rowOff>180975</xdr:rowOff>
    </xdr:to>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990600" y="2781300"/>
          <a:ext cx="504825"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1200</a:t>
          </a:r>
        </a:p>
      </xdr:txBody>
    </xdr:sp>
    <xdr:clientData/>
  </xdr:twoCellAnchor>
  <xdr:twoCellAnchor>
    <xdr:from>
      <xdr:col>3</xdr:col>
      <xdr:colOff>104775</xdr:colOff>
      <xdr:row>10</xdr:row>
      <xdr:rowOff>133350</xdr:rowOff>
    </xdr:from>
    <xdr:to>
      <xdr:col>8</xdr:col>
      <xdr:colOff>200025</xdr:colOff>
      <xdr:row>21</xdr:row>
      <xdr:rowOff>76200</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1933575" y="2038350"/>
          <a:ext cx="3143250" cy="2038350"/>
        </a:xfrm>
        <a:prstGeom prst="line">
          <a:avLst/>
        </a:prstGeom>
        <a:ln>
          <a:prstDash val="dash"/>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400050</xdr:colOff>
      <xdr:row>9</xdr:row>
      <xdr:rowOff>76200</xdr:rowOff>
    </xdr:from>
    <xdr:to>
      <xdr:col>8</xdr:col>
      <xdr:colOff>495300</xdr:colOff>
      <xdr:row>20</xdr:row>
      <xdr:rowOff>19050</xdr:rowOff>
    </xdr:to>
    <xdr:cxnSp macro="">
      <xdr:nvCxnSpPr>
        <xdr:cNvPr id="33" name="Straight Connector 32">
          <a:extLst>
            <a:ext uri="{FF2B5EF4-FFF2-40B4-BE49-F238E27FC236}">
              <a16:creationId xmlns:a16="http://schemas.microsoft.com/office/drawing/2014/main" id="{00000000-0008-0000-0100-000021000000}"/>
            </a:ext>
          </a:extLst>
        </xdr:cNvPr>
        <xdr:cNvCxnSpPr/>
      </xdr:nvCxnSpPr>
      <xdr:spPr>
        <a:xfrm>
          <a:off x="2228850" y="1790700"/>
          <a:ext cx="3143250" cy="2038350"/>
        </a:xfrm>
        <a:prstGeom prst="line">
          <a:avLst/>
        </a:prstGeom>
        <a:ln>
          <a:prstDash val="dash"/>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57150</xdr:colOff>
      <xdr:row>13</xdr:row>
      <xdr:rowOff>9525</xdr:rowOff>
    </xdr:from>
    <xdr:to>
      <xdr:col>7</xdr:col>
      <xdr:colOff>152400</xdr:colOff>
      <xdr:row>23</xdr:row>
      <xdr:rowOff>142875</xdr:rowOff>
    </xdr:to>
    <xdr:cxnSp macro="">
      <xdr:nvCxnSpPr>
        <xdr:cNvPr id="35" name="Straight Connector 34">
          <a:extLst>
            <a:ext uri="{FF2B5EF4-FFF2-40B4-BE49-F238E27FC236}">
              <a16:creationId xmlns:a16="http://schemas.microsoft.com/office/drawing/2014/main" id="{00000000-0008-0000-0100-000023000000}"/>
            </a:ext>
          </a:extLst>
        </xdr:cNvPr>
        <xdr:cNvCxnSpPr/>
      </xdr:nvCxnSpPr>
      <xdr:spPr>
        <a:xfrm>
          <a:off x="1276350" y="2486025"/>
          <a:ext cx="3143250" cy="2038350"/>
        </a:xfrm>
        <a:prstGeom prst="line">
          <a:avLst/>
        </a:prstGeom>
        <a:ln>
          <a:prstDash val="dash"/>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209550</xdr:colOff>
      <xdr:row>15</xdr:row>
      <xdr:rowOff>38100</xdr:rowOff>
    </xdr:from>
    <xdr:to>
      <xdr:col>5</xdr:col>
      <xdr:colOff>276225</xdr:colOff>
      <xdr:row>15</xdr:row>
      <xdr:rowOff>114300</xdr:rowOff>
    </xdr:to>
    <xdr:sp macro="" textlink="">
      <xdr:nvSpPr>
        <xdr:cNvPr id="36" name="Oval 35">
          <a:extLst>
            <a:ext uri="{FF2B5EF4-FFF2-40B4-BE49-F238E27FC236}">
              <a16:creationId xmlns:a16="http://schemas.microsoft.com/office/drawing/2014/main" id="{00000000-0008-0000-0100-000024000000}"/>
            </a:ext>
          </a:extLst>
        </xdr:cNvPr>
        <xdr:cNvSpPr/>
      </xdr:nvSpPr>
      <xdr:spPr>
        <a:xfrm>
          <a:off x="3257550" y="2895600"/>
          <a:ext cx="66675" cy="76200"/>
        </a:xfrm>
        <a:prstGeom prst="ellipse">
          <a:avLst/>
        </a:prstGeom>
        <a:noFill/>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11</xdr:col>
      <xdr:colOff>123826</xdr:colOff>
      <xdr:row>23</xdr:row>
      <xdr:rowOff>190499</xdr:rowOff>
    </xdr:from>
    <xdr:to>
      <xdr:col>11</xdr:col>
      <xdr:colOff>219076</xdr:colOff>
      <xdr:row>24</xdr:row>
      <xdr:rowOff>180974</xdr:rowOff>
    </xdr:to>
    <xdr:cxnSp macro="">
      <xdr:nvCxnSpPr>
        <xdr:cNvPr id="38" name="Straight Arrow Connector 37">
          <a:extLst>
            <a:ext uri="{FF2B5EF4-FFF2-40B4-BE49-F238E27FC236}">
              <a16:creationId xmlns:a16="http://schemas.microsoft.com/office/drawing/2014/main" id="{00000000-0008-0000-0100-000026000000}"/>
            </a:ext>
          </a:extLst>
        </xdr:cNvPr>
        <xdr:cNvCxnSpPr/>
      </xdr:nvCxnSpPr>
      <xdr:spPr>
        <a:xfrm rot="5400000">
          <a:off x="6786563" y="4614862"/>
          <a:ext cx="180975" cy="95250"/>
        </a:xfrm>
        <a:prstGeom prst="straightConnector1">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28575</xdr:colOff>
      <xdr:row>25</xdr:row>
      <xdr:rowOff>180974</xdr:rowOff>
    </xdr:from>
    <xdr:to>
      <xdr:col>9</xdr:col>
      <xdr:colOff>200025</xdr:colOff>
      <xdr:row>26</xdr:row>
      <xdr:rowOff>95249</xdr:rowOff>
    </xdr:to>
    <xdr:cxnSp macro="">
      <xdr:nvCxnSpPr>
        <xdr:cNvPr id="40" name="Straight Arrow Connector 39">
          <a:extLst>
            <a:ext uri="{FF2B5EF4-FFF2-40B4-BE49-F238E27FC236}">
              <a16:creationId xmlns:a16="http://schemas.microsoft.com/office/drawing/2014/main" id="{00000000-0008-0000-0100-000028000000}"/>
            </a:ext>
          </a:extLst>
        </xdr:cNvPr>
        <xdr:cNvCxnSpPr/>
      </xdr:nvCxnSpPr>
      <xdr:spPr>
        <a:xfrm rot="10800000" flipV="1">
          <a:off x="5514975" y="4943474"/>
          <a:ext cx="171450" cy="104775"/>
        </a:xfrm>
        <a:prstGeom prst="straightConnector1">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171451</xdr:colOff>
      <xdr:row>26</xdr:row>
      <xdr:rowOff>19050</xdr:rowOff>
    </xdr:from>
    <xdr:to>
      <xdr:col>5</xdr:col>
      <xdr:colOff>428626</xdr:colOff>
      <xdr:row>26</xdr:row>
      <xdr:rowOff>20638</xdr:rowOff>
    </xdr:to>
    <xdr:cxnSp macro="">
      <xdr:nvCxnSpPr>
        <xdr:cNvPr id="42" name="Straight Arrow Connector 41">
          <a:extLst>
            <a:ext uri="{FF2B5EF4-FFF2-40B4-BE49-F238E27FC236}">
              <a16:creationId xmlns:a16="http://schemas.microsoft.com/office/drawing/2014/main" id="{00000000-0008-0000-0100-00002A000000}"/>
            </a:ext>
          </a:extLst>
        </xdr:cNvPr>
        <xdr:cNvCxnSpPr/>
      </xdr:nvCxnSpPr>
      <xdr:spPr>
        <a:xfrm rot="10800000">
          <a:off x="3219451" y="4972050"/>
          <a:ext cx="257175" cy="1588"/>
        </a:xfrm>
        <a:prstGeom prst="straightConnector1">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28575</xdr:colOff>
      <xdr:row>15</xdr:row>
      <xdr:rowOff>66674</xdr:rowOff>
    </xdr:from>
    <xdr:to>
      <xdr:col>3</xdr:col>
      <xdr:colOff>38100</xdr:colOff>
      <xdr:row>16</xdr:row>
      <xdr:rowOff>152399</xdr:rowOff>
    </xdr:to>
    <xdr:cxnSp macro="">
      <xdr:nvCxnSpPr>
        <xdr:cNvPr id="44" name="Straight Arrow Connector 43">
          <a:extLst>
            <a:ext uri="{FF2B5EF4-FFF2-40B4-BE49-F238E27FC236}">
              <a16:creationId xmlns:a16="http://schemas.microsoft.com/office/drawing/2014/main" id="{00000000-0008-0000-0100-00002C000000}"/>
            </a:ext>
          </a:extLst>
        </xdr:cNvPr>
        <xdr:cNvCxnSpPr/>
      </xdr:nvCxnSpPr>
      <xdr:spPr>
        <a:xfrm rot="16200000" flipH="1">
          <a:off x="1724025" y="3057524"/>
          <a:ext cx="276225" cy="9525"/>
        </a:xfrm>
        <a:prstGeom prst="straightConnector1">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438150</xdr:colOff>
      <xdr:row>15</xdr:row>
      <xdr:rowOff>66675</xdr:rowOff>
    </xdr:from>
    <xdr:to>
      <xdr:col>5</xdr:col>
      <xdr:colOff>209550</xdr:colOff>
      <xdr:row>15</xdr:row>
      <xdr:rowOff>76200</xdr:rowOff>
    </xdr:to>
    <xdr:cxnSp macro="">
      <xdr:nvCxnSpPr>
        <xdr:cNvPr id="46" name="Straight Connector 45">
          <a:extLst>
            <a:ext uri="{FF2B5EF4-FFF2-40B4-BE49-F238E27FC236}">
              <a16:creationId xmlns:a16="http://schemas.microsoft.com/office/drawing/2014/main" id="{00000000-0008-0000-0100-00002E000000}"/>
            </a:ext>
          </a:extLst>
        </xdr:cNvPr>
        <xdr:cNvCxnSpPr>
          <a:endCxn id="36" idx="2"/>
        </xdr:cNvCxnSpPr>
      </xdr:nvCxnSpPr>
      <xdr:spPr>
        <a:xfrm>
          <a:off x="1657350" y="2924175"/>
          <a:ext cx="1600200" cy="9525"/>
        </a:xfrm>
        <a:prstGeom prst="line">
          <a:avLst/>
        </a:prstGeom>
        <a:ln w="25400"/>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219314</xdr:colOff>
      <xdr:row>15</xdr:row>
      <xdr:rowOff>49259</xdr:rowOff>
    </xdr:from>
    <xdr:to>
      <xdr:col>5</xdr:col>
      <xdr:colOff>390528</xdr:colOff>
      <xdr:row>16</xdr:row>
      <xdr:rowOff>19053</xdr:rowOff>
    </xdr:to>
    <xdr:cxnSp macro="">
      <xdr:nvCxnSpPr>
        <xdr:cNvPr id="48" name="Straight Connector 47">
          <a:extLst>
            <a:ext uri="{FF2B5EF4-FFF2-40B4-BE49-F238E27FC236}">
              <a16:creationId xmlns:a16="http://schemas.microsoft.com/office/drawing/2014/main" id="{00000000-0008-0000-0100-000030000000}"/>
            </a:ext>
          </a:extLst>
        </xdr:cNvPr>
        <xdr:cNvCxnSpPr>
          <a:stCxn id="36" idx="1"/>
        </xdr:cNvCxnSpPr>
      </xdr:nvCxnSpPr>
      <xdr:spPr>
        <a:xfrm rot="16200000" flipH="1">
          <a:off x="3272774" y="2901299"/>
          <a:ext cx="160294" cy="171214"/>
        </a:xfrm>
        <a:prstGeom prst="line">
          <a:avLst/>
        </a:prstGeom>
        <a:ln w="25400"/>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390528</xdr:colOff>
      <xdr:row>16</xdr:row>
      <xdr:rowOff>19053</xdr:rowOff>
    </xdr:from>
    <xdr:to>
      <xdr:col>5</xdr:col>
      <xdr:colOff>419102</xdr:colOff>
      <xdr:row>29</xdr:row>
      <xdr:rowOff>9523</xdr:rowOff>
    </xdr:to>
    <xdr:cxnSp macro="">
      <xdr:nvCxnSpPr>
        <xdr:cNvPr id="50" name="Straight Connector 49">
          <a:extLst>
            <a:ext uri="{FF2B5EF4-FFF2-40B4-BE49-F238E27FC236}">
              <a16:creationId xmlns:a16="http://schemas.microsoft.com/office/drawing/2014/main" id="{00000000-0008-0000-0100-000032000000}"/>
            </a:ext>
          </a:extLst>
        </xdr:cNvPr>
        <xdr:cNvCxnSpPr/>
      </xdr:nvCxnSpPr>
      <xdr:spPr>
        <a:xfrm rot="16200000" flipH="1">
          <a:off x="2219330" y="4286251"/>
          <a:ext cx="2466970" cy="28574"/>
        </a:xfrm>
        <a:prstGeom prst="line">
          <a:avLst/>
        </a:prstGeom>
        <a:ln w="31750"/>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22</xdr:row>
      <xdr:rowOff>19050</xdr:rowOff>
    </xdr:from>
    <xdr:to>
      <xdr:col>5</xdr:col>
      <xdr:colOff>342900</xdr:colOff>
      <xdr:row>24</xdr:row>
      <xdr:rowOff>152400</xdr:rowOff>
    </xdr:to>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2171700" y="4210050"/>
          <a:ext cx="1219200" cy="5143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Feasible region (below dark lines)</a:t>
          </a:r>
        </a:p>
      </xdr:txBody>
    </xdr:sp>
    <xdr:clientData/>
  </xdr:twoCellAnchor>
  <xdr:twoCellAnchor>
    <xdr:from>
      <xdr:col>10</xdr:col>
      <xdr:colOff>371475</xdr:colOff>
      <xdr:row>20</xdr:row>
      <xdr:rowOff>76200</xdr:rowOff>
    </xdr:from>
    <xdr:to>
      <xdr:col>12</xdr:col>
      <xdr:colOff>161925</xdr:colOff>
      <xdr:row>23</xdr:row>
      <xdr:rowOff>19050</xdr:rowOff>
    </xdr:to>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6467475" y="3886200"/>
          <a:ext cx="1009650" cy="5143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Testing</a:t>
          </a:r>
          <a:r>
            <a:rPr lang="en-US" sz="1100" baseline="0"/>
            <a:t> hour constraint</a:t>
          </a:r>
          <a:endParaRPr lang="en-US" sz="1100"/>
        </a:p>
      </xdr:txBody>
    </xdr:sp>
    <xdr:clientData/>
  </xdr:twoCellAnchor>
  <xdr:twoCellAnchor>
    <xdr:from>
      <xdr:col>9</xdr:col>
      <xdr:colOff>476249</xdr:colOff>
      <xdr:row>25</xdr:row>
      <xdr:rowOff>76200</xdr:rowOff>
    </xdr:from>
    <xdr:to>
      <xdr:col>11</xdr:col>
      <xdr:colOff>333374</xdr:colOff>
      <xdr:row>28</xdr:row>
      <xdr:rowOff>19050</xdr:rowOff>
    </xdr:to>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5962649" y="4838700"/>
          <a:ext cx="1076325" cy="5143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Assembling</a:t>
          </a:r>
          <a:r>
            <a:rPr lang="en-US" sz="1100" baseline="0"/>
            <a:t> hour constraint</a:t>
          </a:r>
          <a:endParaRPr lang="en-US" sz="1100"/>
        </a:p>
      </xdr:txBody>
    </xdr:sp>
    <xdr:clientData/>
  </xdr:twoCellAnchor>
  <xdr:twoCellAnchor>
    <xdr:from>
      <xdr:col>5</xdr:col>
      <xdr:colOff>514349</xdr:colOff>
      <xdr:row>24</xdr:row>
      <xdr:rowOff>142875</xdr:rowOff>
    </xdr:from>
    <xdr:to>
      <xdr:col>7</xdr:col>
      <xdr:colOff>371474</xdr:colOff>
      <xdr:row>27</xdr:row>
      <xdr:rowOff>85725</xdr:rowOff>
    </xdr:to>
    <xdr:sp macro="" textlink="">
      <xdr:nvSpPr>
        <xdr:cNvPr id="56" name="TextBox 55">
          <a:extLst>
            <a:ext uri="{FF2B5EF4-FFF2-40B4-BE49-F238E27FC236}">
              <a16:creationId xmlns:a16="http://schemas.microsoft.com/office/drawing/2014/main" id="{00000000-0008-0000-0100-000038000000}"/>
            </a:ext>
          </a:extLst>
        </xdr:cNvPr>
        <xdr:cNvSpPr txBox="1"/>
      </xdr:nvSpPr>
      <xdr:spPr>
        <a:xfrm>
          <a:off x="3562349" y="4714875"/>
          <a:ext cx="1076325" cy="5143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aseline="0"/>
            <a:t>Basic sales constraint</a:t>
          </a:r>
          <a:endParaRPr lang="en-US" sz="1100"/>
        </a:p>
      </xdr:txBody>
    </xdr:sp>
    <xdr:clientData/>
  </xdr:twoCellAnchor>
  <xdr:twoCellAnchor>
    <xdr:from>
      <xdr:col>2</xdr:col>
      <xdr:colOff>542924</xdr:colOff>
      <xdr:row>12</xdr:row>
      <xdr:rowOff>123825</xdr:rowOff>
    </xdr:from>
    <xdr:to>
      <xdr:col>4</xdr:col>
      <xdr:colOff>104775</xdr:colOff>
      <xdr:row>15</xdr:row>
      <xdr:rowOff>47625</xdr:rowOff>
    </xdr:to>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1762124" y="2409825"/>
          <a:ext cx="781051" cy="4953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aseline="0"/>
            <a:t>XP sales constraint</a:t>
          </a:r>
          <a:endParaRPr lang="en-US" sz="1100"/>
        </a:p>
      </xdr:txBody>
    </xdr:sp>
    <xdr:clientData/>
  </xdr:twoCellAnchor>
  <xdr:twoCellAnchor>
    <xdr:from>
      <xdr:col>7</xdr:col>
      <xdr:colOff>485775</xdr:colOff>
      <xdr:row>15</xdr:row>
      <xdr:rowOff>114301</xdr:rowOff>
    </xdr:from>
    <xdr:to>
      <xdr:col>9</xdr:col>
      <xdr:colOff>295275</xdr:colOff>
      <xdr:row>18</xdr:row>
      <xdr:rowOff>47625</xdr:rowOff>
    </xdr:to>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4752975" y="2971801"/>
          <a:ext cx="1028700" cy="50482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Isoprofit lines (dotted)</a:t>
          </a:r>
        </a:p>
      </xdr:txBody>
    </xdr:sp>
    <xdr:clientData/>
  </xdr:twoCellAnchor>
  <xdr:twoCellAnchor>
    <xdr:from>
      <xdr:col>4</xdr:col>
      <xdr:colOff>457200</xdr:colOff>
      <xdr:row>9</xdr:row>
      <xdr:rowOff>114300</xdr:rowOff>
    </xdr:from>
    <xdr:to>
      <xdr:col>6</xdr:col>
      <xdr:colOff>9525</xdr:colOff>
      <xdr:row>12</xdr:row>
      <xdr:rowOff>19049</xdr:rowOff>
    </xdr:to>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2895600" y="1828800"/>
          <a:ext cx="771525" cy="47624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Optimal solution</a:t>
          </a:r>
        </a:p>
      </xdr:txBody>
    </xdr:sp>
    <xdr:clientData/>
  </xdr:twoCellAnchor>
  <xdr:twoCellAnchor>
    <xdr:from>
      <xdr:col>5</xdr:col>
      <xdr:colOff>233364</xdr:colOff>
      <xdr:row>12</xdr:row>
      <xdr:rowOff>19048</xdr:rowOff>
    </xdr:from>
    <xdr:to>
      <xdr:col>5</xdr:col>
      <xdr:colOff>247654</xdr:colOff>
      <xdr:row>14</xdr:row>
      <xdr:rowOff>142877</xdr:rowOff>
    </xdr:to>
    <xdr:cxnSp macro="">
      <xdr:nvCxnSpPr>
        <xdr:cNvPr id="62" name="Straight Arrow Connector 61">
          <a:extLst>
            <a:ext uri="{FF2B5EF4-FFF2-40B4-BE49-F238E27FC236}">
              <a16:creationId xmlns:a16="http://schemas.microsoft.com/office/drawing/2014/main" id="{00000000-0008-0000-0100-00003E000000}"/>
            </a:ext>
          </a:extLst>
        </xdr:cNvPr>
        <xdr:cNvCxnSpPr>
          <a:stCxn id="60" idx="2"/>
        </xdr:cNvCxnSpPr>
      </xdr:nvCxnSpPr>
      <xdr:spPr>
        <a:xfrm rot="16200000" flipH="1">
          <a:off x="3036094" y="2550318"/>
          <a:ext cx="504829" cy="14290"/>
        </a:xfrm>
        <a:prstGeom prst="straightConnector1">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561975</xdr:colOff>
      <xdr:row>1</xdr:row>
      <xdr:rowOff>171450</xdr:rowOff>
    </xdr:from>
    <xdr:to>
      <xdr:col>3</xdr:col>
      <xdr:colOff>371475</xdr:colOff>
      <xdr:row>3</xdr:row>
      <xdr:rowOff>85725</xdr:rowOff>
    </xdr:to>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171575" y="361950"/>
          <a:ext cx="1028700" cy="2952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XPs produced</a:t>
          </a:r>
        </a:p>
      </xdr:txBody>
    </xdr:sp>
    <xdr:clientData/>
  </xdr:twoCellAnchor>
  <xdr:twoCellAnchor>
    <xdr:from>
      <xdr:col>15</xdr:col>
      <xdr:colOff>314325</xdr:colOff>
      <xdr:row>28</xdr:row>
      <xdr:rowOff>47625</xdr:rowOff>
    </xdr:from>
    <xdr:to>
      <xdr:col>17</xdr:col>
      <xdr:colOff>295275</xdr:colOff>
      <xdr:row>29</xdr:row>
      <xdr:rowOff>152400</xdr:rowOff>
    </xdr:to>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9458325" y="5381625"/>
          <a:ext cx="1200150" cy="2952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Basics produced</a:t>
          </a:r>
        </a:p>
      </xdr:txBody>
    </xdr:sp>
    <xdr:clientData/>
  </xdr:twoCellAnchor>
  <xdr:twoCellAnchor>
    <xdr:from>
      <xdr:col>5</xdr:col>
      <xdr:colOff>381001</xdr:colOff>
      <xdr:row>12</xdr:row>
      <xdr:rowOff>38100</xdr:rowOff>
    </xdr:from>
    <xdr:to>
      <xdr:col>5</xdr:col>
      <xdr:colOff>390526</xdr:colOff>
      <xdr:row>16</xdr:row>
      <xdr:rowOff>9525</xdr:rowOff>
    </xdr:to>
    <xdr:cxnSp macro="">
      <xdr:nvCxnSpPr>
        <xdr:cNvPr id="47" name="Straight Connector 46">
          <a:extLst>
            <a:ext uri="{FF2B5EF4-FFF2-40B4-BE49-F238E27FC236}">
              <a16:creationId xmlns:a16="http://schemas.microsoft.com/office/drawing/2014/main" id="{00000000-0008-0000-0100-00002F000000}"/>
            </a:ext>
          </a:extLst>
        </xdr:cNvPr>
        <xdr:cNvCxnSpPr/>
      </xdr:nvCxnSpPr>
      <xdr:spPr>
        <a:xfrm rot="16200000" flipV="1">
          <a:off x="3067051" y="2686050"/>
          <a:ext cx="733425"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5</xdr:row>
      <xdr:rowOff>0</xdr:rowOff>
    </xdr:from>
    <xdr:to>
      <xdr:col>12</xdr:col>
      <xdr:colOff>476250</xdr:colOff>
      <xdr:row>12</xdr:row>
      <xdr:rowOff>57150</xdr:rowOff>
    </xdr:to>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4876800" y="952500"/>
          <a:ext cx="2914650" cy="1390650"/>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To the left and</a:t>
          </a:r>
          <a:r>
            <a:rPr lang="en-US" sz="1100" baseline="0"/>
            <a:t> below the dark blue line is the feasible region. As the dotted objective line is pushed as far up to the right as possible, the last feasible point it hits is the one shown. In general, the corner point that is optimal depends on the relative slopes of the lines.</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xdr:colOff>
      <xdr:row>18</xdr:row>
      <xdr:rowOff>190499</xdr:rowOff>
    </xdr:from>
    <xdr:to>
      <xdr:col>4</xdr:col>
      <xdr:colOff>133351</xdr:colOff>
      <xdr:row>28</xdr:row>
      <xdr:rowOff>28574</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561976" y="3676649"/>
          <a:ext cx="3257550" cy="1743075"/>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Note</a:t>
          </a:r>
          <a:r>
            <a:rPr lang="en-US" sz="1100" baseline="0"/>
            <a:t> that the reduced cost for a changing cell at its upper bound (yellow cell) indicates how much worse the coefficient of this changing cell would have to be before the value would decrease from its upper bound. Similarly, any shadow price for a binding constraint (green cell) indicates how much better the objective would be if we had one more unit of that resource.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10</xdr:col>
      <xdr:colOff>0</xdr:colOff>
      <xdr:row>14</xdr:row>
      <xdr:rowOff>0</xdr:rowOff>
    </xdr:from>
    <xdr:to>
      <xdr:col>18</xdr:col>
      <xdr:colOff>0</xdr:colOff>
      <xdr:row>29</xdr:row>
      <xdr:rowOff>0</xdr:rowOff>
    </xdr:to>
    <xdr:graphicFrame macro="">
      <xdr:nvGraphicFramePr>
        <xdr:cNvPr id="2" name="STS_1_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0</xdr:colOff>
      <xdr:row>3</xdr:row>
      <xdr:rowOff>0</xdr:rowOff>
    </xdr:from>
    <xdr:to>
      <xdr:col>16</xdr:col>
      <xdr:colOff>0</xdr:colOff>
      <xdr:row>3</xdr:row>
      <xdr:rowOff>762000</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7315200" y="571500"/>
          <a:ext cx="2438400" cy="762000"/>
        </a:xfrm>
        <a:prstGeom prst="rect">
          <a:avLst/>
        </a:prstGeom>
        <a:solidFill>
          <a:schemeClr val="lt1"/>
        </a:solidFill>
        <a:ln w="15875" cap="flat" cmpd="sng" algn="ctr">
          <a:solidFill>
            <a:schemeClr val="accent1">
              <a:lumMod val="10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When you select an output from the dropdown list in cell $K$4, the chart will adapt to that output.</a:t>
          </a:r>
        </a:p>
      </xdr:txBody>
    </xdr:sp>
    <xdr:clientData/>
  </xdr:twoCellAnchor>
  <xdr:twoCellAnchor>
    <xdr:from>
      <xdr:col>1</xdr:col>
      <xdr:colOff>0</xdr:colOff>
      <xdr:row>14</xdr:row>
      <xdr:rowOff>0</xdr:rowOff>
    </xdr:from>
    <xdr:to>
      <xdr:col>6</xdr:col>
      <xdr:colOff>161925</xdr:colOff>
      <xdr:row>21</xdr:row>
      <xdr:rowOff>9525</xdr:rowOff>
    </xdr:to>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609600" y="3933825"/>
          <a:ext cx="3209925" cy="1343025"/>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Columns B and C indicate how the optimal product mix</a:t>
          </a:r>
          <a:r>
            <a:rPr lang="en-US" sz="1100" baseline="0"/>
            <a:t> changes as the selling price of XPs increases. It is often useful to calculate the increases in the objective, as done in column D. These increases are essentially shadow prices with respect to the input variable being varied.</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10</xdr:col>
      <xdr:colOff>0</xdr:colOff>
      <xdr:row>14</xdr:row>
      <xdr:rowOff>0</xdr:rowOff>
    </xdr:from>
    <xdr:to>
      <xdr:col>18</xdr:col>
      <xdr:colOff>0</xdr:colOff>
      <xdr:row>29</xdr:row>
      <xdr:rowOff>0</xdr:rowOff>
    </xdr:to>
    <xdr:graphicFrame macro="">
      <xdr:nvGraphicFramePr>
        <xdr:cNvPr id="2" name="STS_2_Chart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0</xdr:colOff>
      <xdr:row>14</xdr:row>
      <xdr:rowOff>0</xdr:rowOff>
    </xdr:from>
    <xdr:to>
      <xdr:col>27</xdr:col>
      <xdr:colOff>0</xdr:colOff>
      <xdr:row>29</xdr:row>
      <xdr:rowOff>0</xdr:rowOff>
    </xdr:to>
    <xdr:graphicFrame macro="">
      <xdr:nvGraphicFramePr>
        <xdr:cNvPr id="3" name="STS_2_Chart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18</xdr:col>
      <xdr:colOff>0</xdr:colOff>
      <xdr:row>3</xdr:row>
      <xdr:rowOff>0</xdr:rowOff>
    </xdr:from>
    <xdr:to>
      <xdr:col>24</xdr:col>
      <xdr:colOff>0</xdr:colOff>
      <xdr:row>3</xdr:row>
      <xdr:rowOff>1333500</xdr:rowOff>
    </xdr:to>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11820525" y="571500"/>
          <a:ext cx="3657600" cy="1333500"/>
        </a:xfrm>
        <a:prstGeom prst="rect">
          <a:avLst/>
        </a:prstGeom>
        <a:solidFill>
          <a:schemeClr val="lt1"/>
        </a:solidFill>
        <a:ln w="15875" cap="flat" cmpd="sng" algn="ctr">
          <a:solidFill>
            <a:schemeClr val="accent1">
              <a:lumMod val="10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By making appropriate selections in cells $K$4, $L$4, $O$4, and $P$4, you can chart any row (in left chart) or column (in right chart) of any table to the left.</a:t>
          </a:r>
        </a:p>
      </xdr:txBody>
    </xdr:sp>
    <xdr:clientData/>
  </xdr:twoCellAnchor>
  <xdr:twoCellAnchor>
    <xdr:from>
      <xdr:col>1</xdr:col>
      <xdr:colOff>438150</xdr:colOff>
      <xdr:row>3</xdr:row>
      <xdr:rowOff>161925</xdr:rowOff>
    </xdr:from>
    <xdr:to>
      <xdr:col>6</xdr:col>
      <xdr:colOff>123825</xdr:colOff>
      <xdr:row>3</xdr:row>
      <xdr:rowOff>1114425</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1895475" y="733425"/>
          <a:ext cx="2733675" cy="952500"/>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Remember</a:t>
          </a:r>
          <a:r>
            <a:rPr lang="en-US" sz="1100" baseline="0"/>
            <a:t> that in a two-way SolverTable, there is a separate table for each output designated. The charts allow you to graph any row or column of any of the tables.</a:t>
          </a:r>
          <a:endParaRPr lang="en-US" sz="1100"/>
        </a:p>
      </xdr:txBody>
    </xdr:sp>
    <xdr:clientData/>
  </xdr:twoCellAnchor>
  <xdr:twoCellAnchor>
    <xdr:from>
      <xdr:col>17</xdr:col>
      <xdr:colOff>609599</xdr:colOff>
      <xdr:row>4</xdr:row>
      <xdr:rowOff>123825</xdr:rowOff>
    </xdr:from>
    <xdr:to>
      <xdr:col>24</xdr:col>
      <xdr:colOff>571500</xdr:colOff>
      <xdr:row>12</xdr:row>
      <xdr:rowOff>133350</xdr:rowOff>
    </xdr:to>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11820524" y="2152650"/>
          <a:ext cx="4229101" cy="1533525"/>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Expanding on the "generic" message above,</a:t>
          </a:r>
          <a:r>
            <a:rPr lang="en-US" sz="1100" baseline="0"/>
            <a:t> y</a:t>
          </a:r>
          <a:r>
            <a:rPr lang="en-US" sz="1100"/>
            <a:t>ou can create two charts. Whe you make selections from the dropdown lists in cells $K$4 and $L$4, you get a chart  of your selected output versus values of Testing hours for your selected value of Assembling hours. When you make selections from the dropdown lists in cells $O$4 and $P$4, you get a chart of your selected output versus values of Assembling hours for your selected value of Testing hours.</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10</xdr:col>
      <xdr:colOff>0</xdr:colOff>
      <xdr:row>12</xdr:row>
      <xdr:rowOff>0</xdr:rowOff>
    </xdr:from>
    <xdr:to>
      <xdr:col>18</xdr:col>
      <xdr:colOff>0</xdr:colOff>
      <xdr:row>27</xdr:row>
      <xdr:rowOff>0</xdr:rowOff>
    </xdr:to>
    <xdr:graphicFrame macro="">
      <xdr:nvGraphicFramePr>
        <xdr:cNvPr id="2" name="STS_3_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0</xdr:colOff>
      <xdr:row>3</xdr:row>
      <xdr:rowOff>0</xdr:rowOff>
    </xdr:from>
    <xdr:to>
      <xdr:col>16</xdr:col>
      <xdr:colOff>0</xdr:colOff>
      <xdr:row>3</xdr:row>
      <xdr:rowOff>762000</xdr:rowOff>
    </xdr:to>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7315200" y="571500"/>
          <a:ext cx="2438400" cy="762000"/>
        </a:xfrm>
        <a:prstGeom prst="rect">
          <a:avLst/>
        </a:prstGeom>
        <a:solidFill>
          <a:schemeClr val="lt1"/>
        </a:solidFill>
        <a:ln w="15875" cap="flat" cmpd="sng" algn="ctr">
          <a:solidFill>
            <a:schemeClr val="accent1">
              <a:lumMod val="10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When you select an output from the dropdown list in cell $K$4, the chart will adapt to that output.</a:t>
          </a:r>
        </a:p>
      </xdr:txBody>
    </xdr:sp>
    <xdr:clientData/>
  </xdr:twoCellAnchor>
  <xdr:twoCellAnchor>
    <xdr:from>
      <xdr:col>1</xdr:col>
      <xdr:colOff>0</xdr:colOff>
      <xdr:row>11</xdr:row>
      <xdr:rowOff>190499</xdr:rowOff>
    </xdr:from>
    <xdr:to>
      <xdr:col>4</xdr:col>
      <xdr:colOff>209550</xdr:colOff>
      <xdr:row>16</xdr:row>
      <xdr:rowOff>28574</xdr:rowOff>
    </xdr:to>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609600" y="3552824"/>
          <a:ext cx="2038350" cy="790575"/>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Note that the percentage</a:t>
          </a:r>
          <a:r>
            <a:rPr lang="en-US" sz="1100" baseline="0"/>
            <a:t> changes in column A are for </a:t>
          </a:r>
          <a:r>
            <a:rPr lang="en-US" sz="1100" i="1" baseline="0"/>
            <a:t>both </a:t>
          </a:r>
          <a:r>
            <a:rPr lang="en-US" sz="1100" i="0" baseline="0"/>
            <a:t>maximum sales values.</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25"/>
  <sheetViews>
    <sheetView workbookViewId="0">
      <selection activeCell="C12" sqref="C12"/>
    </sheetView>
  </sheetViews>
  <sheetFormatPr baseColWidth="10" defaultColWidth="8.83203125" defaultRowHeight="15" x14ac:dyDescent="0.2"/>
  <cols>
    <col min="1" max="1" width="31" customWidth="1"/>
    <col min="2" max="2" width="10.83203125" bestFit="1" customWidth="1"/>
    <col min="5" max="5" width="19.6640625" bestFit="1" customWidth="1"/>
  </cols>
  <sheetData>
    <row r="1" spans="1:6" x14ac:dyDescent="0.2">
      <c r="A1" s="1" t="s">
        <v>0</v>
      </c>
      <c r="E1" s="1" t="s">
        <v>20</v>
      </c>
    </row>
    <row r="2" spans="1:6" x14ac:dyDescent="0.2">
      <c r="E2" s="10" t="s">
        <v>71</v>
      </c>
      <c r="F2" s="10" t="s">
        <v>21</v>
      </c>
    </row>
    <row r="3" spans="1:6" x14ac:dyDescent="0.2">
      <c r="A3" t="s">
        <v>11</v>
      </c>
      <c r="B3" s="5">
        <v>11</v>
      </c>
      <c r="E3" s="10" t="s">
        <v>72</v>
      </c>
      <c r="F3" s="10" t="s">
        <v>22</v>
      </c>
    </row>
    <row r="4" spans="1:6" x14ac:dyDescent="0.2">
      <c r="A4" t="s">
        <v>12</v>
      </c>
      <c r="B4" s="5">
        <v>15</v>
      </c>
      <c r="E4" s="10" t="s">
        <v>23</v>
      </c>
      <c r="F4" s="10" t="s">
        <v>24</v>
      </c>
    </row>
    <row r="5" spans="1:6" x14ac:dyDescent="0.2">
      <c r="E5" s="10" t="s">
        <v>25</v>
      </c>
      <c r="F5" s="10" t="s">
        <v>26</v>
      </c>
    </row>
    <row r="6" spans="1:6" x14ac:dyDescent="0.2">
      <c r="A6" t="s">
        <v>3</v>
      </c>
      <c r="E6" s="10" t="s">
        <v>27</v>
      </c>
      <c r="F6" s="10" t="s">
        <v>28</v>
      </c>
    </row>
    <row r="7" spans="1:6" x14ac:dyDescent="0.2">
      <c r="B7" s="2" t="s">
        <v>1</v>
      </c>
      <c r="C7" s="2" t="s">
        <v>2</v>
      </c>
    </row>
    <row r="8" spans="1:6" x14ac:dyDescent="0.2">
      <c r="A8" t="s">
        <v>4</v>
      </c>
      <c r="B8" s="3">
        <v>5</v>
      </c>
      <c r="C8" s="3">
        <v>6</v>
      </c>
    </row>
    <row r="9" spans="1:6" x14ac:dyDescent="0.2">
      <c r="A9" t="s">
        <v>5</v>
      </c>
      <c r="B9" s="3">
        <v>1</v>
      </c>
      <c r="C9" s="3">
        <v>2</v>
      </c>
    </row>
    <row r="10" spans="1:6" x14ac:dyDescent="0.2">
      <c r="A10" t="s">
        <v>6</v>
      </c>
      <c r="B10" s="5">
        <v>150</v>
      </c>
      <c r="C10" s="5">
        <v>225</v>
      </c>
    </row>
    <row r="11" spans="1:6" x14ac:dyDescent="0.2">
      <c r="A11" t="s">
        <v>7</v>
      </c>
      <c r="B11" s="5">
        <v>300</v>
      </c>
      <c r="C11" s="5">
        <v>450</v>
      </c>
    </row>
    <row r="12" spans="1:6" x14ac:dyDescent="0.2">
      <c r="A12" t="s">
        <v>8</v>
      </c>
      <c r="B12" s="6">
        <f>B11-B8*$B$3-B9*$B$4-B10</f>
        <v>80</v>
      </c>
      <c r="C12" s="6">
        <f>C11-C8*$B$3-C9*$B$4-C10</f>
        <v>129</v>
      </c>
    </row>
    <row r="14" spans="1:6" x14ac:dyDescent="0.2">
      <c r="A14" t="s">
        <v>9</v>
      </c>
    </row>
    <row r="15" spans="1:6" x14ac:dyDescent="0.2">
      <c r="B15" s="2" t="s">
        <v>1</v>
      </c>
      <c r="C15" s="2" t="s">
        <v>2</v>
      </c>
    </row>
    <row r="16" spans="1:6" x14ac:dyDescent="0.2">
      <c r="A16" t="s">
        <v>17</v>
      </c>
      <c r="B16" s="4">
        <v>560</v>
      </c>
      <c r="C16" s="4">
        <v>1200</v>
      </c>
    </row>
    <row r="17" spans="1:4" x14ac:dyDescent="0.2">
      <c r="B17" s="9" t="s">
        <v>15</v>
      </c>
      <c r="C17" s="9" t="s">
        <v>15</v>
      </c>
    </row>
    <row r="18" spans="1:4" x14ac:dyDescent="0.2">
      <c r="A18" t="s">
        <v>18</v>
      </c>
      <c r="B18" s="3">
        <v>600</v>
      </c>
      <c r="C18" s="3">
        <v>1200</v>
      </c>
    </row>
    <row r="20" spans="1:4" x14ac:dyDescent="0.2">
      <c r="A20" t="s">
        <v>16</v>
      </c>
      <c r="B20" s="2" t="s">
        <v>69</v>
      </c>
      <c r="C20" s="2"/>
      <c r="D20" s="22" t="s">
        <v>70</v>
      </c>
    </row>
    <row r="21" spans="1:4" x14ac:dyDescent="0.2">
      <c r="A21" t="s">
        <v>13</v>
      </c>
      <c r="B21">
        <f>SUMPRODUCT(B8:C8,Number_to_produce)</f>
        <v>10000</v>
      </c>
      <c r="C21" s="8" t="s">
        <v>15</v>
      </c>
      <c r="D21" s="3">
        <v>10000</v>
      </c>
    </row>
    <row r="22" spans="1:4" x14ac:dyDescent="0.2">
      <c r="A22" t="s">
        <v>14</v>
      </c>
      <c r="B22">
        <f>SUMPRODUCT(B9:C9,Number_to_produce)</f>
        <v>2960</v>
      </c>
      <c r="C22" s="8" t="s">
        <v>15</v>
      </c>
      <c r="D22" s="3">
        <v>3000</v>
      </c>
    </row>
    <row r="24" spans="1:4" x14ac:dyDescent="0.2">
      <c r="A24" t="s">
        <v>19</v>
      </c>
      <c r="B24" s="2" t="s">
        <v>1</v>
      </c>
      <c r="C24" s="2" t="s">
        <v>2</v>
      </c>
      <c r="D24" s="2" t="s">
        <v>10</v>
      </c>
    </row>
    <row r="25" spans="1:4" x14ac:dyDescent="0.2">
      <c r="B25" s="6">
        <f>B12*B16</f>
        <v>44800</v>
      </c>
      <c r="C25" s="6">
        <f>C12*C16</f>
        <v>154800</v>
      </c>
      <c r="D25" s="7">
        <f>SUM(B25:C25)</f>
        <v>199600</v>
      </c>
    </row>
  </sheetData>
  <printOptions headings="1" gridLines="1"/>
  <pageMargins left="0.7" right="0.7" top="0.75" bottom="0.75" header="0.3" footer="0.3"/>
  <pageSetup scale="8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7C4DA-33BD-A743-BBB9-7D0EE669F873}">
  <dimension ref="A1:G30"/>
  <sheetViews>
    <sheetView showGridLines="0" topLeftCell="A9" zoomScale="150" workbookViewId="0">
      <selection activeCell="D16" sqref="D16"/>
    </sheetView>
  </sheetViews>
  <sheetFormatPr baseColWidth="10" defaultRowHeight="15" x14ac:dyDescent="0.2"/>
  <cols>
    <col min="1" max="1" width="2.33203125" customWidth="1"/>
    <col min="2" max="2" width="6.1640625" bestFit="1" customWidth="1"/>
    <col min="3" max="3" width="34.6640625" bestFit="1" customWidth="1"/>
    <col min="4" max="4" width="12" bestFit="1" customWidth="1"/>
    <col min="5" max="5" width="13" bestFit="1" customWidth="1"/>
    <col min="6" max="6" width="10.1640625" bestFit="1" customWidth="1"/>
    <col min="7" max="7" width="5" bestFit="1" customWidth="1"/>
  </cols>
  <sheetData>
    <row r="1" spans="1:5" x14ac:dyDescent="0.2">
      <c r="A1" s="1" t="s">
        <v>89</v>
      </c>
    </row>
    <row r="2" spans="1:5" x14ac:dyDescent="0.2">
      <c r="A2" s="1" t="s">
        <v>90</v>
      </c>
    </row>
    <row r="3" spans="1:5" x14ac:dyDescent="0.2">
      <c r="A3" s="1" t="s">
        <v>91</v>
      </c>
    </row>
    <row r="4" spans="1:5" x14ac:dyDescent="0.2">
      <c r="A4" s="1" t="s">
        <v>92</v>
      </c>
    </row>
    <row r="5" spans="1:5" x14ac:dyDescent="0.2">
      <c r="A5" s="1" t="s">
        <v>93</v>
      </c>
    </row>
    <row r="6" spans="1:5" x14ac:dyDescent="0.2">
      <c r="A6" s="1"/>
      <c r="B6" t="s">
        <v>94</v>
      </c>
    </row>
    <row r="7" spans="1:5" x14ac:dyDescent="0.2">
      <c r="A7" s="1"/>
      <c r="B7" t="s">
        <v>95</v>
      </c>
    </row>
    <row r="8" spans="1:5" x14ac:dyDescent="0.2">
      <c r="A8" s="1"/>
      <c r="B8" t="s">
        <v>96</v>
      </c>
    </row>
    <row r="9" spans="1:5" x14ac:dyDescent="0.2">
      <c r="A9" s="1" t="s">
        <v>97</v>
      </c>
    </row>
    <row r="10" spans="1:5" x14ac:dyDescent="0.2">
      <c r="B10" t="s">
        <v>98</v>
      </c>
    </row>
    <row r="11" spans="1:5" x14ac:dyDescent="0.2">
      <c r="B11" t="s">
        <v>99</v>
      </c>
    </row>
    <row r="14" spans="1:5" ht="16" thickBot="1" x14ac:dyDescent="0.25">
      <c r="A14" t="s">
        <v>100</v>
      </c>
    </row>
    <row r="15" spans="1:5" ht="16" thickBot="1" x14ac:dyDescent="0.25">
      <c r="B15" s="41" t="s">
        <v>30</v>
      </c>
      <c r="C15" s="41" t="s">
        <v>31</v>
      </c>
      <c r="D15" s="41" t="s">
        <v>101</v>
      </c>
      <c r="E15" s="41" t="s">
        <v>102</v>
      </c>
    </row>
    <row r="16" spans="1:5" ht="16" thickBot="1" x14ac:dyDescent="0.25">
      <c r="B16" s="12" t="s">
        <v>108</v>
      </c>
      <c r="C16" s="12" t="s">
        <v>27</v>
      </c>
      <c r="D16" s="42">
        <v>199600</v>
      </c>
      <c r="E16" s="42">
        <v>199600</v>
      </c>
    </row>
    <row r="19" spans="1:7" ht="16" thickBot="1" x14ac:dyDescent="0.25">
      <c r="A19" t="s">
        <v>29</v>
      </c>
    </row>
    <row r="20" spans="1:7" ht="16" thickBot="1" x14ac:dyDescent="0.25">
      <c r="B20" s="41" t="s">
        <v>30</v>
      </c>
      <c r="C20" s="41" t="s">
        <v>31</v>
      </c>
      <c r="D20" s="41" t="s">
        <v>101</v>
      </c>
      <c r="E20" s="41" t="s">
        <v>102</v>
      </c>
      <c r="F20" s="41" t="s">
        <v>103</v>
      </c>
    </row>
    <row r="21" spans="1:7" x14ac:dyDescent="0.2">
      <c r="B21" s="11" t="s">
        <v>46</v>
      </c>
      <c r="C21" s="11" t="s">
        <v>47</v>
      </c>
      <c r="D21" s="43">
        <v>560</v>
      </c>
      <c r="E21" s="43">
        <v>560</v>
      </c>
      <c r="F21" s="11" t="s">
        <v>109</v>
      </c>
    </row>
    <row r="22" spans="1:7" ht="16" thickBot="1" x14ac:dyDescent="0.25">
      <c r="B22" s="12" t="s">
        <v>48</v>
      </c>
      <c r="C22" s="12" t="s">
        <v>49</v>
      </c>
      <c r="D22" s="44">
        <v>1200</v>
      </c>
      <c r="E22" s="44">
        <v>1200</v>
      </c>
      <c r="F22" s="12" t="s">
        <v>109</v>
      </c>
    </row>
    <row r="25" spans="1:7" ht="16" thickBot="1" x14ac:dyDescent="0.25">
      <c r="A25" t="s">
        <v>41</v>
      </c>
    </row>
    <row r="26" spans="1:7" ht="16" thickBot="1" x14ac:dyDescent="0.25">
      <c r="B26" s="41" t="s">
        <v>30</v>
      </c>
      <c r="C26" s="41" t="s">
        <v>31</v>
      </c>
      <c r="D26" s="41" t="s">
        <v>104</v>
      </c>
      <c r="E26" s="41" t="s">
        <v>105</v>
      </c>
      <c r="F26" s="41" t="s">
        <v>106</v>
      </c>
      <c r="G26" s="41" t="s">
        <v>107</v>
      </c>
    </row>
    <row r="27" spans="1:7" x14ac:dyDescent="0.2">
      <c r="B27" s="11" t="s">
        <v>50</v>
      </c>
      <c r="C27" s="11" t="s">
        <v>87</v>
      </c>
      <c r="D27" s="43">
        <v>10000</v>
      </c>
      <c r="E27" s="11" t="s">
        <v>110</v>
      </c>
      <c r="F27" s="11" t="s">
        <v>111</v>
      </c>
      <c r="G27" s="11">
        <v>0</v>
      </c>
    </row>
    <row r="28" spans="1:7" x14ac:dyDescent="0.2">
      <c r="B28" s="11" t="s">
        <v>51</v>
      </c>
      <c r="C28" s="11" t="s">
        <v>88</v>
      </c>
      <c r="D28" s="43">
        <v>2960</v>
      </c>
      <c r="E28" s="11" t="s">
        <v>112</v>
      </c>
      <c r="F28" s="11" t="s">
        <v>113</v>
      </c>
      <c r="G28" s="11">
        <v>40</v>
      </c>
    </row>
    <row r="29" spans="1:7" x14ac:dyDescent="0.2">
      <c r="B29" s="11" t="s">
        <v>46</v>
      </c>
      <c r="C29" s="11" t="s">
        <v>47</v>
      </c>
      <c r="D29" s="43">
        <v>560</v>
      </c>
      <c r="E29" s="11" t="s">
        <v>114</v>
      </c>
      <c r="F29" s="11" t="s">
        <v>113</v>
      </c>
      <c r="G29" s="11">
        <v>40</v>
      </c>
    </row>
    <row r="30" spans="1:7" ht="16" thickBot="1" x14ac:dyDescent="0.25">
      <c r="B30" s="12" t="s">
        <v>48</v>
      </c>
      <c r="C30" s="12" t="s">
        <v>49</v>
      </c>
      <c r="D30" s="44">
        <v>1200</v>
      </c>
      <c r="E30" s="12" t="s">
        <v>115</v>
      </c>
      <c r="F30" s="12" t="s">
        <v>111</v>
      </c>
      <c r="G30" s="1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A010E-721B-3C4E-BB80-EFF68E85D088}">
  <dimension ref="A1:H16"/>
  <sheetViews>
    <sheetView showGridLines="0" zoomScale="168" workbookViewId="0">
      <selection activeCell="K10" sqref="K10"/>
    </sheetView>
  </sheetViews>
  <sheetFormatPr baseColWidth="10" defaultRowHeight="15" x14ac:dyDescent="0.2"/>
  <cols>
    <col min="1" max="1" width="2.33203125" customWidth="1"/>
    <col min="2" max="2" width="6.1640625" bestFit="1" customWidth="1"/>
    <col min="3" max="3" width="34.6640625" bestFit="1" customWidth="1"/>
    <col min="4" max="4" width="6.1640625" bestFit="1" customWidth="1"/>
    <col min="5" max="5" width="8" bestFit="1" customWidth="1"/>
    <col min="6" max="6" width="9.6640625" bestFit="1" customWidth="1"/>
    <col min="7" max="8" width="9" bestFit="1" customWidth="1"/>
  </cols>
  <sheetData>
    <row r="1" spans="1:8" x14ac:dyDescent="0.2">
      <c r="A1" s="1" t="s">
        <v>116</v>
      </c>
    </row>
    <row r="2" spans="1:8" x14ac:dyDescent="0.2">
      <c r="A2" s="1" t="s">
        <v>90</v>
      </c>
    </row>
    <row r="3" spans="1:8" x14ac:dyDescent="0.2">
      <c r="A3" s="1" t="s">
        <v>91</v>
      </c>
    </row>
    <row r="6" spans="1:8" ht="16" thickBot="1" x14ac:dyDescent="0.25">
      <c r="A6" t="s">
        <v>29</v>
      </c>
    </row>
    <row r="7" spans="1:8" x14ac:dyDescent="0.2">
      <c r="B7" s="45"/>
      <c r="C7" s="45"/>
      <c r="D7" s="45" t="s">
        <v>32</v>
      </c>
      <c r="E7" s="45" t="s">
        <v>34</v>
      </c>
      <c r="F7" s="45" t="s">
        <v>36</v>
      </c>
      <c r="G7" s="45" t="s">
        <v>38</v>
      </c>
      <c r="H7" s="45" t="s">
        <v>38</v>
      </c>
    </row>
    <row r="8" spans="1:8" ht="16" thickBot="1" x14ac:dyDescent="0.25">
      <c r="B8" s="46" t="s">
        <v>30</v>
      </c>
      <c r="C8" s="46" t="s">
        <v>31</v>
      </c>
      <c r="D8" s="46" t="s">
        <v>33</v>
      </c>
      <c r="E8" s="46" t="s">
        <v>35</v>
      </c>
      <c r="F8" s="46" t="s">
        <v>37</v>
      </c>
      <c r="G8" s="46" t="s">
        <v>39</v>
      </c>
      <c r="H8" s="46" t="s">
        <v>40</v>
      </c>
    </row>
    <row r="9" spans="1:8" x14ac:dyDescent="0.2">
      <c r="B9" s="11" t="s">
        <v>46</v>
      </c>
      <c r="C9" s="11" t="s">
        <v>47</v>
      </c>
      <c r="D9" s="11">
        <v>560</v>
      </c>
      <c r="E9" s="11">
        <v>0</v>
      </c>
      <c r="F9" s="11">
        <v>80</v>
      </c>
      <c r="G9" s="11">
        <v>27.499999999999986</v>
      </c>
      <c r="H9" s="11">
        <v>80</v>
      </c>
    </row>
    <row r="10" spans="1:8" ht="16" thickBot="1" x14ac:dyDescent="0.25">
      <c r="B10" s="12" t="s">
        <v>48</v>
      </c>
      <c r="C10" s="12" t="s">
        <v>49</v>
      </c>
      <c r="D10" s="12">
        <v>1200</v>
      </c>
      <c r="E10" s="12">
        <v>32.999999999999986</v>
      </c>
      <c r="F10" s="12">
        <v>129</v>
      </c>
      <c r="G10" s="12">
        <v>1E+30</v>
      </c>
      <c r="H10" s="12">
        <v>32.999999999999986</v>
      </c>
    </row>
    <row r="12" spans="1:8" ht="16" thickBot="1" x14ac:dyDescent="0.25">
      <c r="A12" t="s">
        <v>41</v>
      </c>
    </row>
    <row r="13" spans="1:8" x14ac:dyDescent="0.2">
      <c r="B13" s="45"/>
      <c r="C13" s="45"/>
      <c r="D13" s="45" t="s">
        <v>32</v>
      </c>
      <c r="E13" s="45" t="s">
        <v>42</v>
      </c>
      <c r="F13" s="45" t="s">
        <v>44</v>
      </c>
      <c r="G13" s="45" t="s">
        <v>38</v>
      </c>
      <c r="H13" s="45" t="s">
        <v>38</v>
      </c>
    </row>
    <row r="14" spans="1:8" ht="16" thickBot="1" x14ac:dyDescent="0.25">
      <c r="B14" s="46" t="s">
        <v>30</v>
      </c>
      <c r="C14" s="46" t="s">
        <v>31</v>
      </c>
      <c r="D14" s="46" t="s">
        <v>33</v>
      </c>
      <c r="E14" s="46" t="s">
        <v>43</v>
      </c>
      <c r="F14" s="46" t="s">
        <v>45</v>
      </c>
      <c r="G14" s="46" t="s">
        <v>39</v>
      </c>
      <c r="H14" s="46" t="s">
        <v>40</v>
      </c>
    </row>
    <row r="15" spans="1:8" x14ac:dyDescent="0.2">
      <c r="B15" s="11" t="s">
        <v>50</v>
      </c>
      <c r="C15" s="11" t="s">
        <v>87</v>
      </c>
      <c r="D15" s="11">
        <v>10000</v>
      </c>
      <c r="E15" s="11">
        <v>16</v>
      </c>
      <c r="F15" s="11">
        <v>10000</v>
      </c>
      <c r="G15" s="11">
        <v>200</v>
      </c>
      <c r="H15" s="11">
        <v>2800</v>
      </c>
    </row>
    <row r="16" spans="1:8" ht="16" thickBot="1" x14ac:dyDescent="0.25">
      <c r="B16" s="12" t="s">
        <v>51</v>
      </c>
      <c r="C16" s="12" t="s">
        <v>88</v>
      </c>
      <c r="D16" s="12">
        <v>2960</v>
      </c>
      <c r="E16" s="12">
        <v>0</v>
      </c>
      <c r="F16" s="12">
        <v>3000</v>
      </c>
      <c r="G16" s="12">
        <v>1E+30</v>
      </c>
      <c r="H16" s="12">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59F60-DF8D-EA46-A3A2-B206A72884C6}">
  <dimension ref="A1:J14"/>
  <sheetViews>
    <sheetView showGridLines="0" tabSelected="1" zoomScale="200" workbookViewId="0">
      <selection sqref="A1:A3"/>
    </sheetView>
  </sheetViews>
  <sheetFormatPr baseColWidth="10" defaultRowHeight="15" x14ac:dyDescent="0.2"/>
  <cols>
    <col min="1" max="1" width="2.33203125" customWidth="1"/>
    <col min="2" max="2" width="6.33203125" bestFit="1" customWidth="1"/>
    <col min="3" max="3" width="20.33203125" bestFit="1" customWidth="1"/>
    <col min="4" max="4" width="8.6640625" bestFit="1" customWidth="1"/>
    <col min="5" max="5" width="2.33203125" customWidth="1"/>
    <col min="6" max="6" width="6" bestFit="1" customWidth="1"/>
    <col min="7" max="7" width="8.6640625" bestFit="1" customWidth="1"/>
    <col min="8" max="8" width="2.33203125" customWidth="1"/>
    <col min="9" max="9" width="6.1640625" bestFit="1" customWidth="1"/>
    <col min="10" max="10" width="8.6640625" bestFit="1" customWidth="1"/>
  </cols>
  <sheetData>
    <row r="1" spans="1:10" x14ac:dyDescent="0.2">
      <c r="A1" s="1" t="s">
        <v>117</v>
      </c>
    </row>
    <row r="2" spans="1:10" x14ac:dyDescent="0.2">
      <c r="A2" s="1" t="s">
        <v>90</v>
      </c>
    </row>
    <row r="3" spans="1:10" x14ac:dyDescent="0.2">
      <c r="A3" s="1" t="s">
        <v>91</v>
      </c>
    </row>
    <row r="5" spans="1:10" ht="16" thickBot="1" x14ac:dyDescent="0.25"/>
    <row r="6" spans="1:10" x14ac:dyDescent="0.2">
      <c r="B6" s="45"/>
      <c r="C6" s="45" t="s">
        <v>36</v>
      </c>
      <c r="D6" s="45"/>
    </row>
    <row r="7" spans="1:10" ht="16" thickBot="1" x14ac:dyDescent="0.25">
      <c r="B7" s="46" t="s">
        <v>30</v>
      </c>
      <c r="C7" s="46" t="s">
        <v>31</v>
      </c>
      <c r="D7" s="46" t="s">
        <v>33</v>
      </c>
    </row>
    <row r="8" spans="1:10" ht="16" thickBot="1" x14ac:dyDescent="0.25">
      <c r="B8" s="12" t="s">
        <v>108</v>
      </c>
      <c r="C8" s="12" t="s">
        <v>27</v>
      </c>
      <c r="D8" s="42">
        <v>199600</v>
      </c>
    </row>
    <row r="10" spans="1:10" ht="16" thickBot="1" x14ac:dyDescent="0.25"/>
    <row r="11" spans="1:10" x14ac:dyDescent="0.2">
      <c r="B11" s="45"/>
      <c r="C11" s="45" t="s">
        <v>118</v>
      </c>
      <c r="D11" s="45"/>
      <c r="F11" s="45" t="s">
        <v>119</v>
      </c>
      <c r="G11" s="45" t="s">
        <v>36</v>
      </c>
      <c r="I11" s="45" t="s">
        <v>122</v>
      </c>
      <c r="J11" s="45" t="s">
        <v>36</v>
      </c>
    </row>
    <row r="12" spans="1:10" ht="16" thickBot="1" x14ac:dyDescent="0.25">
      <c r="B12" s="46" t="s">
        <v>30</v>
      </c>
      <c r="C12" s="46" t="s">
        <v>31</v>
      </c>
      <c r="D12" s="46" t="s">
        <v>33</v>
      </c>
      <c r="F12" s="46" t="s">
        <v>120</v>
      </c>
      <c r="G12" s="46" t="s">
        <v>121</v>
      </c>
      <c r="I12" s="46" t="s">
        <v>120</v>
      </c>
      <c r="J12" s="46" t="s">
        <v>121</v>
      </c>
    </row>
    <row r="13" spans="1:10" x14ac:dyDescent="0.2">
      <c r="B13" s="11" t="s">
        <v>46</v>
      </c>
      <c r="C13" s="11" t="s">
        <v>47</v>
      </c>
      <c r="D13" s="43">
        <v>560</v>
      </c>
      <c r="F13" s="43">
        <v>0</v>
      </c>
      <c r="G13" s="47">
        <v>85</v>
      </c>
      <c r="I13" s="43">
        <v>250</v>
      </c>
      <c r="J13" s="47">
        <v>18835</v>
      </c>
    </row>
    <row r="14" spans="1:10" ht="16" thickBot="1" x14ac:dyDescent="0.25">
      <c r="B14" s="12" t="s">
        <v>48</v>
      </c>
      <c r="C14" s="12" t="s">
        <v>49</v>
      </c>
      <c r="D14" s="44">
        <v>1200</v>
      </c>
      <c r="F14" s="44">
        <v>0</v>
      </c>
      <c r="G14" s="42">
        <v>110</v>
      </c>
      <c r="I14" s="44">
        <v>398.5</v>
      </c>
      <c r="J14" s="42">
        <v>20035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pageSetUpPr fitToPage="1"/>
  </sheetPr>
  <dimension ref="A1:G25"/>
  <sheetViews>
    <sheetView workbookViewId="0"/>
  </sheetViews>
  <sheetFormatPr baseColWidth="10" defaultColWidth="8.83203125" defaultRowHeight="15" x14ac:dyDescent="0.2"/>
  <cols>
    <col min="1" max="1" width="31" customWidth="1"/>
    <col min="2" max="2" width="10.83203125" bestFit="1" customWidth="1"/>
    <col min="5" max="5" width="9.1640625" customWidth="1"/>
  </cols>
  <sheetData>
    <row r="1" spans="1:6" x14ac:dyDescent="0.2">
      <c r="A1" s="1" t="s">
        <v>0</v>
      </c>
      <c r="E1" s="1"/>
    </row>
    <row r="2" spans="1:6" x14ac:dyDescent="0.2">
      <c r="E2" s="10"/>
      <c r="F2" s="10"/>
    </row>
    <row r="3" spans="1:6" x14ac:dyDescent="0.2">
      <c r="A3" t="s">
        <v>11</v>
      </c>
      <c r="B3" s="5">
        <v>11</v>
      </c>
      <c r="E3" s="10"/>
      <c r="F3" s="10"/>
    </row>
    <row r="4" spans="1:6" x14ac:dyDescent="0.2">
      <c r="A4" t="s">
        <v>12</v>
      </c>
      <c r="B4" s="5">
        <v>15</v>
      </c>
      <c r="E4" s="10"/>
      <c r="F4" s="10"/>
    </row>
    <row r="5" spans="1:6" x14ac:dyDescent="0.2">
      <c r="E5" s="10"/>
      <c r="F5" s="10"/>
    </row>
    <row r="6" spans="1:6" x14ac:dyDescent="0.2">
      <c r="A6" t="s">
        <v>3</v>
      </c>
      <c r="E6" s="10"/>
      <c r="F6" s="10"/>
    </row>
    <row r="7" spans="1:6" x14ac:dyDescent="0.2">
      <c r="B7" s="2" t="s">
        <v>1</v>
      </c>
      <c r="C7" s="2" t="s">
        <v>2</v>
      </c>
    </row>
    <row r="8" spans="1:6" x14ac:dyDescent="0.2">
      <c r="A8" t="s">
        <v>4</v>
      </c>
      <c r="B8" s="3">
        <v>5</v>
      </c>
      <c r="C8" s="3">
        <v>6</v>
      </c>
    </row>
    <row r="9" spans="1:6" x14ac:dyDescent="0.2">
      <c r="A9" t="s">
        <v>5</v>
      </c>
      <c r="B9" s="3">
        <v>1</v>
      </c>
      <c r="C9" s="3">
        <v>2</v>
      </c>
    </row>
    <row r="10" spans="1:6" x14ac:dyDescent="0.2">
      <c r="A10" t="s">
        <v>6</v>
      </c>
      <c r="B10" s="5">
        <v>150</v>
      </c>
      <c r="C10" s="5">
        <v>225</v>
      </c>
    </row>
    <row r="11" spans="1:6" x14ac:dyDescent="0.2">
      <c r="A11" t="s">
        <v>7</v>
      </c>
      <c r="B11" s="5">
        <v>300</v>
      </c>
      <c r="C11" s="5">
        <v>450</v>
      </c>
    </row>
    <row r="12" spans="1:6" x14ac:dyDescent="0.2">
      <c r="A12" t="s">
        <v>8</v>
      </c>
      <c r="B12" s="6">
        <f>B11-B8*$B$3-B9*$B$4-B10</f>
        <v>80</v>
      </c>
      <c r="C12" s="6">
        <f>C11-C8*$B$3-C9*$B$4-C10</f>
        <v>129</v>
      </c>
    </row>
    <row r="14" spans="1:6" x14ac:dyDescent="0.2">
      <c r="A14" t="s">
        <v>9</v>
      </c>
    </row>
    <row r="15" spans="1:6" x14ac:dyDescent="0.2">
      <c r="B15" s="2" t="s">
        <v>1</v>
      </c>
      <c r="C15" s="2" t="s">
        <v>2</v>
      </c>
    </row>
    <row r="16" spans="1:6" x14ac:dyDescent="0.2">
      <c r="A16" t="s">
        <v>17</v>
      </c>
      <c r="B16" s="4">
        <v>560</v>
      </c>
      <c r="C16" s="4">
        <v>1200</v>
      </c>
    </row>
    <row r="17" spans="1:7" x14ac:dyDescent="0.2">
      <c r="B17" s="9" t="s">
        <v>15</v>
      </c>
      <c r="C17" s="9" t="s">
        <v>15</v>
      </c>
      <c r="E17" t="s">
        <v>73</v>
      </c>
      <c r="G17" t="s">
        <v>66</v>
      </c>
    </row>
    <row r="18" spans="1:7" x14ac:dyDescent="0.2">
      <c r="A18" t="s">
        <v>18</v>
      </c>
      <c r="B18" s="36">
        <f>E18*(1+$G$18)</f>
        <v>600</v>
      </c>
      <c r="C18" s="36">
        <f>F18*(1+$G$18)</f>
        <v>1200</v>
      </c>
      <c r="E18" s="3">
        <v>600</v>
      </c>
      <c r="F18" s="3">
        <v>1200</v>
      </c>
      <c r="G18" s="35">
        <v>0</v>
      </c>
    </row>
    <row r="20" spans="1:7" x14ac:dyDescent="0.2">
      <c r="A20" t="s">
        <v>16</v>
      </c>
      <c r="B20" s="2" t="s">
        <v>69</v>
      </c>
      <c r="C20" s="2"/>
      <c r="D20" s="22" t="s">
        <v>70</v>
      </c>
    </row>
    <row r="21" spans="1:7" x14ac:dyDescent="0.2">
      <c r="A21" t="s">
        <v>13</v>
      </c>
      <c r="B21">
        <f>SUMPRODUCT(B8:C8,Number_to_produce)</f>
        <v>10000</v>
      </c>
      <c r="C21" s="8" t="s">
        <v>15</v>
      </c>
      <c r="D21" s="3">
        <v>10000</v>
      </c>
    </row>
    <row r="22" spans="1:7" x14ac:dyDescent="0.2">
      <c r="A22" t="s">
        <v>14</v>
      </c>
      <c r="B22">
        <f>SUMPRODUCT(B9:C9,Number_to_produce)</f>
        <v>2960</v>
      </c>
      <c r="C22" s="8" t="s">
        <v>15</v>
      </c>
      <c r="D22" s="3">
        <v>3000</v>
      </c>
    </row>
    <row r="24" spans="1:7" x14ac:dyDescent="0.2">
      <c r="A24" t="s">
        <v>19</v>
      </c>
      <c r="B24" s="2" t="s">
        <v>1</v>
      </c>
      <c r="C24" s="2" t="s">
        <v>2</v>
      </c>
      <c r="D24" s="2" t="s">
        <v>10</v>
      </c>
    </row>
    <row r="25" spans="1:7" x14ac:dyDescent="0.2">
      <c r="B25" s="6">
        <f>B12*B16</f>
        <v>44800</v>
      </c>
      <c r="C25" s="6">
        <f>C12*C16</f>
        <v>154800</v>
      </c>
      <c r="D25" s="7">
        <f>SUM(B25:C25)</f>
        <v>199600</v>
      </c>
    </row>
  </sheetData>
  <printOptions headings="1" gridLines="1"/>
  <pageMargins left="0.7" right="0.7" top="0.75" bottom="0.75" header="0.3" footer="0.3"/>
  <pageSetup scale="90"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
  <sheetViews>
    <sheetView showGridLines="0" zoomScale="137" workbookViewId="0">
      <selection activeCell="I24" sqref="I24"/>
    </sheetView>
  </sheetViews>
  <sheetFormatPr baseColWidth="10" defaultColWidth="8.83203125" defaultRowHeight="15" x14ac:dyDescent="0.2"/>
  <sheetData/>
  <pageMargins left="0.7" right="0.7" top="0.75" bottom="0.75" header="0.3" footer="0.3"/>
  <pageSetup scale="58"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H16"/>
  <sheetViews>
    <sheetView showGridLines="0" workbookViewId="0"/>
  </sheetViews>
  <sheetFormatPr baseColWidth="10" defaultColWidth="8.83203125" defaultRowHeight="15" x14ac:dyDescent="0.2"/>
  <cols>
    <col min="1" max="1" width="2.33203125" customWidth="1"/>
    <col min="2" max="2" width="6.1640625" bestFit="1" customWidth="1"/>
    <col min="3" max="3" width="40.6640625" bestFit="1" customWidth="1"/>
    <col min="4" max="4" width="6.1640625" customWidth="1"/>
    <col min="5" max="5" width="8.6640625" bestFit="1" customWidth="1"/>
    <col min="6" max="6" width="10.83203125" bestFit="1" customWidth="1"/>
    <col min="7" max="8" width="10" bestFit="1" customWidth="1"/>
  </cols>
  <sheetData>
    <row r="1" spans="1:8" x14ac:dyDescent="0.2">
      <c r="A1" s="1" t="s">
        <v>84</v>
      </c>
    </row>
    <row r="2" spans="1:8" x14ac:dyDescent="0.2">
      <c r="A2" s="1" t="s">
        <v>85</v>
      </c>
    </row>
    <row r="3" spans="1:8" x14ac:dyDescent="0.2">
      <c r="A3" s="1" t="s">
        <v>86</v>
      </c>
    </row>
    <row r="6" spans="1:8" ht="16" thickBot="1" x14ac:dyDescent="0.25">
      <c r="A6" t="s">
        <v>29</v>
      </c>
    </row>
    <row r="7" spans="1:8" x14ac:dyDescent="0.2">
      <c r="B7" s="39"/>
      <c r="C7" s="39"/>
      <c r="D7" s="39" t="s">
        <v>32</v>
      </c>
      <c r="E7" s="39" t="s">
        <v>34</v>
      </c>
      <c r="F7" s="39" t="s">
        <v>36</v>
      </c>
      <c r="G7" s="39" t="s">
        <v>38</v>
      </c>
      <c r="H7" s="39" t="s">
        <v>38</v>
      </c>
    </row>
    <row r="8" spans="1:8" ht="16" thickBot="1" x14ac:dyDescent="0.25">
      <c r="B8" s="40" t="s">
        <v>30</v>
      </c>
      <c r="C8" s="40" t="s">
        <v>31</v>
      </c>
      <c r="D8" s="40" t="s">
        <v>33</v>
      </c>
      <c r="E8" s="40" t="s">
        <v>35</v>
      </c>
      <c r="F8" s="40" t="s">
        <v>37</v>
      </c>
      <c r="G8" s="40" t="s">
        <v>39</v>
      </c>
      <c r="H8" s="40" t="s">
        <v>40</v>
      </c>
    </row>
    <row r="9" spans="1:8" x14ac:dyDescent="0.2">
      <c r="B9" s="11" t="s">
        <v>46</v>
      </c>
      <c r="C9" s="11" t="s">
        <v>47</v>
      </c>
      <c r="D9" s="11">
        <v>560</v>
      </c>
      <c r="E9" s="11">
        <v>0</v>
      </c>
      <c r="F9" s="11">
        <v>80</v>
      </c>
      <c r="G9" s="11">
        <v>27.499999999999986</v>
      </c>
      <c r="H9" s="11">
        <v>80</v>
      </c>
    </row>
    <row r="10" spans="1:8" ht="16" thickBot="1" x14ac:dyDescent="0.25">
      <c r="B10" s="12" t="s">
        <v>48</v>
      </c>
      <c r="C10" s="12" t="s">
        <v>49</v>
      </c>
      <c r="D10" s="12">
        <v>1200</v>
      </c>
      <c r="E10" s="12">
        <v>32.999999999999986</v>
      </c>
      <c r="F10" s="12">
        <v>129</v>
      </c>
      <c r="G10" s="12">
        <v>1E+30</v>
      </c>
      <c r="H10" s="12">
        <v>32.999999999999986</v>
      </c>
    </row>
    <row r="12" spans="1:8" ht="16" thickBot="1" x14ac:dyDescent="0.25">
      <c r="A12" t="s">
        <v>41</v>
      </c>
    </row>
    <row r="13" spans="1:8" x14ac:dyDescent="0.2">
      <c r="B13" s="39"/>
      <c r="C13" s="39"/>
      <c r="D13" s="39" t="s">
        <v>32</v>
      </c>
      <c r="E13" s="39" t="s">
        <v>42</v>
      </c>
      <c r="F13" s="39" t="s">
        <v>44</v>
      </c>
      <c r="G13" s="39" t="s">
        <v>38</v>
      </c>
      <c r="H13" s="39" t="s">
        <v>38</v>
      </c>
    </row>
    <row r="14" spans="1:8" ht="16" thickBot="1" x14ac:dyDescent="0.25">
      <c r="B14" s="40" t="s">
        <v>30</v>
      </c>
      <c r="C14" s="40" t="s">
        <v>31</v>
      </c>
      <c r="D14" s="40" t="s">
        <v>33</v>
      </c>
      <c r="E14" s="40" t="s">
        <v>43</v>
      </c>
      <c r="F14" s="40" t="s">
        <v>45</v>
      </c>
      <c r="G14" s="40" t="s">
        <v>39</v>
      </c>
      <c r="H14" s="40" t="s">
        <v>40</v>
      </c>
    </row>
    <row r="15" spans="1:8" x14ac:dyDescent="0.2">
      <c r="B15" s="11" t="s">
        <v>50</v>
      </c>
      <c r="C15" s="11" t="s">
        <v>87</v>
      </c>
      <c r="D15" s="11">
        <v>10000</v>
      </c>
      <c r="E15" s="11">
        <v>16</v>
      </c>
      <c r="F15" s="11">
        <v>10000</v>
      </c>
      <c r="G15" s="11">
        <v>200</v>
      </c>
      <c r="H15" s="11">
        <v>2800</v>
      </c>
    </row>
    <row r="16" spans="1:8" ht="16" thickBot="1" x14ac:dyDescent="0.25">
      <c r="B16" s="12" t="s">
        <v>51</v>
      </c>
      <c r="C16" s="12" t="s">
        <v>88</v>
      </c>
      <c r="D16" s="12">
        <v>2960</v>
      </c>
      <c r="E16" s="12">
        <v>0</v>
      </c>
      <c r="F16" s="12">
        <v>3000</v>
      </c>
      <c r="G16" s="12">
        <v>1E+30</v>
      </c>
      <c r="H16" s="12">
        <v>40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dimension ref="A1:B15"/>
  <sheetViews>
    <sheetView workbookViewId="0"/>
  </sheetViews>
  <sheetFormatPr baseColWidth="10" defaultColWidth="8.83203125" defaultRowHeight="15" x14ac:dyDescent="0.2"/>
  <sheetData>
    <row r="1" spans="1:2" x14ac:dyDescent="0.2">
      <c r="A1">
        <v>1</v>
      </c>
    </row>
    <row r="2" spans="1:2" x14ac:dyDescent="0.2">
      <c r="A2" t="s">
        <v>67</v>
      </c>
    </row>
    <row r="3" spans="1:2" x14ac:dyDescent="0.2">
      <c r="A3">
        <v>1</v>
      </c>
    </row>
    <row r="4" spans="1:2" x14ac:dyDescent="0.2">
      <c r="A4">
        <v>-0.3</v>
      </c>
    </row>
    <row r="5" spans="1:2" x14ac:dyDescent="0.2">
      <c r="A5">
        <v>0.3</v>
      </c>
    </row>
    <row r="6" spans="1:2" x14ac:dyDescent="0.2">
      <c r="A6">
        <v>0.1</v>
      </c>
    </row>
    <row r="8" spans="1:2" x14ac:dyDescent="0.2">
      <c r="A8" s="13"/>
      <c r="B8" s="13"/>
    </row>
    <row r="9" spans="1:2" x14ac:dyDescent="0.2">
      <c r="A9" t="s">
        <v>82</v>
      </c>
    </row>
    <row r="10" spans="1:2" x14ac:dyDescent="0.2">
      <c r="A10" t="s">
        <v>68</v>
      </c>
    </row>
    <row r="15" spans="1:2" x14ac:dyDescent="0.2">
      <c r="B15" s="1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dimension ref="A1:B18"/>
  <sheetViews>
    <sheetView workbookViewId="0"/>
  </sheetViews>
  <sheetFormatPr baseColWidth="10" defaultColWidth="8.83203125" defaultRowHeight="15" x14ac:dyDescent="0.2"/>
  <sheetData>
    <row r="1" spans="1:2" x14ac:dyDescent="0.2">
      <c r="A1">
        <v>1</v>
      </c>
      <c r="B1">
        <v>1</v>
      </c>
    </row>
    <row r="2" spans="1:2" x14ac:dyDescent="0.2">
      <c r="A2" t="s">
        <v>52</v>
      </c>
      <c r="B2" t="s">
        <v>56</v>
      </c>
    </row>
    <row r="3" spans="1:2" x14ac:dyDescent="0.2">
      <c r="A3">
        <v>1</v>
      </c>
      <c r="B3">
        <v>1</v>
      </c>
    </row>
    <row r="4" spans="1:2" x14ac:dyDescent="0.2">
      <c r="A4">
        <v>350</v>
      </c>
      <c r="B4">
        <v>8000</v>
      </c>
    </row>
    <row r="5" spans="1:2" x14ac:dyDescent="0.2">
      <c r="A5">
        <v>550</v>
      </c>
      <c r="B5">
        <v>12000</v>
      </c>
    </row>
    <row r="6" spans="1:2" x14ac:dyDescent="0.2">
      <c r="A6">
        <v>25</v>
      </c>
      <c r="B6">
        <v>500</v>
      </c>
    </row>
    <row r="8" spans="1:2" x14ac:dyDescent="0.2">
      <c r="A8" s="13"/>
      <c r="B8" s="13" t="s">
        <v>57</v>
      </c>
    </row>
    <row r="9" spans="1:2" x14ac:dyDescent="0.2">
      <c r="A9" t="s">
        <v>53</v>
      </c>
      <c r="B9" t="s">
        <v>58</v>
      </c>
    </row>
    <row r="10" spans="1:2" x14ac:dyDescent="0.2">
      <c r="A10" t="s">
        <v>54</v>
      </c>
      <c r="B10">
        <v>1</v>
      </c>
    </row>
    <row r="11" spans="1:2" x14ac:dyDescent="0.2">
      <c r="B11">
        <v>2000</v>
      </c>
    </row>
    <row r="12" spans="1:2" x14ac:dyDescent="0.2">
      <c r="B12">
        <v>5000</v>
      </c>
    </row>
    <row r="13" spans="1:2" x14ac:dyDescent="0.2">
      <c r="B13">
        <v>500</v>
      </c>
    </row>
    <row r="15" spans="1:2" x14ac:dyDescent="0.2">
      <c r="B15" s="13" t="s">
        <v>57</v>
      </c>
    </row>
    <row r="16" spans="1:2" x14ac:dyDescent="0.2">
      <c r="B16" t="s">
        <v>53</v>
      </c>
    </row>
    <row r="17" spans="2:2" x14ac:dyDescent="0.2">
      <c r="B17" t="s">
        <v>59</v>
      </c>
    </row>
    <row r="18" spans="2:2" x14ac:dyDescent="0.2">
      <c r="B18" t="s">
        <v>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K13"/>
  <sheetViews>
    <sheetView topLeftCell="A51" workbookViewId="0"/>
  </sheetViews>
  <sheetFormatPr baseColWidth="10" defaultColWidth="8.83203125" defaultRowHeight="15" x14ac:dyDescent="0.2"/>
  <sheetData>
    <row r="1" spans="1:11" x14ac:dyDescent="0.2">
      <c r="A1" s="1" t="s">
        <v>74</v>
      </c>
      <c r="K1" s="14" t="str">
        <f>CONCATENATE("Sensitivity of ",$K$4," to ","Selling Price XP")</f>
        <v>Sensitivity of Total_profit to Selling Price XP</v>
      </c>
    </row>
    <row r="3" spans="1:11" x14ac:dyDescent="0.2">
      <c r="A3" t="s">
        <v>75</v>
      </c>
      <c r="K3" t="s">
        <v>55</v>
      </c>
    </row>
    <row r="4" spans="1:11" ht="114" x14ac:dyDescent="0.2">
      <c r="B4" s="37" t="s">
        <v>76</v>
      </c>
      <c r="C4" s="37" t="s">
        <v>77</v>
      </c>
      <c r="D4" s="37" t="s">
        <v>27</v>
      </c>
      <c r="J4" s="14">
        <f>MATCH($K$4,OutputAddresses,0)</f>
        <v>3</v>
      </c>
      <c r="K4" s="38" t="s">
        <v>27</v>
      </c>
    </row>
    <row r="5" spans="1:11" x14ac:dyDescent="0.2">
      <c r="A5" s="6">
        <v>350</v>
      </c>
      <c r="B5" s="15">
        <v>600</v>
      </c>
      <c r="C5" s="16">
        <v>1166.6666666666665</v>
      </c>
      <c r="D5" s="17">
        <v>81833.33</v>
      </c>
      <c r="K5">
        <f>INDEX(OutputValues,1,$J$4)</f>
        <v>81833.33</v>
      </c>
    </row>
    <row r="6" spans="1:11" x14ac:dyDescent="0.2">
      <c r="A6" s="6">
        <v>375</v>
      </c>
      <c r="B6" s="18">
        <v>600</v>
      </c>
      <c r="C6" s="19">
        <v>1166.6666666666665</v>
      </c>
      <c r="D6" s="20">
        <v>111000</v>
      </c>
      <c r="K6">
        <f>INDEX(OutputValues,2,$J$4)</f>
        <v>111000</v>
      </c>
    </row>
    <row r="7" spans="1:11" x14ac:dyDescent="0.2">
      <c r="A7" s="6">
        <v>400</v>
      </c>
      <c r="B7" s="18">
        <v>600</v>
      </c>
      <c r="C7" s="19">
        <v>1166.6666666666665</v>
      </c>
      <c r="D7" s="20">
        <v>140166.67000000001</v>
      </c>
      <c r="K7">
        <f>INDEX(OutputValues,3,$J$4)</f>
        <v>140166.67000000001</v>
      </c>
    </row>
    <row r="8" spans="1:11" x14ac:dyDescent="0.2">
      <c r="A8" s="6">
        <v>425</v>
      </c>
      <c r="B8" s="18">
        <v>560</v>
      </c>
      <c r="C8" s="19">
        <v>1200</v>
      </c>
      <c r="D8" s="20">
        <v>169600</v>
      </c>
      <c r="K8">
        <f>INDEX(OutputValues,4,$J$4)</f>
        <v>169600</v>
      </c>
    </row>
    <row r="9" spans="1:11" x14ac:dyDescent="0.2">
      <c r="A9" s="6">
        <v>450</v>
      </c>
      <c r="B9" s="18">
        <v>560</v>
      </c>
      <c r="C9" s="19">
        <v>1200</v>
      </c>
      <c r="D9" s="20">
        <v>199600</v>
      </c>
      <c r="K9">
        <f>INDEX(OutputValues,5,$J$4)</f>
        <v>199600</v>
      </c>
    </row>
    <row r="10" spans="1:11" x14ac:dyDescent="0.2">
      <c r="A10" s="6">
        <v>475</v>
      </c>
      <c r="B10" s="18">
        <v>560</v>
      </c>
      <c r="C10" s="19">
        <v>1200</v>
      </c>
      <c r="D10" s="20">
        <v>229600</v>
      </c>
      <c r="K10">
        <f>INDEX(OutputValues,6,$J$4)</f>
        <v>229600</v>
      </c>
    </row>
    <row r="11" spans="1:11" x14ac:dyDescent="0.2">
      <c r="A11" s="6">
        <v>500</v>
      </c>
      <c r="B11" s="18">
        <v>560</v>
      </c>
      <c r="C11" s="19">
        <v>1200</v>
      </c>
      <c r="D11" s="20">
        <v>259600</v>
      </c>
      <c r="K11">
        <f>INDEX(OutputValues,7,$J$4)</f>
        <v>259600</v>
      </c>
    </row>
    <row r="12" spans="1:11" x14ac:dyDescent="0.2">
      <c r="A12" s="6">
        <v>525</v>
      </c>
      <c r="B12" s="18">
        <v>560</v>
      </c>
      <c r="C12" s="19">
        <v>1200</v>
      </c>
      <c r="D12" s="20">
        <v>289600</v>
      </c>
      <c r="K12">
        <f>INDEX(OutputValues,8,$J$4)</f>
        <v>289600</v>
      </c>
    </row>
    <row r="13" spans="1:11" x14ac:dyDescent="0.2">
      <c r="A13" s="6">
        <v>550</v>
      </c>
      <c r="B13" s="27">
        <v>560</v>
      </c>
      <c r="C13" s="30">
        <v>1200</v>
      </c>
      <c r="D13" s="21">
        <v>319600</v>
      </c>
      <c r="K13">
        <f>INDEX(OutputValues,9,$J$4)</f>
        <v>319600</v>
      </c>
    </row>
  </sheetData>
  <dataValidations count="1">
    <dataValidation type="list" allowBlank="1" showInputMessage="1" showErrorMessage="1" sqref="K4" xr:uid="{00000000-0002-0000-0600-000000000000}">
      <formula1>OutputAddresses</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AZ35"/>
  <sheetViews>
    <sheetView topLeftCell="G7" workbookViewId="0"/>
  </sheetViews>
  <sheetFormatPr baseColWidth="10" defaultColWidth="8.83203125" defaultRowHeight="15" x14ac:dyDescent="0.2"/>
  <cols>
    <col min="1" max="1" width="21.83203125" bestFit="1" customWidth="1"/>
  </cols>
  <sheetData>
    <row r="1" spans="1:52" x14ac:dyDescent="0.2">
      <c r="A1" s="1" t="s">
        <v>78</v>
      </c>
      <c r="K1" s="14" t="str">
        <f>CONCATENATE("Sensitivity of ",$K$4," to ","Testing hours")</f>
        <v>Sensitivity of Number_to_produce_1 to Testing hours</v>
      </c>
      <c r="O1" s="14" t="str">
        <f>CONCATENATE("Sensitivity of ",$O$4," to ","Assembling hours")</f>
        <v>Sensitivity of Number_to_produce_1 to Assembling hours</v>
      </c>
    </row>
    <row r="2" spans="1:52" x14ac:dyDescent="0.2">
      <c r="K2" t="s">
        <v>61</v>
      </c>
      <c r="O2" t="s">
        <v>64</v>
      </c>
      <c r="AZ2" t="s">
        <v>76</v>
      </c>
    </row>
    <row r="3" spans="1:52" x14ac:dyDescent="0.2">
      <c r="A3" t="s">
        <v>79</v>
      </c>
      <c r="K3" t="s">
        <v>62</v>
      </c>
      <c r="L3" t="s">
        <v>63</v>
      </c>
      <c r="O3" t="s">
        <v>62</v>
      </c>
      <c r="P3" t="s">
        <v>65</v>
      </c>
      <c r="AZ3" t="s">
        <v>77</v>
      </c>
    </row>
    <row r="4" spans="1:52" ht="114" x14ac:dyDescent="0.2">
      <c r="A4" s="2" t="s">
        <v>76</v>
      </c>
      <c r="B4" s="10">
        <v>2000</v>
      </c>
      <c r="C4" s="10">
        <v>2500</v>
      </c>
      <c r="D4" s="10">
        <v>3000</v>
      </c>
      <c r="E4" s="10">
        <v>3500</v>
      </c>
      <c r="F4" s="10">
        <v>4000</v>
      </c>
      <c r="G4" s="10">
        <v>4500</v>
      </c>
      <c r="H4" s="10">
        <v>5000</v>
      </c>
      <c r="J4" s="14">
        <f>MATCH($K$4,OutputAddresses,0)</f>
        <v>1</v>
      </c>
      <c r="K4" s="38" t="s">
        <v>76</v>
      </c>
      <c r="L4" s="23">
        <v>8000</v>
      </c>
      <c r="M4" s="14">
        <f>MATCH($L$4,InputValues1,0)</f>
        <v>1</v>
      </c>
      <c r="N4" s="14">
        <f>MATCH($O$4,OutputAddresses,0)</f>
        <v>1</v>
      </c>
      <c r="O4" s="38" t="s">
        <v>76</v>
      </c>
      <c r="P4" s="23">
        <v>2000</v>
      </c>
      <c r="Q4" s="14">
        <f>MATCH($P$4,InputValues2,0)</f>
        <v>1</v>
      </c>
      <c r="AZ4" t="s">
        <v>27</v>
      </c>
    </row>
    <row r="5" spans="1:52" x14ac:dyDescent="0.2">
      <c r="A5" s="10">
        <v>8000</v>
      </c>
      <c r="B5" s="15">
        <v>600</v>
      </c>
      <c r="C5" s="16">
        <v>250</v>
      </c>
      <c r="D5" s="16">
        <v>160</v>
      </c>
      <c r="E5" s="16">
        <v>160</v>
      </c>
      <c r="F5" s="16">
        <v>160</v>
      </c>
      <c r="G5" s="16">
        <v>160</v>
      </c>
      <c r="H5" s="32">
        <v>160</v>
      </c>
      <c r="J5" s="14" t="str">
        <f>"OutputValues_"&amp;$J$4</f>
        <v>OutputValues_1</v>
      </c>
      <c r="K5">
        <f ca="1">INDEX(INDIRECT($J$5),$M$4,1)</f>
        <v>600</v>
      </c>
      <c r="N5" s="14" t="str">
        <f>"OutputValues_"&amp;$N$4</f>
        <v>OutputValues_1</v>
      </c>
      <c r="O5">
        <f ca="1">INDEX(INDIRECT($N$5),1,$Q$4)</f>
        <v>600</v>
      </c>
    </row>
    <row r="6" spans="1:52" x14ac:dyDescent="0.2">
      <c r="A6" s="10">
        <v>8500</v>
      </c>
      <c r="B6" s="18">
        <v>600</v>
      </c>
      <c r="C6" s="19">
        <v>500</v>
      </c>
      <c r="D6" s="19">
        <v>260</v>
      </c>
      <c r="E6" s="19">
        <v>260</v>
      </c>
      <c r="F6" s="19">
        <v>260</v>
      </c>
      <c r="G6" s="19">
        <v>260</v>
      </c>
      <c r="H6" s="33">
        <v>260</v>
      </c>
      <c r="K6">
        <f ca="1">INDEX(INDIRECT($J$5),$M$4,2)</f>
        <v>250</v>
      </c>
      <c r="O6">
        <f ca="1">INDEX(INDIRECT($N$5),2,$Q$4)</f>
        <v>600</v>
      </c>
    </row>
    <row r="7" spans="1:52" x14ac:dyDescent="0.2">
      <c r="A7" s="10">
        <v>9000</v>
      </c>
      <c r="B7" s="18">
        <v>600</v>
      </c>
      <c r="C7" s="19">
        <v>600</v>
      </c>
      <c r="D7" s="19">
        <v>360</v>
      </c>
      <c r="E7" s="19">
        <v>360</v>
      </c>
      <c r="F7" s="19">
        <v>360</v>
      </c>
      <c r="G7" s="19">
        <v>360</v>
      </c>
      <c r="H7" s="33">
        <v>360</v>
      </c>
      <c r="K7">
        <f ca="1">INDEX(INDIRECT($J$5),$M$4,3)</f>
        <v>160</v>
      </c>
      <c r="O7">
        <f ca="1">INDEX(INDIRECT($N$5),3,$Q$4)</f>
        <v>600</v>
      </c>
    </row>
    <row r="8" spans="1:52" x14ac:dyDescent="0.2">
      <c r="A8" s="10">
        <v>9500</v>
      </c>
      <c r="B8" s="18">
        <v>600</v>
      </c>
      <c r="C8" s="19">
        <v>600</v>
      </c>
      <c r="D8" s="19">
        <v>460</v>
      </c>
      <c r="E8" s="19">
        <v>460</v>
      </c>
      <c r="F8" s="19">
        <v>460</v>
      </c>
      <c r="G8" s="19">
        <v>460</v>
      </c>
      <c r="H8" s="33">
        <v>460</v>
      </c>
      <c r="K8">
        <f ca="1">INDEX(INDIRECT($J$5),$M$4,4)</f>
        <v>160</v>
      </c>
      <c r="O8">
        <f ca="1">INDEX(INDIRECT($N$5),4,$Q$4)</f>
        <v>600</v>
      </c>
    </row>
    <row r="9" spans="1:52" x14ac:dyDescent="0.2">
      <c r="A9" s="10">
        <v>10000</v>
      </c>
      <c r="B9" s="18">
        <v>600</v>
      </c>
      <c r="C9" s="19">
        <v>600</v>
      </c>
      <c r="D9" s="19">
        <v>560</v>
      </c>
      <c r="E9" s="19">
        <v>560</v>
      </c>
      <c r="F9" s="19">
        <v>560</v>
      </c>
      <c r="G9" s="19">
        <v>560</v>
      </c>
      <c r="H9" s="33">
        <v>560</v>
      </c>
      <c r="K9">
        <f ca="1">INDEX(INDIRECT($J$5),$M$4,5)</f>
        <v>160</v>
      </c>
      <c r="O9">
        <f ca="1">INDEX(INDIRECT($N$5),5,$Q$4)</f>
        <v>600</v>
      </c>
    </row>
    <row r="10" spans="1:52" x14ac:dyDescent="0.2">
      <c r="A10" s="10">
        <v>10500</v>
      </c>
      <c r="B10" s="18">
        <v>600</v>
      </c>
      <c r="C10" s="19">
        <v>600</v>
      </c>
      <c r="D10" s="19">
        <v>600</v>
      </c>
      <c r="E10" s="19">
        <v>600</v>
      </c>
      <c r="F10" s="19">
        <v>600</v>
      </c>
      <c r="G10" s="19">
        <v>600</v>
      </c>
      <c r="H10" s="33">
        <v>600</v>
      </c>
      <c r="K10">
        <f ca="1">INDEX(INDIRECT($J$5),$M$4,6)</f>
        <v>160</v>
      </c>
      <c r="O10">
        <f ca="1">INDEX(INDIRECT($N$5),6,$Q$4)</f>
        <v>600</v>
      </c>
    </row>
    <row r="11" spans="1:52" x14ac:dyDescent="0.2">
      <c r="A11" s="10">
        <v>11000</v>
      </c>
      <c r="B11" s="18">
        <v>600</v>
      </c>
      <c r="C11" s="19">
        <v>600</v>
      </c>
      <c r="D11" s="19">
        <v>600</v>
      </c>
      <c r="E11" s="19">
        <v>600</v>
      </c>
      <c r="F11" s="19">
        <v>600</v>
      </c>
      <c r="G11" s="19">
        <v>600</v>
      </c>
      <c r="H11" s="33">
        <v>600</v>
      </c>
      <c r="K11">
        <f ca="1">INDEX(INDIRECT($J$5),$M$4,7)</f>
        <v>160</v>
      </c>
      <c r="O11">
        <f ca="1">INDEX(INDIRECT($N$5),7,$Q$4)</f>
        <v>600</v>
      </c>
    </row>
    <row r="12" spans="1:52" x14ac:dyDescent="0.2">
      <c r="A12" s="10">
        <v>11500</v>
      </c>
      <c r="B12" s="18">
        <v>600</v>
      </c>
      <c r="C12" s="19">
        <v>600</v>
      </c>
      <c r="D12" s="19">
        <v>600</v>
      </c>
      <c r="E12" s="19">
        <v>600</v>
      </c>
      <c r="F12" s="19">
        <v>600</v>
      </c>
      <c r="G12" s="19">
        <v>600</v>
      </c>
      <c r="H12" s="33">
        <v>600</v>
      </c>
      <c r="O12">
        <f ca="1">INDEX(INDIRECT($N$5),8,$Q$4)</f>
        <v>600</v>
      </c>
    </row>
    <row r="13" spans="1:52" x14ac:dyDescent="0.2">
      <c r="A13" s="10">
        <v>12000</v>
      </c>
      <c r="B13" s="27">
        <v>600</v>
      </c>
      <c r="C13" s="30">
        <v>600</v>
      </c>
      <c r="D13" s="30">
        <v>600</v>
      </c>
      <c r="E13" s="30">
        <v>600</v>
      </c>
      <c r="F13" s="30">
        <v>600</v>
      </c>
      <c r="G13" s="30">
        <v>600</v>
      </c>
      <c r="H13" s="34">
        <v>600</v>
      </c>
      <c r="O13">
        <f ca="1">INDEX(INDIRECT($N$5),9,$Q$4)</f>
        <v>600</v>
      </c>
    </row>
    <row r="15" spans="1:52" x14ac:dyDescent="0.2">
      <c r="A15" s="2" t="s">
        <v>77</v>
      </c>
      <c r="B15" s="10">
        <v>2000</v>
      </c>
      <c r="C15" s="10">
        <v>2500</v>
      </c>
      <c r="D15" s="10">
        <v>3000</v>
      </c>
      <c r="E15" s="10">
        <v>3500</v>
      </c>
      <c r="F15" s="10">
        <v>4000</v>
      </c>
      <c r="G15" s="10">
        <v>4500</v>
      </c>
      <c r="H15" s="10">
        <v>5000</v>
      </c>
    </row>
    <row r="16" spans="1:52" x14ac:dyDescent="0.2">
      <c r="A16" s="10">
        <v>8000</v>
      </c>
      <c r="B16" s="15">
        <v>700</v>
      </c>
      <c r="C16" s="16">
        <v>1125</v>
      </c>
      <c r="D16" s="16">
        <v>1200</v>
      </c>
      <c r="E16" s="16">
        <v>1200</v>
      </c>
      <c r="F16" s="16">
        <v>1200</v>
      </c>
      <c r="G16" s="16">
        <v>1200</v>
      </c>
      <c r="H16" s="32">
        <v>1200</v>
      </c>
    </row>
    <row r="17" spans="1:8" x14ac:dyDescent="0.2">
      <c r="A17" s="10">
        <v>8500</v>
      </c>
      <c r="B17" s="18">
        <v>700</v>
      </c>
      <c r="C17" s="19">
        <v>1000</v>
      </c>
      <c r="D17" s="19">
        <v>1200</v>
      </c>
      <c r="E17" s="19">
        <v>1200</v>
      </c>
      <c r="F17" s="19">
        <v>1200</v>
      </c>
      <c r="G17" s="19">
        <v>1200</v>
      </c>
      <c r="H17" s="33">
        <v>1200</v>
      </c>
    </row>
    <row r="18" spans="1:8" x14ac:dyDescent="0.2">
      <c r="A18" s="10">
        <v>9000</v>
      </c>
      <c r="B18" s="18">
        <v>700</v>
      </c>
      <c r="C18" s="19">
        <v>950</v>
      </c>
      <c r="D18" s="19">
        <v>1200</v>
      </c>
      <c r="E18" s="19">
        <v>1200</v>
      </c>
      <c r="F18" s="19">
        <v>1200</v>
      </c>
      <c r="G18" s="19">
        <v>1200</v>
      </c>
      <c r="H18" s="33">
        <v>1200</v>
      </c>
    </row>
    <row r="19" spans="1:8" x14ac:dyDescent="0.2">
      <c r="A19" s="10">
        <v>9500</v>
      </c>
      <c r="B19" s="18">
        <v>700</v>
      </c>
      <c r="C19" s="19">
        <v>950</v>
      </c>
      <c r="D19" s="19">
        <v>1200</v>
      </c>
      <c r="E19" s="19">
        <v>1200</v>
      </c>
      <c r="F19" s="19">
        <v>1200</v>
      </c>
      <c r="G19" s="19">
        <v>1200</v>
      </c>
      <c r="H19" s="33">
        <v>1200</v>
      </c>
    </row>
    <row r="20" spans="1:8" x14ac:dyDescent="0.2">
      <c r="A20" s="10">
        <v>10000</v>
      </c>
      <c r="B20" s="18">
        <v>700</v>
      </c>
      <c r="C20" s="19">
        <v>950</v>
      </c>
      <c r="D20" s="19">
        <v>1200</v>
      </c>
      <c r="E20" s="19">
        <v>1200</v>
      </c>
      <c r="F20" s="19">
        <v>1200</v>
      </c>
      <c r="G20" s="19">
        <v>1200</v>
      </c>
      <c r="H20" s="33">
        <v>1200</v>
      </c>
    </row>
    <row r="21" spans="1:8" x14ac:dyDescent="0.2">
      <c r="A21" s="10">
        <v>10500</v>
      </c>
      <c r="B21" s="18">
        <v>700</v>
      </c>
      <c r="C21" s="19">
        <v>950</v>
      </c>
      <c r="D21" s="19">
        <v>1200</v>
      </c>
      <c r="E21" s="19">
        <v>1200</v>
      </c>
      <c r="F21" s="19">
        <v>1200</v>
      </c>
      <c r="G21" s="19">
        <v>1200</v>
      </c>
      <c r="H21" s="33">
        <v>1200</v>
      </c>
    </row>
    <row r="22" spans="1:8" x14ac:dyDescent="0.2">
      <c r="A22" s="10">
        <v>11000</v>
      </c>
      <c r="B22" s="18">
        <v>700</v>
      </c>
      <c r="C22" s="19">
        <v>950</v>
      </c>
      <c r="D22" s="19">
        <v>1200</v>
      </c>
      <c r="E22" s="19">
        <v>1200</v>
      </c>
      <c r="F22" s="19">
        <v>1200</v>
      </c>
      <c r="G22" s="19">
        <v>1200</v>
      </c>
      <c r="H22" s="33">
        <v>1200</v>
      </c>
    </row>
    <row r="23" spans="1:8" x14ac:dyDescent="0.2">
      <c r="A23" s="10">
        <v>11500</v>
      </c>
      <c r="B23" s="18">
        <v>700</v>
      </c>
      <c r="C23" s="19">
        <v>950</v>
      </c>
      <c r="D23" s="19">
        <v>1200</v>
      </c>
      <c r="E23" s="19">
        <v>1200</v>
      </c>
      <c r="F23" s="19">
        <v>1200</v>
      </c>
      <c r="G23" s="19">
        <v>1200</v>
      </c>
      <c r="H23" s="33">
        <v>1200</v>
      </c>
    </row>
    <row r="24" spans="1:8" x14ac:dyDescent="0.2">
      <c r="A24" s="10">
        <v>12000</v>
      </c>
      <c r="B24" s="27">
        <v>700</v>
      </c>
      <c r="C24" s="30">
        <v>950</v>
      </c>
      <c r="D24" s="30">
        <v>1200</v>
      </c>
      <c r="E24" s="30">
        <v>1200</v>
      </c>
      <c r="F24" s="30">
        <v>1200</v>
      </c>
      <c r="G24" s="30">
        <v>1200</v>
      </c>
      <c r="H24" s="34">
        <v>1200</v>
      </c>
    </row>
    <row r="26" spans="1:8" x14ac:dyDescent="0.2">
      <c r="A26" s="2" t="s">
        <v>27</v>
      </c>
      <c r="B26" s="10">
        <v>2000</v>
      </c>
      <c r="C26" s="10">
        <v>2500</v>
      </c>
      <c r="D26" s="10">
        <v>3000</v>
      </c>
      <c r="E26" s="10">
        <v>3500</v>
      </c>
      <c r="F26" s="10">
        <v>4000</v>
      </c>
      <c r="G26" s="10">
        <v>4500</v>
      </c>
      <c r="H26" s="10">
        <v>5000</v>
      </c>
    </row>
    <row r="27" spans="1:8" x14ac:dyDescent="0.2">
      <c r="A27" s="10">
        <v>8000</v>
      </c>
      <c r="B27" s="24">
        <v>138300</v>
      </c>
      <c r="C27" s="29">
        <v>165125</v>
      </c>
      <c r="D27" s="29">
        <v>167600</v>
      </c>
      <c r="E27" s="29">
        <v>167600</v>
      </c>
      <c r="F27" s="29">
        <v>167600</v>
      </c>
      <c r="G27" s="29">
        <v>167600</v>
      </c>
      <c r="H27" s="17">
        <v>167600</v>
      </c>
    </row>
    <row r="28" spans="1:8" x14ac:dyDescent="0.2">
      <c r="A28" s="10">
        <v>8500</v>
      </c>
      <c r="B28" s="25">
        <v>138300</v>
      </c>
      <c r="C28" s="26">
        <v>169000</v>
      </c>
      <c r="D28" s="26">
        <v>175600</v>
      </c>
      <c r="E28" s="26">
        <v>175600</v>
      </c>
      <c r="F28" s="26">
        <v>175600</v>
      </c>
      <c r="G28" s="26">
        <v>175600</v>
      </c>
      <c r="H28" s="20">
        <v>175600</v>
      </c>
    </row>
    <row r="29" spans="1:8" x14ac:dyDescent="0.2">
      <c r="A29" s="10">
        <v>9000</v>
      </c>
      <c r="B29" s="25">
        <v>138300</v>
      </c>
      <c r="C29" s="26">
        <v>170550</v>
      </c>
      <c r="D29" s="26">
        <v>183600</v>
      </c>
      <c r="E29" s="26">
        <v>183600</v>
      </c>
      <c r="F29" s="26">
        <v>183600</v>
      </c>
      <c r="G29" s="26">
        <v>183600</v>
      </c>
      <c r="H29" s="20">
        <v>183600</v>
      </c>
    </row>
    <row r="30" spans="1:8" x14ac:dyDescent="0.2">
      <c r="A30" s="10">
        <v>9500</v>
      </c>
      <c r="B30" s="25">
        <v>138300</v>
      </c>
      <c r="C30" s="26">
        <v>170550</v>
      </c>
      <c r="D30" s="26">
        <v>191600</v>
      </c>
      <c r="E30" s="26">
        <v>191600</v>
      </c>
      <c r="F30" s="26">
        <v>191600</v>
      </c>
      <c r="G30" s="26">
        <v>191600</v>
      </c>
      <c r="H30" s="20">
        <v>191600</v>
      </c>
    </row>
    <row r="31" spans="1:8" x14ac:dyDescent="0.2">
      <c r="A31" s="10">
        <v>10000</v>
      </c>
      <c r="B31" s="25">
        <v>138300</v>
      </c>
      <c r="C31" s="26">
        <v>170550</v>
      </c>
      <c r="D31" s="26">
        <v>199600</v>
      </c>
      <c r="E31" s="26">
        <v>199600</v>
      </c>
      <c r="F31" s="26">
        <v>199600</v>
      </c>
      <c r="G31" s="26">
        <v>199600</v>
      </c>
      <c r="H31" s="20">
        <v>199600</v>
      </c>
    </row>
    <row r="32" spans="1:8" x14ac:dyDescent="0.2">
      <c r="A32" s="10">
        <v>10500</v>
      </c>
      <c r="B32" s="25">
        <v>138300</v>
      </c>
      <c r="C32" s="26">
        <v>170550</v>
      </c>
      <c r="D32" s="26">
        <v>202800</v>
      </c>
      <c r="E32" s="26">
        <v>202800</v>
      </c>
      <c r="F32" s="26">
        <v>202800</v>
      </c>
      <c r="G32" s="26">
        <v>202800</v>
      </c>
      <c r="H32" s="20">
        <v>202800</v>
      </c>
    </row>
    <row r="33" spans="1:8" x14ac:dyDescent="0.2">
      <c r="A33" s="10">
        <v>11000</v>
      </c>
      <c r="B33" s="25">
        <v>138300</v>
      </c>
      <c r="C33" s="26">
        <v>170550</v>
      </c>
      <c r="D33" s="26">
        <v>202800</v>
      </c>
      <c r="E33" s="26">
        <v>202800</v>
      </c>
      <c r="F33" s="26">
        <v>202800</v>
      </c>
      <c r="G33" s="26">
        <v>202800</v>
      </c>
      <c r="H33" s="20">
        <v>202800</v>
      </c>
    </row>
    <row r="34" spans="1:8" x14ac:dyDescent="0.2">
      <c r="A34" s="10">
        <v>11500</v>
      </c>
      <c r="B34" s="25">
        <v>138300</v>
      </c>
      <c r="C34" s="26">
        <v>170550</v>
      </c>
      <c r="D34" s="26">
        <v>202800</v>
      </c>
      <c r="E34" s="26">
        <v>202800</v>
      </c>
      <c r="F34" s="26">
        <v>202800</v>
      </c>
      <c r="G34" s="26">
        <v>202800</v>
      </c>
      <c r="H34" s="20">
        <v>202800</v>
      </c>
    </row>
    <row r="35" spans="1:8" x14ac:dyDescent="0.2">
      <c r="A35" s="10">
        <v>12000</v>
      </c>
      <c r="B35" s="28">
        <v>138300</v>
      </c>
      <c r="C35" s="31">
        <v>170550</v>
      </c>
      <c r="D35" s="31">
        <v>202800</v>
      </c>
      <c r="E35" s="31">
        <v>202800</v>
      </c>
      <c r="F35" s="31">
        <v>202800</v>
      </c>
      <c r="G35" s="31">
        <v>202800</v>
      </c>
      <c r="H35" s="21">
        <v>202800</v>
      </c>
    </row>
  </sheetData>
  <dataValidations count="3">
    <dataValidation type="list" allowBlank="1" showInputMessage="1" showErrorMessage="1" sqref="K4 O4" xr:uid="{00000000-0002-0000-0700-000000000000}">
      <formula1>OutputAddresses</formula1>
    </dataValidation>
    <dataValidation type="list" allowBlank="1" showInputMessage="1" showErrorMessage="1" sqref="L4" xr:uid="{00000000-0002-0000-0700-000001000000}">
      <formula1>InputValues1</formula1>
    </dataValidation>
    <dataValidation type="list" allowBlank="1" showInputMessage="1" showErrorMessage="1" sqref="P4" xr:uid="{00000000-0002-0000-0700-000002000000}">
      <formula1>InputValues2</formula1>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K11"/>
  <sheetViews>
    <sheetView workbookViewId="0"/>
  </sheetViews>
  <sheetFormatPr baseColWidth="10" defaultColWidth="8.83203125" defaultRowHeight="15" x14ac:dyDescent="0.2"/>
  <sheetData>
    <row r="1" spans="1:11" x14ac:dyDescent="0.2">
      <c r="A1" s="1" t="s">
        <v>80</v>
      </c>
      <c r="K1" s="14" t="str">
        <f>CONCATENATE("Sensitivity of ",$K$4," to ","% change in max sales")</f>
        <v>Sensitivity of Number_to_produce_1 to % change in max sales</v>
      </c>
    </row>
    <row r="3" spans="1:11" x14ac:dyDescent="0.2">
      <c r="A3" t="s">
        <v>81</v>
      </c>
      <c r="K3" t="s">
        <v>55</v>
      </c>
    </row>
    <row r="4" spans="1:11" ht="114" x14ac:dyDescent="0.2">
      <c r="B4" s="37" t="s">
        <v>76</v>
      </c>
      <c r="C4" s="37" t="s">
        <v>77</v>
      </c>
      <c r="D4" s="37" t="s">
        <v>27</v>
      </c>
      <c r="E4" s="37" t="s">
        <v>83</v>
      </c>
      <c r="J4" s="14">
        <f>MATCH($K$4,OutputAddresses,0)</f>
        <v>1</v>
      </c>
      <c r="K4" s="38" t="s">
        <v>76</v>
      </c>
    </row>
    <row r="5" spans="1:11" x14ac:dyDescent="0.2">
      <c r="A5" s="35">
        <v>-0.30000001192092896</v>
      </c>
      <c r="B5" s="15">
        <v>419.99999284744263</v>
      </c>
      <c r="C5" s="16">
        <v>839.99998569488525</v>
      </c>
      <c r="D5" s="29">
        <v>141960</v>
      </c>
      <c r="E5" s="17">
        <v>80</v>
      </c>
      <c r="K5">
        <f>INDEX(OutputValues,1,$J$4)</f>
        <v>419.99999284744263</v>
      </c>
    </row>
    <row r="6" spans="1:11" x14ac:dyDescent="0.2">
      <c r="A6" s="35">
        <v>-0.20000001788139343</v>
      </c>
      <c r="B6" s="18">
        <v>479.99998927116394</v>
      </c>
      <c r="C6" s="19">
        <v>959.99997854232788</v>
      </c>
      <c r="D6" s="26">
        <v>162240</v>
      </c>
      <c r="E6" s="20">
        <v>80</v>
      </c>
      <c r="K6">
        <f>INDEX(OutputValues,2,$J$4)</f>
        <v>479.99998927116394</v>
      </c>
    </row>
    <row r="7" spans="1:11" x14ac:dyDescent="0.2">
      <c r="A7" s="35">
        <v>-0.10000000894069672</v>
      </c>
      <c r="B7" s="18">
        <v>539.99999463558197</v>
      </c>
      <c r="C7" s="19">
        <v>1079.9999892711639</v>
      </c>
      <c r="D7" s="26">
        <v>182520</v>
      </c>
      <c r="E7" s="20">
        <v>80</v>
      </c>
      <c r="K7">
        <f>INDEX(OutputValues,3,$J$4)</f>
        <v>539.99999463558197</v>
      </c>
    </row>
    <row r="8" spans="1:11" x14ac:dyDescent="0.2">
      <c r="A8" s="35">
        <v>-7.4505805969238281E-9</v>
      </c>
      <c r="B8" s="18">
        <v>560.00001072883606</v>
      </c>
      <c r="C8" s="19">
        <v>1199.9999910593033</v>
      </c>
      <c r="D8" s="26">
        <v>199600</v>
      </c>
      <c r="E8" s="20">
        <v>80</v>
      </c>
      <c r="K8">
        <f>INDEX(OutputValues,4,$J$4)</f>
        <v>560.00001072883606</v>
      </c>
    </row>
    <row r="9" spans="1:11" x14ac:dyDescent="0.2">
      <c r="A9" s="35">
        <v>9.9999994039535522E-2</v>
      </c>
      <c r="B9" s="18">
        <v>500</v>
      </c>
      <c r="C9" s="19">
        <v>1250</v>
      </c>
      <c r="D9" s="26">
        <v>201250</v>
      </c>
      <c r="E9" s="20">
        <v>80</v>
      </c>
      <c r="K9">
        <f>INDEX(OutputValues,5,$J$4)</f>
        <v>500</v>
      </c>
    </row>
    <row r="10" spans="1:11" x14ac:dyDescent="0.2">
      <c r="A10" s="35">
        <v>0.19999998807907104</v>
      </c>
      <c r="B10" s="18">
        <v>500</v>
      </c>
      <c r="C10" s="19">
        <v>1250</v>
      </c>
      <c r="D10" s="26">
        <v>201250</v>
      </c>
      <c r="E10" s="20">
        <v>80</v>
      </c>
      <c r="K10">
        <f>INDEX(OutputValues,6,$J$4)</f>
        <v>500</v>
      </c>
    </row>
    <row r="11" spans="1:11" x14ac:dyDescent="0.2">
      <c r="A11" s="35">
        <v>0.30000001192092896</v>
      </c>
      <c r="B11" s="27">
        <v>500</v>
      </c>
      <c r="C11" s="30">
        <v>1250</v>
      </c>
      <c r="D11" s="31">
        <v>201250</v>
      </c>
      <c r="E11" s="21">
        <v>80</v>
      </c>
      <c r="K11">
        <f>INDEX(OutputValues,7,$J$4)</f>
        <v>500</v>
      </c>
    </row>
  </sheetData>
  <dataValidations count="1">
    <dataValidation type="list" allowBlank="1" showInputMessage="1" showErrorMessage="1" sqref="K4" xr:uid="{00000000-0002-0000-0800-000000000000}">
      <formula1>OutputAddresses</formula1>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29</vt:i4>
      </vt:variant>
    </vt:vector>
  </HeadingPairs>
  <TitlesOfParts>
    <vt:vector size="39" baseType="lpstr">
      <vt:lpstr>Model</vt:lpstr>
      <vt:lpstr>Answer Report 1</vt:lpstr>
      <vt:lpstr>Sensitivity Report 2</vt:lpstr>
      <vt:lpstr>Limits Report 1</vt:lpstr>
      <vt:lpstr>Modified Model</vt:lpstr>
      <vt:lpstr>Graphical Solution</vt:lpstr>
      <vt:lpstr>Sensitivity Report 1</vt:lpstr>
      <vt:lpstr>STS_1</vt:lpstr>
      <vt:lpstr>STS_2</vt:lpstr>
      <vt:lpstr>STS_3</vt:lpstr>
      <vt:lpstr>STS_1!ChartData</vt:lpstr>
      <vt:lpstr>STS_3!ChartData</vt:lpstr>
      <vt:lpstr>STS_2!ChartData1</vt:lpstr>
      <vt:lpstr>STS_2!ChartData2</vt:lpstr>
      <vt:lpstr>'Modified Model'!Hours_Available</vt:lpstr>
      <vt:lpstr>Hours_Available</vt:lpstr>
      <vt:lpstr>'Modified Model'!Hours_Used</vt:lpstr>
      <vt:lpstr>Hours_Used</vt:lpstr>
      <vt:lpstr>STS_1!InputValues</vt:lpstr>
      <vt:lpstr>STS_3!InputValues</vt:lpstr>
      <vt:lpstr>STS_2!InputValues1</vt:lpstr>
      <vt:lpstr>STS_2!InputValues2</vt:lpstr>
      <vt:lpstr>'Modified Model'!Maximum_sales</vt:lpstr>
      <vt:lpstr>Maximum_sales</vt:lpstr>
      <vt:lpstr>'Modified Model'!Number_to_produce</vt:lpstr>
      <vt:lpstr>Number_to_produce</vt:lpstr>
      <vt:lpstr>STS_1!OutputAddresses</vt:lpstr>
      <vt:lpstr>STS_2!OutputAddresses</vt:lpstr>
      <vt:lpstr>STS_3!OutputAddresses</vt:lpstr>
      <vt:lpstr>STS_1!OutputValues</vt:lpstr>
      <vt:lpstr>STS_3!OutputValues</vt:lpstr>
      <vt:lpstr>STS_2!OutputValues_1</vt:lpstr>
      <vt:lpstr>STS_2!OutputValues_2</vt:lpstr>
      <vt:lpstr>STS_2!OutputValues_3</vt:lpstr>
      <vt:lpstr>'Graphical Solution'!Print_Area</vt:lpstr>
      <vt:lpstr>Model!Print_Area</vt:lpstr>
      <vt:lpstr>'Modified Model'!Print_Area</vt:lpstr>
      <vt:lpstr>'Modified Model'!Total_profit</vt:lpstr>
      <vt:lpstr>Total_profit</vt:lpstr>
    </vt:vector>
  </TitlesOfParts>
  <Company>Kelley School of Business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Albright</dc:creator>
  <cp:lastModifiedBy>Microsoft Office User</cp:lastModifiedBy>
  <cp:lastPrinted>2009-12-27T17:10:49Z</cp:lastPrinted>
  <dcterms:created xsi:type="dcterms:W3CDTF">2009-09-28T15:17:58Z</dcterms:created>
  <dcterms:modified xsi:type="dcterms:W3CDTF">2022-06-30T20:49:30Z</dcterms:modified>
</cp:coreProperties>
</file>