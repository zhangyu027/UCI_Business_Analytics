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hangyu027/Dropbox/Academia/UCI Lecturer/I&amp;C_SCI_X425.89/Day7/"/>
    </mc:Choice>
  </mc:AlternateContent>
  <xr:revisionPtr revIDLastSave="0" documentId="13_ncr:1_{654DD0CC-91C4-5041-B3AF-958356FC5570}" xr6:coauthVersionLast="47" xr6:coauthVersionMax="47" xr10:uidLastSave="{00000000-0000-0000-0000-000000000000}"/>
  <bookViews>
    <workbookView xWindow="20080" yWindow="-28340" windowWidth="25920" windowHeight="26560" xr2:uid="{00000000-000D-0000-FFFF-FFFF00000000}"/>
  </bookViews>
  <sheets>
    <sheet name="Model" sheetId="1" r:id="rId1"/>
    <sheet name="Modified Model" sheetId="7" r:id="rId2"/>
    <sheet name="Modified Model_STS" sheetId="8" state="veryHidden" r:id="rId3"/>
    <sheet name="Model_STS" sheetId="4" state="veryHidden" r:id="rId4"/>
  </sheets>
  <definedNames>
    <definedName name="Hours_Available" localSheetId="1">'Modified Model'!$D$21:$D$22</definedName>
    <definedName name="Hours_Available">Model!$D$21:$D$22</definedName>
    <definedName name="Hours_Used" localSheetId="1">'Modified Model'!$B$21:$B$22</definedName>
    <definedName name="Hours_Used">Model!$B$21:$B$22</definedName>
    <definedName name="Maximum_sales" localSheetId="1">'Modified Model'!$B$18:$C$18</definedName>
    <definedName name="Maximum_sales">Model!$B$18:$C$18</definedName>
    <definedName name="Number_to_produce" localSheetId="1">'Modified Model'!$B$16:$C$16</definedName>
    <definedName name="Number_to_produce">Model!$B$16:$C$16</definedName>
    <definedName name="_xlnm.Print_Area" localSheetId="0">Model!$A$1:$G$25</definedName>
    <definedName name="_xlnm.Print_Area" localSheetId="1">'Modified Model'!$A$1:$H$25</definedName>
    <definedName name="solver_adj" localSheetId="0" hidden="1">Model!$B$16:$C$16</definedName>
    <definedName name="solver_adj" localSheetId="1" hidden="1">'Modified Model'!$B$16:$C$16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100</definedName>
    <definedName name="solver_itr" localSheetId="1" hidden="1">100</definedName>
    <definedName name="solver_lhs1" localSheetId="0" hidden="1">Model!$B$21:$B$22</definedName>
    <definedName name="solver_lhs1" localSheetId="1" hidden="1">'Modified Model'!$B$21:$B$22</definedName>
    <definedName name="solver_lhs2" localSheetId="0" hidden="1">Model!$B$16:$C$16</definedName>
    <definedName name="solver_lhs2" localSheetId="1" hidden="1">'Modified Model'!$B$16:$C$16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Model!$D$25</definedName>
    <definedName name="solver_opt" localSheetId="1" hidden="1">'Modified Model'!$D$25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1</definedName>
    <definedName name="solver_rel2" localSheetId="1" hidden="1">1</definedName>
    <definedName name="solver_rhs1" localSheetId="0" hidden="1">Hours_Available</definedName>
    <definedName name="solver_rhs1" localSheetId="1" hidden="1">'Modified Model'!Hours_Available</definedName>
    <definedName name="solver_rhs2" localSheetId="0" hidden="1">Maximum_sales</definedName>
    <definedName name="solver_rhs2" localSheetId="1" hidden="1">'Modified Model'!Maximum_sales</definedName>
    <definedName name="solver_rlx" localSheetId="0" hidden="1">1</definedName>
    <definedName name="solver_rlx" localSheetId="1" hidden="1">1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100</definedName>
    <definedName name="solver_tim" localSheetId="1" hidden="1">100</definedName>
    <definedName name="solver_tol" localSheetId="0" hidden="1">0.05</definedName>
    <definedName name="solver_tol" localSheetId="1" hidden="1">0.05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3</definedName>
    <definedName name="Total_profit" localSheetId="1">'Modified Model'!$D$25</definedName>
    <definedName name="Total_profit">Model!$D$25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8" i="7" l="1"/>
  <c r="C18" i="7"/>
  <c r="B22" i="7"/>
  <c r="B21" i="7"/>
  <c r="C12" i="7"/>
  <c r="C25" i="7"/>
  <c r="B12" i="7"/>
  <c r="B25" i="7" s="1"/>
  <c r="B21" i="1"/>
  <c r="B22" i="1"/>
  <c r="B12" i="1"/>
  <c r="B25" i="1" s="1"/>
  <c r="C12" i="1"/>
  <c r="C25" i="1" s="1"/>
  <c r="D25" i="7" l="1"/>
  <c r="D25" i="1"/>
</calcChain>
</file>

<file path=xl/sharedStrings.xml><?xml version="1.0" encoding="utf-8"?>
<sst xmlns="http://schemas.openxmlformats.org/spreadsheetml/2006/main" count="84" uniqueCount="50">
  <si>
    <t>Assembling and testing computers</t>
  </si>
  <si>
    <t>Basic</t>
  </si>
  <si>
    <t>XP</t>
  </si>
  <si>
    <t>Inputs for assembling and testing a computer</t>
  </si>
  <si>
    <t>Labor hours for assembly</t>
  </si>
  <si>
    <t>Labor hours for testing</t>
  </si>
  <si>
    <t>Cost of component parts</t>
  </si>
  <si>
    <t>Selling price</t>
  </si>
  <si>
    <t>Unit margin</t>
  </si>
  <si>
    <t>Assembling, testing plan (# of computers)</t>
  </si>
  <si>
    <t>Total</t>
  </si>
  <si>
    <t>Cost per labor hour assembling</t>
  </si>
  <si>
    <t>Cost per labor hour testing</t>
  </si>
  <si>
    <t>Labor availability for assembling</t>
  </si>
  <si>
    <t>Labor availability for testing</t>
  </si>
  <si>
    <t>&lt;=</t>
  </si>
  <si>
    <t>Constraints (hours per month)</t>
  </si>
  <si>
    <t>Number to produce</t>
  </si>
  <si>
    <t>Maximum sales</t>
  </si>
  <si>
    <t>Net profit ($ this month)</t>
  </si>
  <si>
    <t>Range names used:</t>
  </si>
  <si>
    <t>=Model!$D$21:$D$22</t>
  </si>
  <si>
    <t>=Model!$B$21:$B$22</t>
  </si>
  <si>
    <t>Maximum_sales</t>
  </si>
  <si>
    <t>=Model!$B$18:$C$18</t>
  </si>
  <si>
    <t>Number_to_produce</t>
  </si>
  <si>
    <t>=Model!$B$16:$C$16</t>
  </si>
  <si>
    <t>Total_profit</t>
  </si>
  <si>
    <t>=Model!$D$25</t>
  </si>
  <si>
    <t>$C$11</t>
  </si>
  <si>
    <t>$B$16:$C$16,$D$25</t>
  </si>
  <si>
    <t>Selling Price XP</t>
  </si>
  <si>
    <t>$D$21</t>
  </si>
  <si>
    <t/>
  </si>
  <si>
    <t>$D$22</t>
  </si>
  <si>
    <t>Assembling hours</t>
  </si>
  <si>
    <t>Testing hours</t>
  </si>
  <si>
    <t>% change in both</t>
  </si>
  <si>
    <t>$G$18</t>
  </si>
  <si>
    <t>% change in max sales</t>
  </si>
  <si>
    <t>Hours used</t>
  </si>
  <si>
    <t>Hours available</t>
  </si>
  <si>
    <t>Hours_available</t>
  </si>
  <si>
    <t>Hours_used</t>
  </si>
  <si>
    <t>Original values</t>
  </si>
  <si>
    <t>$B$16:$C$16,$D$25,$B$12</t>
  </si>
  <si>
    <t>Acres</t>
  </si>
  <si>
    <t>profit</t>
  </si>
  <si>
    <t>workers</t>
  </si>
  <si>
    <t>fertilizer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</si>
</sst>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2D3B45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164" fontId="0" fillId="2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1133476</xdr:colOff>
      <xdr:row>13</xdr:row>
      <xdr:rowOff>0</xdr:rowOff>
    </xdr:from>
    <xdr:to>
      <xdr:col>8</xdr:col>
      <xdr:colOff>295276</xdr:colOff>
      <xdr:row>19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143501" y="2476500"/>
          <a:ext cx="2305050" cy="127635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In general, it is interesting to check which changing cells are positive</a:t>
          </a:r>
          <a:r>
            <a:rPr lang="en-US" sz="1100" baseline="0"/>
            <a:t> (both of them here) and which constraints are binding (the XP maximum sales constraint and the first hour availability constraint).</a:t>
          </a:r>
          <a:endParaRPr lang="en-US" sz="1100"/>
        </a:p>
      </xdr:txBody>
    </xdr:sp>
    <xdr:clientData/>
  </xdr:twoCellAnchor>
  <xdr:twoCellAnchor editAs="oneCell">
    <xdr:from>
      <xdr:col>9</xdr:col>
      <xdr:colOff>66675</xdr:colOff>
      <xdr:row>2</xdr:row>
      <xdr:rowOff>114300</xdr:rowOff>
    </xdr:from>
    <xdr:to>
      <xdr:col>12</xdr:col>
      <xdr:colOff>222060</xdr:colOff>
      <xdr:row>13</xdr:row>
      <xdr:rowOff>30800</xdr:rowOff>
    </xdr:to>
    <xdr:pic>
      <xdr:nvPicPr>
        <xdr:cNvPr id="3" name="Picture 2" descr="Algebraic model equations, see Page 604 in the tex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29550" y="495300"/>
          <a:ext cx="1984185" cy="2012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9</xdr:row>
      <xdr:rowOff>114301</xdr:rowOff>
    </xdr:from>
    <xdr:to>
      <xdr:col>7</xdr:col>
      <xdr:colOff>438150</xdr:colOff>
      <xdr:row>15</xdr:row>
      <xdr:rowOff>19051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219575" y="1828801"/>
          <a:ext cx="2057400" cy="104775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trick here</a:t>
          </a:r>
          <a:r>
            <a:rPr lang="en-US" sz="1100" baseline="0"/>
            <a:t> is to let the </a:t>
          </a:r>
          <a:r>
            <a:rPr lang="en-US" sz="1100" i="1" baseline="0"/>
            <a:t>single </a:t>
          </a:r>
          <a:r>
            <a:rPr lang="en-US" sz="1100" i="0" baseline="0"/>
            <a:t>value in cell G18 drive both values in cells B18 and C18 from their original values.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25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31" customWidth="1"/>
    <col min="2" max="2" width="10.83203125" bestFit="1" customWidth="1"/>
    <col min="5" max="5" width="19.6640625" bestFit="1" customWidth="1"/>
  </cols>
  <sheetData>
    <row r="1" spans="1:6" x14ac:dyDescent="0.2">
      <c r="A1" s="1" t="s">
        <v>0</v>
      </c>
      <c r="E1" s="1" t="s">
        <v>20</v>
      </c>
    </row>
    <row r="2" spans="1:6" x14ac:dyDescent="0.2">
      <c r="E2" s="10" t="s">
        <v>42</v>
      </c>
      <c r="F2" s="10" t="s">
        <v>21</v>
      </c>
    </row>
    <row r="3" spans="1:6" x14ac:dyDescent="0.2">
      <c r="A3" t="s">
        <v>11</v>
      </c>
      <c r="B3" s="5">
        <v>1</v>
      </c>
      <c r="E3" s="10" t="s">
        <v>43</v>
      </c>
      <c r="F3" s="10" t="s">
        <v>22</v>
      </c>
    </row>
    <row r="4" spans="1:6" x14ac:dyDescent="0.2">
      <c r="A4" t="s">
        <v>12</v>
      </c>
      <c r="B4" s="5">
        <v>6</v>
      </c>
      <c r="E4" s="10" t="s">
        <v>23</v>
      </c>
      <c r="F4" s="10" t="s">
        <v>24</v>
      </c>
    </row>
    <row r="5" spans="1:6" x14ac:dyDescent="0.2">
      <c r="E5" s="10" t="s">
        <v>25</v>
      </c>
      <c r="F5" s="10" t="s">
        <v>26</v>
      </c>
    </row>
    <row r="6" spans="1:6" x14ac:dyDescent="0.2">
      <c r="A6" t="s">
        <v>3</v>
      </c>
      <c r="E6" s="10" t="s">
        <v>27</v>
      </c>
      <c r="F6" s="10" t="s">
        <v>28</v>
      </c>
    </row>
    <row r="7" spans="1:6" x14ac:dyDescent="0.2">
      <c r="B7" s="2" t="s">
        <v>1</v>
      </c>
      <c r="C7" s="2" t="s">
        <v>2</v>
      </c>
    </row>
    <row r="8" spans="1:6" x14ac:dyDescent="0.2">
      <c r="A8" t="s">
        <v>4</v>
      </c>
      <c r="B8" s="3">
        <v>5</v>
      </c>
      <c r="C8" s="3">
        <v>6</v>
      </c>
    </row>
    <row r="9" spans="1:6" x14ac:dyDescent="0.2">
      <c r="A9" t="s">
        <v>5</v>
      </c>
      <c r="B9" s="3">
        <v>1</v>
      </c>
      <c r="C9" s="3">
        <v>2</v>
      </c>
    </row>
    <row r="10" spans="1:6" x14ac:dyDescent="0.2">
      <c r="A10" t="s">
        <v>6</v>
      </c>
      <c r="B10" s="5">
        <v>150</v>
      </c>
      <c r="C10" s="5">
        <v>225</v>
      </c>
    </row>
    <row r="11" spans="1:6" x14ac:dyDescent="0.2">
      <c r="A11" t="s">
        <v>7</v>
      </c>
      <c r="B11" s="5">
        <v>300</v>
      </c>
      <c r="C11" s="5">
        <v>450</v>
      </c>
    </row>
    <row r="12" spans="1:6" x14ac:dyDescent="0.2">
      <c r="A12" t="s">
        <v>8</v>
      </c>
      <c r="B12" s="6">
        <f>B11-B8*$B$3-B9*$B$4-B10</f>
        <v>139</v>
      </c>
      <c r="C12" s="6">
        <f>C11-C8*$B$3-C9*$B$4-C10</f>
        <v>207</v>
      </c>
    </row>
    <row r="14" spans="1:6" x14ac:dyDescent="0.2">
      <c r="A14" t="s">
        <v>9</v>
      </c>
    </row>
    <row r="15" spans="1:6" x14ac:dyDescent="0.2">
      <c r="B15" s="2" t="s">
        <v>1</v>
      </c>
      <c r="C15" s="2" t="s">
        <v>2</v>
      </c>
    </row>
    <row r="16" spans="1:6" ht="21" x14ac:dyDescent="0.25">
      <c r="A16" s="15" t="s">
        <v>47</v>
      </c>
      <c r="B16" s="15">
        <v>400</v>
      </c>
      <c r="C16" s="4">
        <v>200</v>
      </c>
    </row>
    <row r="17" spans="1:4" x14ac:dyDescent="0.2">
      <c r="B17" s="9" t="s">
        <v>15</v>
      </c>
      <c r="C17" s="9" t="s">
        <v>15</v>
      </c>
    </row>
    <row r="18" spans="1:4" x14ac:dyDescent="0.2">
      <c r="A18" t="s">
        <v>46</v>
      </c>
      <c r="B18" s="3">
        <v>50</v>
      </c>
      <c r="C18" s="3">
        <v>50</v>
      </c>
    </row>
    <row r="20" spans="1:4" x14ac:dyDescent="0.2">
      <c r="A20" t="s">
        <v>16</v>
      </c>
      <c r="B20" s="2" t="s">
        <v>40</v>
      </c>
      <c r="C20" s="2"/>
      <c r="D20" s="12" t="s">
        <v>41</v>
      </c>
    </row>
    <row r="21" spans="1:4" ht="21" x14ac:dyDescent="0.25">
      <c r="A21" s="15" t="s">
        <v>48</v>
      </c>
      <c r="B21">
        <f>SUMPRODUCT(B8:C8,Number_to_produce)</f>
        <v>3200</v>
      </c>
      <c r="C21" s="8" t="s">
        <v>15</v>
      </c>
      <c r="D21" s="15">
        <v>150</v>
      </c>
    </row>
    <row r="22" spans="1:4" ht="21" x14ac:dyDescent="0.25">
      <c r="A22" s="15" t="s">
        <v>49</v>
      </c>
      <c r="B22">
        <f>SUMPRODUCT(B9:C9,Number_to_produce)</f>
        <v>800</v>
      </c>
      <c r="C22" s="8" t="s">
        <v>15</v>
      </c>
      <c r="D22" s="15">
        <v>200</v>
      </c>
    </row>
    <row r="24" spans="1:4" x14ac:dyDescent="0.2">
      <c r="A24" t="s">
        <v>19</v>
      </c>
      <c r="B24" s="2" t="s">
        <v>1</v>
      </c>
      <c r="C24" s="2" t="s">
        <v>2</v>
      </c>
      <c r="D24" s="2" t="s">
        <v>10</v>
      </c>
    </row>
    <row r="25" spans="1:4" x14ac:dyDescent="0.2">
      <c r="B25" s="6">
        <f>B12*B16</f>
        <v>55600</v>
      </c>
      <c r="C25" s="6">
        <f>C12*C16</f>
        <v>41400</v>
      </c>
      <c r="D25" s="7">
        <f>SUM(B25:C25)</f>
        <v>97000</v>
      </c>
    </row>
  </sheetData>
  <printOptions headings="1" gridLines="1"/>
  <pageMargins left="0.7" right="0.7" top="0.75" bottom="0.75" header="0.3" footer="0.3"/>
  <pageSetup scale="8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G25"/>
  <sheetViews>
    <sheetView workbookViewId="0"/>
  </sheetViews>
  <sheetFormatPr baseColWidth="10" defaultColWidth="8.83203125" defaultRowHeight="15" x14ac:dyDescent="0.2"/>
  <cols>
    <col min="1" max="1" width="31" customWidth="1"/>
    <col min="2" max="2" width="10.83203125" bestFit="1" customWidth="1"/>
    <col min="5" max="5" width="9.1640625" customWidth="1"/>
  </cols>
  <sheetData>
    <row r="1" spans="1:6" x14ac:dyDescent="0.2">
      <c r="A1" s="1" t="s">
        <v>0</v>
      </c>
      <c r="E1" s="1"/>
    </row>
    <row r="2" spans="1:6" x14ac:dyDescent="0.2">
      <c r="E2" s="10"/>
      <c r="F2" s="10"/>
    </row>
    <row r="3" spans="1:6" x14ac:dyDescent="0.2">
      <c r="A3" t="s">
        <v>11</v>
      </c>
      <c r="B3" s="5">
        <v>11</v>
      </c>
      <c r="E3" s="10"/>
      <c r="F3" s="10"/>
    </row>
    <row r="4" spans="1:6" x14ac:dyDescent="0.2">
      <c r="A4" t="s">
        <v>12</v>
      </c>
      <c r="B4" s="5">
        <v>15</v>
      </c>
      <c r="E4" s="10"/>
      <c r="F4" s="10"/>
    </row>
    <row r="5" spans="1:6" x14ac:dyDescent="0.2">
      <c r="E5" s="10"/>
      <c r="F5" s="10"/>
    </row>
    <row r="6" spans="1:6" x14ac:dyDescent="0.2">
      <c r="A6" t="s">
        <v>3</v>
      </c>
      <c r="E6" s="10"/>
      <c r="F6" s="10"/>
    </row>
    <row r="7" spans="1:6" x14ac:dyDescent="0.2">
      <c r="B7" s="2" t="s">
        <v>1</v>
      </c>
      <c r="C7" s="2" t="s">
        <v>2</v>
      </c>
    </row>
    <row r="8" spans="1:6" x14ac:dyDescent="0.2">
      <c r="A8" t="s">
        <v>4</v>
      </c>
      <c r="B8" s="3">
        <v>5</v>
      </c>
      <c r="C8" s="3">
        <v>6</v>
      </c>
    </row>
    <row r="9" spans="1:6" x14ac:dyDescent="0.2">
      <c r="A9" t="s">
        <v>5</v>
      </c>
      <c r="B9" s="3">
        <v>1</v>
      </c>
      <c r="C9" s="3">
        <v>2</v>
      </c>
    </row>
    <row r="10" spans="1:6" x14ac:dyDescent="0.2">
      <c r="A10" t="s">
        <v>6</v>
      </c>
      <c r="B10" s="5">
        <v>150</v>
      </c>
      <c r="C10" s="5">
        <v>225</v>
      </c>
    </row>
    <row r="11" spans="1:6" x14ac:dyDescent="0.2">
      <c r="A11" t="s">
        <v>7</v>
      </c>
      <c r="B11" s="5">
        <v>300</v>
      </c>
      <c r="C11" s="5">
        <v>450</v>
      </c>
    </row>
    <row r="12" spans="1:6" x14ac:dyDescent="0.2">
      <c r="A12" t="s">
        <v>8</v>
      </c>
      <c r="B12" s="6">
        <f>B11-B8*$B$3-B9*$B$4-B10</f>
        <v>80</v>
      </c>
      <c r="C12" s="6">
        <f>C11-C8*$B$3-C9*$B$4-C10</f>
        <v>129</v>
      </c>
    </row>
    <row r="14" spans="1:6" x14ac:dyDescent="0.2">
      <c r="A14" t="s">
        <v>9</v>
      </c>
    </row>
    <row r="15" spans="1:6" x14ac:dyDescent="0.2">
      <c r="B15" s="2" t="s">
        <v>1</v>
      </c>
      <c r="C15" s="2" t="s">
        <v>2</v>
      </c>
    </row>
    <row r="16" spans="1:6" x14ac:dyDescent="0.2">
      <c r="A16" t="s">
        <v>17</v>
      </c>
      <c r="B16" s="4">
        <v>560</v>
      </c>
      <c r="C16" s="4">
        <v>1200</v>
      </c>
    </row>
    <row r="17" spans="1:7" x14ac:dyDescent="0.2">
      <c r="B17" s="9" t="s">
        <v>15</v>
      </c>
      <c r="C17" s="9" t="s">
        <v>15</v>
      </c>
      <c r="E17" t="s">
        <v>44</v>
      </c>
      <c r="G17" t="s">
        <v>37</v>
      </c>
    </row>
    <row r="18" spans="1:7" x14ac:dyDescent="0.2">
      <c r="A18" t="s">
        <v>18</v>
      </c>
      <c r="B18" s="14">
        <f>E18*(1+$G$18)</f>
        <v>600</v>
      </c>
      <c r="C18" s="14">
        <f>F18*(1+$G$18)</f>
        <v>1200</v>
      </c>
      <c r="E18" s="3">
        <v>600</v>
      </c>
      <c r="F18" s="3">
        <v>1200</v>
      </c>
      <c r="G18" s="13">
        <v>0</v>
      </c>
    </row>
    <row r="20" spans="1:7" x14ac:dyDescent="0.2">
      <c r="A20" t="s">
        <v>16</v>
      </c>
      <c r="B20" s="2" t="s">
        <v>40</v>
      </c>
      <c r="C20" s="2"/>
      <c r="D20" s="12" t="s">
        <v>41</v>
      </c>
    </row>
    <row r="21" spans="1:7" x14ac:dyDescent="0.2">
      <c r="A21" t="s">
        <v>13</v>
      </c>
      <c r="B21">
        <f>SUMPRODUCT(B8:C8,Number_to_produce)</f>
        <v>10000</v>
      </c>
      <c r="C21" s="8" t="s">
        <v>15</v>
      </c>
      <c r="D21" s="3">
        <v>10000</v>
      </c>
    </row>
    <row r="22" spans="1:7" x14ac:dyDescent="0.2">
      <c r="A22" t="s">
        <v>14</v>
      </c>
      <c r="B22">
        <f>SUMPRODUCT(B9:C9,Number_to_produce)</f>
        <v>2960</v>
      </c>
      <c r="C22" s="8" t="s">
        <v>15</v>
      </c>
      <c r="D22" s="3">
        <v>3000</v>
      </c>
    </row>
    <row r="24" spans="1:7" x14ac:dyDescent="0.2">
      <c r="A24" t="s">
        <v>19</v>
      </c>
      <c r="B24" s="2" t="s">
        <v>1</v>
      </c>
      <c r="C24" s="2" t="s">
        <v>2</v>
      </c>
      <c r="D24" s="2" t="s">
        <v>10</v>
      </c>
    </row>
    <row r="25" spans="1:7" x14ac:dyDescent="0.2">
      <c r="B25" s="6">
        <f>B12*B16</f>
        <v>44800</v>
      </c>
      <c r="C25" s="6">
        <f>C12*C16</f>
        <v>154800</v>
      </c>
      <c r="D25" s="7">
        <f>SUM(B25:C25)</f>
        <v>199600</v>
      </c>
    </row>
  </sheetData>
  <printOptions headings="1" gridLines="1"/>
  <pageMargins left="0.7" right="0.7" top="0.75" bottom="0.75" header="0.3" footer="0.3"/>
  <pageSetup scale="90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A2" t="s">
        <v>38</v>
      </c>
    </row>
    <row r="3" spans="1:2" x14ac:dyDescent="0.2">
      <c r="A3">
        <v>1</v>
      </c>
    </row>
    <row r="4" spans="1:2" x14ac:dyDescent="0.2">
      <c r="A4">
        <v>-0.3</v>
      </c>
    </row>
    <row r="5" spans="1:2" x14ac:dyDescent="0.2">
      <c r="A5">
        <v>0.3</v>
      </c>
    </row>
    <row r="6" spans="1:2" x14ac:dyDescent="0.2">
      <c r="A6">
        <v>0.1</v>
      </c>
    </row>
    <row r="8" spans="1:2" x14ac:dyDescent="0.2">
      <c r="A8" s="11"/>
      <c r="B8" s="11"/>
    </row>
    <row r="9" spans="1:2" x14ac:dyDescent="0.2">
      <c r="A9" t="s">
        <v>45</v>
      </c>
    </row>
    <row r="10" spans="1:2" x14ac:dyDescent="0.2">
      <c r="A10" t="s">
        <v>39</v>
      </c>
    </row>
    <row r="15" spans="1:2" x14ac:dyDescent="0.2">
      <c r="B15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1</v>
      </c>
    </row>
    <row r="2" spans="1:2" x14ac:dyDescent="0.2">
      <c r="A2" t="s">
        <v>29</v>
      </c>
      <c r="B2" t="s">
        <v>32</v>
      </c>
    </row>
    <row r="3" spans="1:2" x14ac:dyDescent="0.2">
      <c r="A3">
        <v>1</v>
      </c>
      <c r="B3">
        <v>1</v>
      </c>
    </row>
    <row r="4" spans="1:2" x14ac:dyDescent="0.2">
      <c r="A4">
        <v>350</v>
      </c>
      <c r="B4">
        <v>8000</v>
      </c>
    </row>
    <row r="5" spans="1:2" x14ac:dyDescent="0.2">
      <c r="A5">
        <v>550</v>
      </c>
      <c r="B5">
        <v>12000</v>
      </c>
    </row>
    <row r="6" spans="1:2" x14ac:dyDescent="0.2">
      <c r="A6">
        <v>25</v>
      </c>
      <c r="B6">
        <v>500</v>
      </c>
    </row>
    <row r="8" spans="1:2" x14ac:dyDescent="0.2">
      <c r="A8" s="11"/>
      <c r="B8" s="11" t="s">
        <v>33</v>
      </c>
    </row>
    <row r="9" spans="1:2" x14ac:dyDescent="0.2">
      <c r="A9" t="s">
        <v>30</v>
      </c>
      <c r="B9" t="s">
        <v>34</v>
      </c>
    </row>
    <row r="10" spans="1:2" x14ac:dyDescent="0.2">
      <c r="A10" t="s">
        <v>31</v>
      </c>
      <c r="B10">
        <v>1</v>
      </c>
    </row>
    <row r="11" spans="1:2" x14ac:dyDescent="0.2">
      <c r="B11">
        <v>2000</v>
      </c>
    </row>
    <row r="12" spans="1:2" x14ac:dyDescent="0.2">
      <c r="B12">
        <v>5000</v>
      </c>
    </row>
    <row r="13" spans="1:2" x14ac:dyDescent="0.2">
      <c r="B13">
        <v>500</v>
      </c>
    </row>
    <row r="15" spans="1:2" x14ac:dyDescent="0.2">
      <c r="B15" s="11" t="s">
        <v>33</v>
      </c>
    </row>
    <row r="16" spans="1:2" x14ac:dyDescent="0.2">
      <c r="B16" t="s">
        <v>30</v>
      </c>
    </row>
    <row r="17" spans="2:2" x14ac:dyDescent="0.2">
      <c r="B17" t="s">
        <v>35</v>
      </c>
    </row>
    <row r="18" spans="2:2" x14ac:dyDescent="0.2">
      <c r="B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Model</vt:lpstr>
      <vt:lpstr>Modified Model</vt:lpstr>
      <vt:lpstr>'Modified Model'!Hours_Available</vt:lpstr>
      <vt:lpstr>Hours_Available</vt:lpstr>
      <vt:lpstr>'Modified Model'!Hours_Used</vt:lpstr>
      <vt:lpstr>Hours_Used</vt:lpstr>
      <vt:lpstr>'Modified Model'!Maximum_sales</vt:lpstr>
      <vt:lpstr>Maximum_sales</vt:lpstr>
      <vt:lpstr>'Modified Model'!Number_to_produce</vt:lpstr>
      <vt:lpstr>Number_to_produce</vt:lpstr>
      <vt:lpstr>Model!Print_Area</vt:lpstr>
      <vt:lpstr>'Modified Model'!Print_Area</vt:lpstr>
      <vt:lpstr>'Modified Model'!Total_profit</vt:lpstr>
      <vt:lpstr>Total_profit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Yu Zhang</cp:lastModifiedBy>
  <cp:lastPrinted>2009-12-27T17:10:49Z</cp:lastPrinted>
  <dcterms:created xsi:type="dcterms:W3CDTF">2009-09-28T15:17:58Z</dcterms:created>
  <dcterms:modified xsi:type="dcterms:W3CDTF">2022-06-27T17:06:19Z</dcterms:modified>
</cp:coreProperties>
</file>