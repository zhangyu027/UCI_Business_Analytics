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/>
  <mc:AlternateContent xmlns:mc="http://schemas.openxmlformats.org/markup-compatibility/2006">
    <mc:Choice Requires="x15">
      <x15ac:absPath xmlns:x15ac="http://schemas.microsoft.com/office/spreadsheetml/2010/11/ac" url="/Users/yuzhang/Dropbox/Academia/UCI Lecturer/I&amp;C_SCI_X425.89/Day3/"/>
    </mc:Choice>
  </mc:AlternateContent>
  <xr:revisionPtr revIDLastSave="0" documentId="13_ncr:1_{AAF64783-8FEE-F841-9CCB-93B591747D8D}" xr6:coauthVersionLast="47" xr6:coauthVersionMax="47" xr10:uidLastSave="{00000000-0000-0000-0000-000000000000}"/>
  <bookViews>
    <workbookView xWindow="0" yWindow="500" windowWidth="28800" windowHeight="16520" activeTab="1" xr2:uid="{00000000-000D-0000-FFFF-FFFF00000000}"/>
  </bookViews>
  <sheets>
    <sheet name="p1" sheetId="9" r:id="rId1"/>
    <sheet name="data source" sheetId="1" r:id="rId2"/>
    <sheet name="descriptive" sheetId="12" r:id="rId3"/>
    <sheet name="regression" sheetId="11" r:id="rId4"/>
    <sheet name="p2" sheetId="10" r:id="rId5"/>
    <sheet name="transpose" sheetId="8" r:id="rId6"/>
    <sheet name="by regions" sheetId="2" r:id="rId7"/>
    <sheet name="overall" sheetId="3" r:id="rId8"/>
    <sheet name="Domestic Brazil" sheetId="4" r:id="rId9"/>
    <sheet name="Long Haul" sheetId="5" r:id="rId10"/>
    <sheet name="NorthCone" sheetId="6" r:id="rId11"/>
    <sheet name="SouthCone" sheetId="7" r:id="rId12"/>
  </sheets>
  <definedNames>
    <definedName name="_xlchart.v1.0" hidden="1">'data source'!$D$1</definedName>
    <definedName name="_xlchart.v1.1" hidden="1">'data source'!$D$2:$D$1065</definedName>
    <definedName name="_xlchart.v1.10" hidden="1">'data source'!$F$1</definedName>
    <definedName name="_xlchart.v1.11" hidden="1">'data source'!$F$2:$F$1065</definedName>
    <definedName name="_xlchart.v1.12" hidden="1">'data source'!$D$1</definedName>
    <definedName name="_xlchart.v1.13" hidden="1">'data source'!$D$2:$D$1065</definedName>
    <definedName name="_xlchart.v1.14" hidden="1">'data source'!$E$1</definedName>
    <definedName name="_xlchart.v1.15" hidden="1">'data source'!$E$2:$E$1065</definedName>
    <definedName name="_xlchart.v1.16" hidden="1">'data source'!$F$1</definedName>
    <definedName name="_xlchart.v1.17" hidden="1">'data source'!$F$2:$F$1065</definedName>
    <definedName name="_xlchart.v1.2" hidden="1">'data source'!$E$1</definedName>
    <definedName name="_xlchart.v1.3" hidden="1">'data source'!$E$2:$E$1065</definedName>
    <definedName name="_xlchart.v1.4" hidden="1">'data source'!$F$1</definedName>
    <definedName name="_xlchart.v1.5" hidden="1">'data source'!$F$2:$F$1065</definedName>
    <definedName name="_xlchart.v1.6" hidden="1">'data source'!$D$1</definedName>
    <definedName name="_xlchart.v1.7" hidden="1">'data source'!$D$2:$D$1065</definedName>
    <definedName name="_xlchart.v1.8" hidden="1">'data source'!$E$1</definedName>
    <definedName name="_xlchart.v1.9" hidden="1">'data source'!$E$2:$E$1065</definedName>
    <definedName name="Z_7D8504A3_6E0B_4B20_86F0_C74DACFEBABA_.wvu.FilterData" localSheetId="8" hidden="1">'Domestic Brazil'!$A$1:$P$19</definedName>
  </definedNames>
  <calcPr calcId="191029"/>
  <customWorkbookViews>
    <customWorkbookView name="Filter 1" guid="{7D8504A3-6E0B-4B20-86F0-C74DACFEBABA}" maximized="1" windowWidth="0" windowHeight="0" activeSheetId="0"/>
  </customWorkbookViews>
  <pivotCaches>
    <pivotCache cacheId="32" r:id="rId13"/>
    <pivotCache cacheId="33" r:id="rId14"/>
    <pivotCache cacheId="39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" i="1"/>
  <c r="I4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2" i="1"/>
  <c r="H6" i="1"/>
  <c r="H5" i="1"/>
  <c r="H4" i="1"/>
</calcChain>
</file>

<file path=xl/sharedStrings.xml><?xml version="1.0" encoding="utf-8"?>
<sst xmlns="http://schemas.openxmlformats.org/spreadsheetml/2006/main" count="5401" uniqueCount="80">
  <si>
    <t>dep_yearmo</t>
  </si>
  <si>
    <t>region</t>
  </si>
  <si>
    <t>booking_class</t>
  </si>
  <si>
    <t>bf_min</t>
  </si>
  <si>
    <t>bf_avg</t>
  </si>
  <si>
    <t>bf_max</t>
  </si>
  <si>
    <t>Others</t>
  </si>
  <si>
    <t>V</t>
  </si>
  <si>
    <t>K</t>
  </si>
  <si>
    <t>N</t>
  </si>
  <si>
    <t>South Cone</t>
  </si>
  <si>
    <t>X</t>
  </si>
  <si>
    <t>North Cone</t>
  </si>
  <si>
    <t>Long Haul</t>
  </si>
  <si>
    <t>Domestic Brazil</t>
  </si>
  <si>
    <t>S</t>
  </si>
  <si>
    <t>G</t>
  </si>
  <si>
    <t>B</t>
  </si>
  <si>
    <t>Q</t>
  </si>
  <si>
    <t>H</t>
  </si>
  <si>
    <t>A</t>
  </si>
  <si>
    <t>Y</t>
  </si>
  <si>
    <t>O</t>
  </si>
  <si>
    <t>M</t>
  </si>
  <si>
    <t>L</t>
  </si>
  <si>
    <t>AVERAGE of bf_avg</t>
  </si>
  <si>
    <t>Grand Total</t>
  </si>
  <si>
    <t>trans</t>
  </si>
  <si>
    <t>Sum of bf_avg</t>
  </si>
  <si>
    <t>Row Labels</t>
  </si>
  <si>
    <t>Total Sum of bf_avg</t>
  </si>
  <si>
    <t>Count of region</t>
  </si>
  <si>
    <t>Total Count of region</t>
  </si>
  <si>
    <t>square(bf_avg)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</si>
  <si>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</si>
  <si>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</si>
  <si>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</si>
  <si>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</si>
  <si>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</si>
  <si>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</si>
  <si>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</si>
  <si>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</si>
  <si>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</si>
  <si>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</si>
  <si>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</si>
  <si>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</si>
  <si>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</si>
  <si>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</si>
  <si>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</si>
  <si>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</si>
  <si>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</si>
  <si>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</si>
  <si>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</si>
  <si>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</si>
  <si>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</si>
  <si>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</si>
  <si>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</si>
  <si>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</si>
  <si>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</si>
  <si>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</si>
  <si>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1072.81567382812</t>
  </si>
  <si>
    <t>Residuals</t>
  </si>
  <si>
    <t>Standard Residuals</t>
  </si>
  <si>
    <t>PROBABILITY OUTPUT</t>
  </si>
  <si>
    <t>Percentile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</si>
  <si>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</si>
  <si>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</si>
  <si>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</si>
  <si>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</si>
  <si>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</si>
  <si>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</si>
  <si>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</si>
  <si>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</si>
  <si>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</si>
  <si>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</si>
  <si>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</si>
  <si>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</si>
  <si>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Largest(1)</t>
  </si>
  <si>
    <t>Smallest(1)</t>
  </si>
  <si>
    <t>Confidence Level(95.0%)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</si>
</sst>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yyyy\-m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i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165" fontId="1" fillId="0" borderId="0" xfId="0" applyNumberFormat="1" applyFont="1" applyAlignment="1"/>
    <xf numFmtId="0" fontId="0" fillId="0" borderId="1" xfId="0" pivotButton="1" applyFont="1" applyBorder="1" applyAlignment="1"/>
    <xf numFmtId="0" fontId="0" fillId="0" borderId="2" xfId="0" applyFont="1" applyBorder="1" applyAlignment="1"/>
    <xf numFmtId="0" fontId="0" fillId="0" borderId="3" xfId="0" applyFont="1" applyBorder="1" applyAlignment="1"/>
    <xf numFmtId="0" fontId="0" fillId="0" borderId="1" xfId="0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0" fillId="0" borderId="1" xfId="0" applyNumberFormat="1" applyFont="1" applyBorder="1" applyAlignment="1"/>
    <xf numFmtId="0" fontId="0" fillId="0" borderId="4" xfId="0" applyNumberFormat="1" applyFont="1" applyBorder="1" applyAlignment="1"/>
    <xf numFmtId="0" fontId="0" fillId="0" borderId="5" xfId="0" applyNumberFormat="1" applyFont="1" applyBorder="1" applyAlignment="1"/>
    <xf numFmtId="0" fontId="0" fillId="0" borderId="6" xfId="0" applyFont="1" applyBorder="1" applyAlignment="1"/>
    <xf numFmtId="0" fontId="0" fillId="0" borderId="6" xfId="0" applyNumberFormat="1" applyFont="1" applyBorder="1" applyAlignment="1"/>
    <xf numFmtId="0" fontId="0" fillId="0" borderId="0" xfId="0" applyNumberFormat="1" applyFont="1" applyAlignment="1"/>
    <xf numFmtId="0" fontId="0" fillId="0" borderId="7" xfId="0" applyNumberFormat="1" applyFont="1" applyBorder="1" applyAlignment="1"/>
    <xf numFmtId="0" fontId="0" fillId="0" borderId="8" xfId="0" applyFont="1" applyBorder="1" applyAlignment="1"/>
    <xf numFmtId="0" fontId="0" fillId="0" borderId="8" xfId="0" applyNumberFormat="1" applyFont="1" applyBorder="1" applyAlignment="1"/>
    <xf numFmtId="0" fontId="0" fillId="0" borderId="9" xfId="0" applyNumberFormat="1" applyFont="1" applyBorder="1" applyAlignment="1"/>
    <xf numFmtId="0" fontId="0" fillId="0" borderId="10" xfId="0" applyNumberFormat="1" applyFont="1" applyBorder="1" applyAlignment="1"/>
    <xf numFmtId="164" fontId="0" fillId="0" borderId="1" xfId="0" applyNumberFormat="1" applyFont="1" applyBorder="1" applyAlignment="1"/>
    <xf numFmtId="164" fontId="0" fillId="0" borderId="6" xfId="0" applyNumberFormat="1" applyFont="1" applyBorder="1" applyAlignment="1"/>
    <xf numFmtId="164" fontId="0" fillId="0" borderId="8" xfId="0" applyNumberFormat="1" applyFont="1" applyBorder="1" applyAlignment="1"/>
    <xf numFmtId="0" fontId="0" fillId="0" borderId="10" xfId="0" pivotButton="1" applyFont="1" applyBorder="1" applyAlignment="1"/>
    <xf numFmtId="0" fontId="0" fillId="0" borderId="10" xfId="0" applyFont="1" applyBorder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14" fontId="0" fillId="0" borderId="0" xfId="0" applyNumberFormat="1" applyFont="1" applyAlignment="1">
      <alignment horizontal="left"/>
    </xf>
    <xf numFmtId="0" fontId="0" fillId="0" borderId="0" xfId="0" applyFont="1" applyAlignment="1">
      <alignment horizontal="left" indent="1"/>
    </xf>
    <xf numFmtId="0" fontId="0" fillId="0" borderId="0" xfId="0" applyFill="1" applyBorder="1" applyAlignment="1"/>
    <xf numFmtId="0" fontId="0" fillId="0" borderId="11" xfId="0" applyFill="1" applyBorder="1" applyAlignment="1"/>
    <xf numFmtId="0" fontId="2" fillId="0" borderId="12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[LA_Dataset_reference_fare_20220520.xlsx]p1!PivotTable1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'p1'!$B$3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DAC-6147-B673-C98A36F84F9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DAC-6147-B673-C98A36F84F9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DAC-6147-B673-C98A36F84F9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DAC-6147-B673-C98A36F84F9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DAC-6147-B673-C98A36F84F9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DAC-6147-B673-C98A36F84F9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DAC-6147-B673-C98A36F84F9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DAC-6147-B673-C98A36F84F9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DAC-6147-B673-C98A36F84F9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DAC-6147-B673-C98A36F84F9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DAC-6147-B673-C98A36F84F9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FDAC-6147-B673-C98A36F84F98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FDAC-6147-B673-C98A36F84F98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FDAC-6147-B673-C98A36F84F98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FDAC-6147-B673-C98A36F84F98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FDAC-6147-B673-C98A36F84F98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FDAC-6147-B673-C98A36F84F98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FDAC-6147-B673-C98A36F84F98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FDAC-6147-B673-C98A36F84F98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FDAC-6147-B673-C98A36F84F98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FDAC-6147-B673-C98A36F84F98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FDAC-6147-B673-C98A36F84F98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FDAC-6147-B673-C98A36F84F98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FDAC-6147-B673-C98A36F84F98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FDAC-6147-B673-C98A36F84F98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FDAC-6147-B673-C98A36F84F98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FDAC-6147-B673-C98A36F84F98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FDAC-6147-B673-C98A36F84F98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FDAC-6147-B673-C98A36F84F98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FDAC-6147-B673-C98A36F84F98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FDAC-6147-B673-C98A36F84F98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FDAC-6147-B673-C98A36F84F98}"/>
              </c:ext>
            </c:extLst>
          </c:dPt>
          <c:cat>
            <c:multiLvlStrRef>
              <c:f>'p1'!$A$4:$A$53</c:f>
              <c:multiLvlStrCache>
                <c:ptCount val="32"/>
                <c:lvl>
                  <c:pt idx="0">
                    <c:v>Sum of bf_avg</c:v>
                  </c:pt>
                  <c:pt idx="1">
                    <c:v>Count of region</c:v>
                  </c:pt>
                  <c:pt idx="2">
                    <c:v>Sum of bf_avg</c:v>
                  </c:pt>
                  <c:pt idx="3">
                    <c:v>Count of region</c:v>
                  </c:pt>
                  <c:pt idx="4">
                    <c:v>Sum of bf_avg</c:v>
                  </c:pt>
                  <c:pt idx="5">
                    <c:v>Count of region</c:v>
                  </c:pt>
                  <c:pt idx="6">
                    <c:v>Sum of bf_avg</c:v>
                  </c:pt>
                  <c:pt idx="7">
                    <c:v>Count of region</c:v>
                  </c:pt>
                  <c:pt idx="8">
                    <c:v>Sum of bf_avg</c:v>
                  </c:pt>
                  <c:pt idx="9">
                    <c:v>Count of region</c:v>
                  </c:pt>
                  <c:pt idx="10">
                    <c:v>Sum of bf_avg</c:v>
                  </c:pt>
                  <c:pt idx="11">
                    <c:v>Count of region</c:v>
                  </c:pt>
                  <c:pt idx="12">
                    <c:v>Sum of bf_avg</c:v>
                  </c:pt>
                  <c:pt idx="13">
                    <c:v>Count of region</c:v>
                  </c:pt>
                  <c:pt idx="14">
                    <c:v>Sum of bf_avg</c:v>
                  </c:pt>
                  <c:pt idx="15">
                    <c:v>Count of region</c:v>
                  </c:pt>
                  <c:pt idx="16">
                    <c:v>Sum of bf_avg</c:v>
                  </c:pt>
                  <c:pt idx="17">
                    <c:v>Count of region</c:v>
                  </c:pt>
                  <c:pt idx="18">
                    <c:v>Sum of bf_avg</c:v>
                  </c:pt>
                  <c:pt idx="19">
                    <c:v>Count of region</c:v>
                  </c:pt>
                  <c:pt idx="20">
                    <c:v>Sum of bf_avg</c:v>
                  </c:pt>
                  <c:pt idx="21">
                    <c:v>Count of region</c:v>
                  </c:pt>
                  <c:pt idx="22">
                    <c:v>Sum of bf_avg</c:v>
                  </c:pt>
                  <c:pt idx="23">
                    <c:v>Count of region</c:v>
                  </c:pt>
                  <c:pt idx="24">
                    <c:v>Sum of bf_avg</c:v>
                  </c:pt>
                  <c:pt idx="25">
                    <c:v>Count of region</c:v>
                  </c:pt>
                  <c:pt idx="26">
                    <c:v>Sum of bf_avg</c:v>
                  </c:pt>
                  <c:pt idx="27">
                    <c:v>Count of region</c:v>
                  </c:pt>
                  <c:pt idx="28">
                    <c:v>Sum of bf_avg</c:v>
                  </c:pt>
                  <c:pt idx="29">
                    <c:v>Count of region</c:v>
                  </c:pt>
                  <c:pt idx="30">
                    <c:v>Sum of bf_avg</c:v>
                  </c:pt>
                  <c:pt idx="31">
                    <c:v>Count of region</c:v>
                  </c:pt>
                </c:lvl>
                <c:lvl>
                  <c:pt idx="0">
                    <c:v>12/1/21</c:v>
                  </c:pt>
                  <c:pt idx="2">
                    <c:v>1/1/22</c:v>
                  </c:pt>
                  <c:pt idx="4">
                    <c:v>2/1/22</c:v>
                  </c:pt>
                  <c:pt idx="6">
                    <c:v>3/1/22</c:v>
                  </c:pt>
                  <c:pt idx="8">
                    <c:v>4/1/22</c:v>
                  </c:pt>
                  <c:pt idx="10">
                    <c:v>5/1/22</c:v>
                  </c:pt>
                  <c:pt idx="12">
                    <c:v>6/1/22</c:v>
                  </c:pt>
                  <c:pt idx="14">
                    <c:v>7/1/22</c:v>
                  </c:pt>
                  <c:pt idx="16">
                    <c:v>8/1/22</c:v>
                  </c:pt>
                  <c:pt idx="18">
                    <c:v>9/1/22</c:v>
                  </c:pt>
                  <c:pt idx="20">
                    <c:v>10/1/22</c:v>
                  </c:pt>
                  <c:pt idx="22">
                    <c:v>11/1/22</c:v>
                  </c:pt>
                  <c:pt idx="24">
                    <c:v>12/1/22</c:v>
                  </c:pt>
                  <c:pt idx="26">
                    <c:v>1/1/23</c:v>
                  </c:pt>
                  <c:pt idx="28">
                    <c:v>2/1/23</c:v>
                  </c:pt>
                  <c:pt idx="30">
                    <c:v>3/1/23</c:v>
                  </c:pt>
                </c:lvl>
              </c:multiLvlStrCache>
            </c:multiLvlStrRef>
          </c:cat>
          <c:val>
            <c:numRef>
              <c:f>'p1'!$B$4:$B$53</c:f>
              <c:numCache>
                <c:formatCode>General</c:formatCode>
                <c:ptCount val="32"/>
                <c:pt idx="0">
                  <c:v>12545.600074495411</c:v>
                </c:pt>
                <c:pt idx="1">
                  <c:v>51</c:v>
                </c:pt>
                <c:pt idx="2">
                  <c:v>11630.026632421546</c:v>
                </c:pt>
                <c:pt idx="3">
                  <c:v>40</c:v>
                </c:pt>
                <c:pt idx="4">
                  <c:v>9246.624312225098</c:v>
                </c:pt>
                <c:pt idx="5">
                  <c:v>30</c:v>
                </c:pt>
                <c:pt idx="6">
                  <c:v>11159.655981159931</c:v>
                </c:pt>
                <c:pt idx="7">
                  <c:v>45</c:v>
                </c:pt>
                <c:pt idx="8">
                  <c:v>15283.530340253274</c:v>
                </c:pt>
                <c:pt idx="9">
                  <c:v>60</c:v>
                </c:pt>
                <c:pt idx="10">
                  <c:v>13569.153045727337</c:v>
                </c:pt>
                <c:pt idx="11">
                  <c:v>50</c:v>
                </c:pt>
                <c:pt idx="12">
                  <c:v>17624.059307012132</c:v>
                </c:pt>
                <c:pt idx="13">
                  <c:v>60</c:v>
                </c:pt>
                <c:pt idx="14">
                  <c:v>8772.1120607525445</c:v>
                </c:pt>
                <c:pt idx="15">
                  <c:v>35</c:v>
                </c:pt>
                <c:pt idx="16">
                  <c:v>14021.208565983847</c:v>
                </c:pt>
                <c:pt idx="17">
                  <c:v>45</c:v>
                </c:pt>
                <c:pt idx="18">
                  <c:v>14345.169661485957</c:v>
                </c:pt>
                <c:pt idx="19">
                  <c:v>50</c:v>
                </c:pt>
                <c:pt idx="20">
                  <c:v>18125.884406845522</c:v>
                </c:pt>
                <c:pt idx="21">
                  <c:v>60</c:v>
                </c:pt>
                <c:pt idx="22">
                  <c:v>9232.6551452376807</c:v>
                </c:pt>
                <c:pt idx="23">
                  <c:v>35</c:v>
                </c:pt>
                <c:pt idx="24">
                  <c:v>16739.186204997481</c:v>
                </c:pt>
                <c:pt idx="25">
                  <c:v>50</c:v>
                </c:pt>
                <c:pt idx="26">
                  <c:v>15275.152214411281</c:v>
                </c:pt>
                <c:pt idx="27">
                  <c:v>45</c:v>
                </c:pt>
                <c:pt idx="28">
                  <c:v>18831.784418732204</c:v>
                </c:pt>
                <c:pt idx="29">
                  <c:v>60</c:v>
                </c:pt>
                <c:pt idx="30">
                  <c:v>3297.3791146607214</c:v>
                </c:pt>
                <c:pt idx="3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CF-2B4F-A27D-3CD5CBDA8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[LA_Dataset_reference_fare_20220520.xlsx]p1!PivotTable1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'p1'!$A$4:$A$53</c:f>
              <c:multiLvlStrCache>
                <c:ptCount val="32"/>
                <c:lvl>
                  <c:pt idx="0">
                    <c:v>Sum of bf_avg</c:v>
                  </c:pt>
                  <c:pt idx="1">
                    <c:v>Count of region</c:v>
                  </c:pt>
                  <c:pt idx="2">
                    <c:v>Sum of bf_avg</c:v>
                  </c:pt>
                  <c:pt idx="3">
                    <c:v>Count of region</c:v>
                  </c:pt>
                  <c:pt idx="4">
                    <c:v>Sum of bf_avg</c:v>
                  </c:pt>
                  <c:pt idx="5">
                    <c:v>Count of region</c:v>
                  </c:pt>
                  <c:pt idx="6">
                    <c:v>Sum of bf_avg</c:v>
                  </c:pt>
                  <c:pt idx="7">
                    <c:v>Count of region</c:v>
                  </c:pt>
                  <c:pt idx="8">
                    <c:v>Sum of bf_avg</c:v>
                  </c:pt>
                  <c:pt idx="9">
                    <c:v>Count of region</c:v>
                  </c:pt>
                  <c:pt idx="10">
                    <c:v>Sum of bf_avg</c:v>
                  </c:pt>
                  <c:pt idx="11">
                    <c:v>Count of region</c:v>
                  </c:pt>
                  <c:pt idx="12">
                    <c:v>Sum of bf_avg</c:v>
                  </c:pt>
                  <c:pt idx="13">
                    <c:v>Count of region</c:v>
                  </c:pt>
                  <c:pt idx="14">
                    <c:v>Sum of bf_avg</c:v>
                  </c:pt>
                  <c:pt idx="15">
                    <c:v>Count of region</c:v>
                  </c:pt>
                  <c:pt idx="16">
                    <c:v>Sum of bf_avg</c:v>
                  </c:pt>
                  <c:pt idx="17">
                    <c:v>Count of region</c:v>
                  </c:pt>
                  <c:pt idx="18">
                    <c:v>Sum of bf_avg</c:v>
                  </c:pt>
                  <c:pt idx="19">
                    <c:v>Count of region</c:v>
                  </c:pt>
                  <c:pt idx="20">
                    <c:v>Sum of bf_avg</c:v>
                  </c:pt>
                  <c:pt idx="21">
                    <c:v>Count of region</c:v>
                  </c:pt>
                  <c:pt idx="22">
                    <c:v>Sum of bf_avg</c:v>
                  </c:pt>
                  <c:pt idx="23">
                    <c:v>Count of region</c:v>
                  </c:pt>
                  <c:pt idx="24">
                    <c:v>Sum of bf_avg</c:v>
                  </c:pt>
                  <c:pt idx="25">
                    <c:v>Count of region</c:v>
                  </c:pt>
                  <c:pt idx="26">
                    <c:v>Sum of bf_avg</c:v>
                  </c:pt>
                  <c:pt idx="27">
                    <c:v>Count of region</c:v>
                  </c:pt>
                  <c:pt idx="28">
                    <c:v>Sum of bf_avg</c:v>
                  </c:pt>
                  <c:pt idx="29">
                    <c:v>Count of region</c:v>
                  </c:pt>
                  <c:pt idx="30">
                    <c:v>Sum of bf_avg</c:v>
                  </c:pt>
                  <c:pt idx="31">
                    <c:v>Count of region</c:v>
                  </c:pt>
                </c:lvl>
                <c:lvl>
                  <c:pt idx="0">
                    <c:v>12/1/21</c:v>
                  </c:pt>
                  <c:pt idx="2">
                    <c:v>1/1/22</c:v>
                  </c:pt>
                  <c:pt idx="4">
                    <c:v>2/1/22</c:v>
                  </c:pt>
                  <c:pt idx="6">
                    <c:v>3/1/22</c:v>
                  </c:pt>
                  <c:pt idx="8">
                    <c:v>4/1/22</c:v>
                  </c:pt>
                  <c:pt idx="10">
                    <c:v>5/1/22</c:v>
                  </c:pt>
                  <c:pt idx="12">
                    <c:v>6/1/22</c:v>
                  </c:pt>
                  <c:pt idx="14">
                    <c:v>7/1/22</c:v>
                  </c:pt>
                  <c:pt idx="16">
                    <c:v>8/1/22</c:v>
                  </c:pt>
                  <c:pt idx="18">
                    <c:v>9/1/22</c:v>
                  </c:pt>
                  <c:pt idx="20">
                    <c:v>10/1/22</c:v>
                  </c:pt>
                  <c:pt idx="22">
                    <c:v>11/1/22</c:v>
                  </c:pt>
                  <c:pt idx="24">
                    <c:v>12/1/22</c:v>
                  </c:pt>
                  <c:pt idx="26">
                    <c:v>1/1/23</c:v>
                  </c:pt>
                  <c:pt idx="28">
                    <c:v>2/1/23</c:v>
                  </c:pt>
                  <c:pt idx="30">
                    <c:v>3/1/23</c:v>
                  </c:pt>
                </c:lvl>
              </c:multiLvlStrCache>
            </c:multiLvlStrRef>
          </c:cat>
          <c:val>
            <c:numRef>
              <c:f>'p1'!$B$4:$B$53</c:f>
              <c:numCache>
                <c:formatCode>General</c:formatCode>
                <c:ptCount val="32"/>
                <c:pt idx="0">
                  <c:v>12545.600074495411</c:v>
                </c:pt>
                <c:pt idx="1">
                  <c:v>51</c:v>
                </c:pt>
                <c:pt idx="2">
                  <c:v>11630.026632421546</c:v>
                </c:pt>
                <c:pt idx="3">
                  <c:v>40</c:v>
                </c:pt>
                <c:pt idx="4">
                  <c:v>9246.624312225098</c:v>
                </c:pt>
                <c:pt idx="5">
                  <c:v>30</c:v>
                </c:pt>
                <c:pt idx="6">
                  <c:v>11159.655981159931</c:v>
                </c:pt>
                <c:pt idx="7">
                  <c:v>45</c:v>
                </c:pt>
                <c:pt idx="8">
                  <c:v>15283.530340253274</c:v>
                </c:pt>
                <c:pt idx="9">
                  <c:v>60</c:v>
                </c:pt>
                <c:pt idx="10">
                  <c:v>13569.153045727337</c:v>
                </c:pt>
                <c:pt idx="11">
                  <c:v>50</c:v>
                </c:pt>
                <c:pt idx="12">
                  <c:v>17624.059307012132</c:v>
                </c:pt>
                <c:pt idx="13">
                  <c:v>60</c:v>
                </c:pt>
                <c:pt idx="14">
                  <c:v>8772.1120607525445</c:v>
                </c:pt>
                <c:pt idx="15">
                  <c:v>35</c:v>
                </c:pt>
                <c:pt idx="16">
                  <c:v>14021.208565983847</c:v>
                </c:pt>
                <c:pt idx="17">
                  <c:v>45</c:v>
                </c:pt>
                <c:pt idx="18">
                  <c:v>14345.169661485957</c:v>
                </c:pt>
                <c:pt idx="19">
                  <c:v>50</c:v>
                </c:pt>
                <c:pt idx="20">
                  <c:v>18125.884406845522</c:v>
                </c:pt>
                <c:pt idx="21">
                  <c:v>60</c:v>
                </c:pt>
                <c:pt idx="22">
                  <c:v>9232.6551452376807</c:v>
                </c:pt>
                <c:pt idx="23">
                  <c:v>35</c:v>
                </c:pt>
                <c:pt idx="24">
                  <c:v>16739.186204997481</c:v>
                </c:pt>
                <c:pt idx="25">
                  <c:v>50</c:v>
                </c:pt>
                <c:pt idx="26">
                  <c:v>15275.152214411281</c:v>
                </c:pt>
                <c:pt idx="27">
                  <c:v>45</c:v>
                </c:pt>
                <c:pt idx="28">
                  <c:v>18831.784418732204</c:v>
                </c:pt>
                <c:pt idx="29">
                  <c:v>60</c:v>
                </c:pt>
                <c:pt idx="30">
                  <c:v>3297.3791146607214</c:v>
                </c:pt>
                <c:pt idx="3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CB-4045-8042-DDFAABB77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8824336"/>
        <c:axId val="248825984"/>
      </c:barChart>
      <c:catAx>
        <c:axId val="248824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825984"/>
        <c:crosses val="autoZero"/>
        <c:auto val="1"/>
        <c:lblAlgn val="ctr"/>
        <c:lblOffset val="100"/>
        <c:noMultiLvlLbl val="0"/>
      </c:catAx>
      <c:valAx>
        <c:axId val="24882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824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547.525779715928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'data source'!$E$3:$E$41</c:f>
              <c:numCache>
                <c:formatCode>General</c:formatCode>
                <c:ptCount val="39"/>
                <c:pt idx="0">
                  <c:v>812.49295312482695</c:v>
                </c:pt>
                <c:pt idx="1">
                  <c:v>428.890569284153</c:v>
                </c:pt>
                <c:pt idx="2">
                  <c:v>216.48793162963401</c:v>
                </c:pt>
                <c:pt idx="3">
                  <c:v>216.48793162963401</c:v>
                </c:pt>
                <c:pt idx="4">
                  <c:v>216.48793162963401</c:v>
                </c:pt>
                <c:pt idx="5">
                  <c:v>216.48793162963401</c:v>
                </c:pt>
                <c:pt idx="6">
                  <c:v>216.48793162963401</c:v>
                </c:pt>
                <c:pt idx="7">
                  <c:v>174.198605196925</c:v>
                </c:pt>
                <c:pt idx="8">
                  <c:v>174.198605196925</c:v>
                </c:pt>
                <c:pt idx="9">
                  <c:v>174.198605196925</c:v>
                </c:pt>
                <c:pt idx="10">
                  <c:v>174.198605196925</c:v>
                </c:pt>
                <c:pt idx="11">
                  <c:v>174.198605196925</c:v>
                </c:pt>
                <c:pt idx="12">
                  <c:v>194.38031713026399</c:v>
                </c:pt>
                <c:pt idx="13">
                  <c:v>194.38031713026399</c:v>
                </c:pt>
                <c:pt idx="14">
                  <c:v>194.38031713026399</c:v>
                </c:pt>
                <c:pt idx="15">
                  <c:v>194.38031713026399</c:v>
                </c:pt>
                <c:pt idx="16">
                  <c:v>194.38031713026399</c:v>
                </c:pt>
                <c:pt idx="17">
                  <c:v>80.622654574438599</c:v>
                </c:pt>
                <c:pt idx="18">
                  <c:v>80.622654574438599</c:v>
                </c:pt>
                <c:pt idx="19">
                  <c:v>80.622654574438599</c:v>
                </c:pt>
                <c:pt idx="20">
                  <c:v>80.622654574438599</c:v>
                </c:pt>
                <c:pt idx="21">
                  <c:v>80.622654574438599</c:v>
                </c:pt>
                <c:pt idx="22">
                  <c:v>544.87181109786002</c:v>
                </c:pt>
                <c:pt idx="23">
                  <c:v>544.87181109786002</c:v>
                </c:pt>
                <c:pt idx="24">
                  <c:v>544.87181109786002</c:v>
                </c:pt>
                <c:pt idx="25">
                  <c:v>544.87181109786002</c:v>
                </c:pt>
                <c:pt idx="26">
                  <c:v>544.87181109786002</c:v>
                </c:pt>
                <c:pt idx="27">
                  <c:v>247.05766860419101</c:v>
                </c:pt>
                <c:pt idx="28">
                  <c:v>247.05766860419101</c:v>
                </c:pt>
                <c:pt idx="29">
                  <c:v>247.05766860419101</c:v>
                </c:pt>
                <c:pt idx="30">
                  <c:v>247.05766860419101</c:v>
                </c:pt>
                <c:pt idx="31">
                  <c:v>247.05766860419101</c:v>
                </c:pt>
                <c:pt idx="32">
                  <c:v>381.44976043361299</c:v>
                </c:pt>
                <c:pt idx="33">
                  <c:v>381.44976043361299</c:v>
                </c:pt>
                <c:pt idx="34">
                  <c:v>381.44976043361299</c:v>
                </c:pt>
                <c:pt idx="35">
                  <c:v>381.44976043361299</c:v>
                </c:pt>
                <c:pt idx="36">
                  <c:v>381.44976043361299</c:v>
                </c:pt>
                <c:pt idx="37">
                  <c:v>389.51733800494901</c:v>
                </c:pt>
                <c:pt idx="38">
                  <c:v>516.69228013723705</c:v>
                </c:pt>
              </c:numCache>
            </c:numRef>
          </c:xVal>
          <c:yVal>
            <c:numRef>
              <c:f>regression!$C$25:$C$63</c:f>
              <c:numCache>
                <c:formatCode>General</c:formatCode>
                <c:ptCount val="39"/>
                <c:pt idx="0">
                  <c:v>-1608.0348190108855</c:v>
                </c:pt>
                <c:pt idx="1">
                  <c:v>-1299.0399801797114</c:v>
                </c:pt>
                <c:pt idx="2">
                  <c:v>-664.25431316028903</c:v>
                </c:pt>
                <c:pt idx="3">
                  <c:v>-664.25431316028903</c:v>
                </c:pt>
                <c:pt idx="4">
                  <c:v>-664.25431316028903</c:v>
                </c:pt>
                <c:pt idx="5">
                  <c:v>-664.25431316028903</c:v>
                </c:pt>
                <c:pt idx="6">
                  <c:v>-664.25431316028903</c:v>
                </c:pt>
                <c:pt idx="7">
                  <c:v>35.653724595843869</c:v>
                </c:pt>
                <c:pt idx="8">
                  <c:v>35.653724595843869</c:v>
                </c:pt>
                <c:pt idx="9">
                  <c:v>35.653724595843869</c:v>
                </c:pt>
                <c:pt idx="10">
                  <c:v>35.653724595843869</c:v>
                </c:pt>
                <c:pt idx="11">
                  <c:v>35.653724595843869</c:v>
                </c:pt>
                <c:pt idx="12">
                  <c:v>169.18663279468387</c:v>
                </c:pt>
                <c:pt idx="13">
                  <c:v>169.18663279468387</c:v>
                </c:pt>
                <c:pt idx="14">
                  <c:v>169.18663279468387</c:v>
                </c:pt>
                <c:pt idx="15">
                  <c:v>169.18663279468387</c:v>
                </c:pt>
                <c:pt idx="16">
                  <c:v>169.18663279468387</c:v>
                </c:pt>
                <c:pt idx="17">
                  <c:v>-405.74583942715299</c:v>
                </c:pt>
                <c:pt idx="18">
                  <c:v>-405.74583942715299</c:v>
                </c:pt>
                <c:pt idx="19">
                  <c:v>-405.74583942715299</c:v>
                </c:pt>
                <c:pt idx="20">
                  <c:v>-405.74583942715299</c:v>
                </c:pt>
                <c:pt idx="21">
                  <c:v>-405.74583942715299</c:v>
                </c:pt>
                <c:pt idx="22">
                  <c:v>-79.766231504589541</c:v>
                </c:pt>
                <c:pt idx="23">
                  <c:v>-79.766231504589541</c:v>
                </c:pt>
                <c:pt idx="24">
                  <c:v>-79.766231504589541</c:v>
                </c:pt>
                <c:pt idx="25">
                  <c:v>-79.766231504589541</c:v>
                </c:pt>
                <c:pt idx="26">
                  <c:v>-79.766231504589541</c:v>
                </c:pt>
                <c:pt idx="27">
                  <c:v>488.09924070603756</c:v>
                </c:pt>
                <c:pt idx="28">
                  <c:v>488.09924070603756</c:v>
                </c:pt>
                <c:pt idx="29">
                  <c:v>488.09924070603756</c:v>
                </c:pt>
                <c:pt idx="30">
                  <c:v>488.09924070603756</c:v>
                </c:pt>
                <c:pt idx="31">
                  <c:v>488.09924070603756</c:v>
                </c:pt>
                <c:pt idx="32">
                  <c:v>1008.8004457614263</c:v>
                </c:pt>
                <c:pt idx="33">
                  <c:v>1008.8004457614263</c:v>
                </c:pt>
                <c:pt idx="34">
                  <c:v>1008.8004457614263</c:v>
                </c:pt>
                <c:pt idx="35">
                  <c:v>1008.8004457614263</c:v>
                </c:pt>
                <c:pt idx="36">
                  <c:v>1008.8004457614263</c:v>
                </c:pt>
                <c:pt idx="37">
                  <c:v>-1297.6412191152831</c:v>
                </c:pt>
                <c:pt idx="38">
                  <c:v>1444.8477194761062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F45-0441-941D-80D816C73B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338752"/>
        <c:axId val="527340400"/>
      </c:scatterChart>
      <c:valAx>
        <c:axId val="527338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547.525779715928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7340400"/>
        <c:crosses val="autoZero"/>
        <c:crossBetween val="midCat"/>
      </c:valAx>
      <c:valAx>
        <c:axId val="5273404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733875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547.525779715928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'data source'!$E$3:$E$41</c:f>
              <c:numCache>
                <c:formatCode>General</c:formatCode>
                <c:ptCount val="39"/>
                <c:pt idx="0">
                  <c:v>812.49295312482695</c:v>
                </c:pt>
                <c:pt idx="1">
                  <c:v>428.890569284153</c:v>
                </c:pt>
                <c:pt idx="2">
                  <c:v>216.48793162963401</c:v>
                </c:pt>
                <c:pt idx="3">
                  <c:v>216.48793162963401</c:v>
                </c:pt>
                <c:pt idx="4">
                  <c:v>216.48793162963401</c:v>
                </c:pt>
                <c:pt idx="5">
                  <c:v>216.48793162963401</c:v>
                </c:pt>
                <c:pt idx="6">
                  <c:v>216.48793162963401</c:v>
                </c:pt>
                <c:pt idx="7">
                  <c:v>174.198605196925</c:v>
                </c:pt>
                <c:pt idx="8">
                  <c:v>174.198605196925</c:v>
                </c:pt>
                <c:pt idx="9">
                  <c:v>174.198605196925</c:v>
                </c:pt>
                <c:pt idx="10">
                  <c:v>174.198605196925</c:v>
                </c:pt>
                <c:pt idx="11">
                  <c:v>174.198605196925</c:v>
                </c:pt>
                <c:pt idx="12">
                  <c:v>194.38031713026399</c:v>
                </c:pt>
                <c:pt idx="13">
                  <c:v>194.38031713026399</c:v>
                </c:pt>
                <c:pt idx="14">
                  <c:v>194.38031713026399</c:v>
                </c:pt>
                <c:pt idx="15">
                  <c:v>194.38031713026399</c:v>
                </c:pt>
                <c:pt idx="16">
                  <c:v>194.38031713026399</c:v>
                </c:pt>
                <c:pt idx="17">
                  <c:v>80.622654574438599</c:v>
                </c:pt>
                <c:pt idx="18">
                  <c:v>80.622654574438599</c:v>
                </c:pt>
                <c:pt idx="19">
                  <c:v>80.622654574438599</c:v>
                </c:pt>
                <c:pt idx="20">
                  <c:v>80.622654574438599</c:v>
                </c:pt>
                <c:pt idx="21">
                  <c:v>80.622654574438599</c:v>
                </c:pt>
                <c:pt idx="22">
                  <c:v>544.87181109786002</c:v>
                </c:pt>
                <c:pt idx="23">
                  <c:v>544.87181109786002</c:v>
                </c:pt>
                <c:pt idx="24">
                  <c:v>544.87181109786002</c:v>
                </c:pt>
                <c:pt idx="25">
                  <c:v>544.87181109786002</c:v>
                </c:pt>
                <c:pt idx="26">
                  <c:v>544.87181109786002</c:v>
                </c:pt>
                <c:pt idx="27">
                  <c:v>247.05766860419101</c:v>
                </c:pt>
                <c:pt idx="28">
                  <c:v>247.05766860419101</c:v>
                </c:pt>
                <c:pt idx="29">
                  <c:v>247.05766860419101</c:v>
                </c:pt>
                <c:pt idx="30">
                  <c:v>247.05766860419101</c:v>
                </c:pt>
                <c:pt idx="31">
                  <c:v>247.05766860419101</c:v>
                </c:pt>
                <c:pt idx="32">
                  <c:v>381.44976043361299</c:v>
                </c:pt>
                <c:pt idx="33">
                  <c:v>381.44976043361299</c:v>
                </c:pt>
                <c:pt idx="34">
                  <c:v>381.44976043361299</c:v>
                </c:pt>
                <c:pt idx="35">
                  <c:v>381.44976043361299</c:v>
                </c:pt>
                <c:pt idx="36">
                  <c:v>381.44976043361299</c:v>
                </c:pt>
                <c:pt idx="37">
                  <c:v>389.51733800494901</c:v>
                </c:pt>
                <c:pt idx="38">
                  <c:v>516.69228013723705</c:v>
                </c:pt>
              </c:numCache>
            </c:numRef>
          </c:xVal>
          <c:yVal>
            <c:numRef>
              <c:f>'data source'!$F$3:$F$41</c:f>
              <c:numCache>
                <c:formatCode>General</c:formatCode>
                <c:ptCount val="39"/>
                <c:pt idx="0">
                  <c:v>1374.87341308593</c:v>
                </c:pt>
                <c:pt idx="1">
                  <c:v>817.90411376953102</c:v>
                </c:pt>
                <c:pt idx="2">
                  <c:v>973.200927734375</c:v>
                </c:pt>
                <c:pt idx="3">
                  <c:v>973.200927734375</c:v>
                </c:pt>
                <c:pt idx="4">
                  <c:v>973.200927734375</c:v>
                </c:pt>
                <c:pt idx="5">
                  <c:v>973.200927734375</c:v>
                </c:pt>
                <c:pt idx="6">
                  <c:v>973.200927734375</c:v>
                </c:pt>
                <c:pt idx="7">
                  <c:v>1577.64282226562</c:v>
                </c:pt>
                <c:pt idx="8">
                  <c:v>1577.64282226562</c:v>
                </c:pt>
                <c:pt idx="9">
                  <c:v>1577.64282226562</c:v>
                </c:pt>
                <c:pt idx="10">
                  <c:v>1577.64282226562</c:v>
                </c:pt>
                <c:pt idx="11">
                  <c:v>1577.64282226562</c:v>
                </c:pt>
                <c:pt idx="12">
                  <c:v>1756.73498535156</c:v>
                </c:pt>
                <c:pt idx="13">
                  <c:v>1756.73498535156</c:v>
                </c:pt>
                <c:pt idx="14">
                  <c:v>1756.73498535156</c:v>
                </c:pt>
                <c:pt idx="15">
                  <c:v>1756.73498535156</c:v>
                </c:pt>
                <c:pt idx="16">
                  <c:v>1756.73498535156</c:v>
                </c:pt>
                <c:pt idx="17">
                  <c:v>925</c:v>
                </c:pt>
                <c:pt idx="18">
                  <c:v>925</c:v>
                </c:pt>
                <c:pt idx="19">
                  <c:v>925</c:v>
                </c:pt>
                <c:pt idx="20">
                  <c:v>925</c:v>
                </c:pt>
                <c:pt idx="21">
                  <c:v>925</c:v>
                </c:pt>
                <c:pt idx="22">
                  <c:v>2299</c:v>
                </c:pt>
                <c:pt idx="23">
                  <c:v>2299</c:v>
                </c:pt>
                <c:pt idx="24">
                  <c:v>2299</c:v>
                </c:pt>
                <c:pt idx="25">
                  <c:v>2299</c:v>
                </c:pt>
                <c:pt idx="26">
                  <c:v>2299</c:v>
                </c:pt>
                <c:pt idx="27">
                  <c:v>2194.56420898437</c:v>
                </c:pt>
                <c:pt idx="28">
                  <c:v>2194.56420898437</c:v>
                </c:pt>
                <c:pt idx="29">
                  <c:v>2194.56420898437</c:v>
                </c:pt>
                <c:pt idx="30">
                  <c:v>2194.56420898437</c:v>
                </c:pt>
                <c:pt idx="31">
                  <c:v>2194.56420898437</c:v>
                </c:pt>
                <c:pt idx="32">
                  <c:v>3018.64916992187</c:v>
                </c:pt>
                <c:pt idx="33">
                  <c:v>3018.64916992187</c:v>
                </c:pt>
                <c:pt idx="34">
                  <c:v>3018.64916992187</c:v>
                </c:pt>
                <c:pt idx="35">
                  <c:v>3018.64916992187</c:v>
                </c:pt>
                <c:pt idx="36">
                  <c:v>3018.64916992187</c:v>
                </c:pt>
                <c:pt idx="37">
                  <c:v>730.419677734375</c:v>
                </c:pt>
                <c:pt idx="38">
                  <c:v>3760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B99-6E41-8479-AD15F5F3F688}"/>
            </c:ext>
          </c:extLst>
        </c:ser>
        <c:ser>
          <c:idx val="1"/>
          <c:order val="1"/>
          <c:tx>
            <c:v>Predicted 1072.81567382812</c:v>
          </c:tx>
          <c:spPr>
            <a:ln w="19050">
              <a:noFill/>
            </a:ln>
          </c:spPr>
          <c:xVal>
            <c:numRef>
              <c:f>'data source'!$E$3:$E$41</c:f>
              <c:numCache>
                <c:formatCode>General</c:formatCode>
                <c:ptCount val="39"/>
                <c:pt idx="0">
                  <c:v>812.49295312482695</c:v>
                </c:pt>
                <c:pt idx="1">
                  <c:v>428.890569284153</c:v>
                </c:pt>
                <c:pt idx="2">
                  <c:v>216.48793162963401</c:v>
                </c:pt>
                <c:pt idx="3">
                  <c:v>216.48793162963401</c:v>
                </c:pt>
                <c:pt idx="4">
                  <c:v>216.48793162963401</c:v>
                </c:pt>
                <c:pt idx="5">
                  <c:v>216.48793162963401</c:v>
                </c:pt>
                <c:pt idx="6">
                  <c:v>216.48793162963401</c:v>
                </c:pt>
                <c:pt idx="7">
                  <c:v>174.198605196925</c:v>
                </c:pt>
                <c:pt idx="8">
                  <c:v>174.198605196925</c:v>
                </c:pt>
                <c:pt idx="9">
                  <c:v>174.198605196925</c:v>
                </c:pt>
                <c:pt idx="10">
                  <c:v>174.198605196925</c:v>
                </c:pt>
                <c:pt idx="11">
                  <c:v>174.198605196925</c:v>
                </c:pt>
                <c:pt idx="12">
                  <c:v>194.38031713026399</c:v>
                </c:pt>
                <c:pt idx="13">
                  <c:v>194.38031713026399</c:v>
                </c:pt>
                <c:pt idx="14">
                  <c:v>194.38031713026399</c:v>
                </c:pt>
                <c:pt idx="15">
                  <c:v>194.38031713026399</c:v>
                </c:pt>
                <c:pt idx="16">
                  <c:v>194.38031713026399</c:v>
                </c:pt>
                <c:pt idx="17">
                  <c:v>80.622654574438599</c:v>
                </c:pt>
                <c:pt idx="18">
                  <c:v>80.622654574438599</c:v>
                </c:pt>
                <c:pt idx="19">
                  <c:v>80.622654574438599</c:v>
                </c:pt>
                <c:pt idx="20">
                  <c:v>80.622654574438599</c:v>
                </c:pt>
                <c:pt idx="21">
                  <c:v>80.622654574438599</c:v>
                </c:pt>
                <c:pt idx="22">
                  <c:v>544.87181109786002</c:v>
                </c:pt>
                <c:pt idx="23">
                  <c:v>544.87181109786002</c:v>
                </c:pt>
                <c:pt idx="24">
                  <c:v>544.87181109786002</c:v>
                </c:pt>
                <c:pt idx="25">
                  <c:v>544.87181109786002</c:v>
                </c:pt>
                <c:pt idx="26">
                  <c:v>544.87181109786002</c:v>
                </c:pt>
                <c:pt idx="27">
                  <c:v>247.05766860419101</c:v>
                </c:pt>
                <c:pt idx="28">
                  <c:v>247.05766860419101</c:v>
                </c:pt>
                <c:pt idx="29">
                  <c:v>247.05766860419101</c:v>
                </c:pt>
                <c:pt idx="30">
                  <c:v>247.05766860419101</c:v>
                </c:pt>
                <c:pt idx="31">
                  <c:v>247.05766860419101</c:v>
                </c:pt>
                <c:pt idx="32">
                  <c:v>381.44976043361299</c:v>
                </c:pt>
                <c:pt idx="33">
                  <c:v>381.44976043361299</c:v>
                </c:pt>
                <c:pt idx="34">
                  <c:v>381.44976043361299</c:v>
                </c:pt>
                <c:pt idx="35">
                  <c:v>381.44976043361299</c:v>
                </c:pt>
                <c:pt idx="36">
                  <c:v>381.44976043361299</c:v>
                </c:pt>
                <c:pt idx="37">
                  <c:v>389.51733800494901</c:v>
                </c:pt>
                <c:pt idx="38">
                  <c:v>516.69228013723705</c:v>
                </c:pt>
              </c:numCache>
            </c:numRef>
          </c:xVal>
          <c:yVal>
            <c:numRef>
              <c:f>regression!$B$25:$B$63</c:f>
              <c:numCache>
                <c:formatCode>General</c:formatCode>
                <c:ptCount val="39"/>
                <c:pt idx="0">
                  <c:v>2982.9082320968155</c:v>
                </c:pt>
                <c:pt idx="1">
                  <c:v>2116.9440939492424</c:v>
                </c:pt>
                <c:pt idx="2">
                  <c:v>1637.455240894664</c:v>
                </c:pt>
                <c:pt idx="3">
                  <c:v>1637.455240894664</c:v>
                </c:pt>
                <c:pt idx="4">
                  <c:v>1637.455240894664</c:v>
                </c:pt>
                <c:pt idx="5">
                  <c:v>1637.455240894664</c:v>
                </c:pt>
                <c:pt idx="6">
                  <c:v>1637.455240894664</c:v>
                </c:pt>
                <c:pt idx="7">
                  <c:v>1541.9890976697761</c:v>
                </c:pt>
                <c:pt idx="8">
                  <c:v>1541.9890976697761</c:v>
                </c:pt>
                <c:pt idx="9">
                  <c:v>1541.9890976697761</c:v>
                </c:pt>
                <c:pt idx="10">
                  <c:v>1541.9890976697761</c:v>
                </c:pt>
                <c:pt idx="11">
                  <c:v>1541.9890976697761</c:v>
                </c:pt>
                <c:pt idx="12">
                  <c:v>1587.5483525568761</c:v>
                </c:pt>
                <c:pt idx="13">
                  <c:v>1587.5483525568761</c:v>
                </c:pt>
                <c:pt idx="14">
                  <c:v>1587.5483525568761</c:v>
                </c:pt>
                <c:pt idx="15">
                  <c:v>1587.5483525568761</c:v>
                </c:pt>
                <c:pt idx="16">
                  <c:v>1587.5483525568761</c:v>
                </c:pt>
                <c:pt idx="17">
                  <c:v>1330.745839427153</c:v>
                </c:pt>
                <c:pt idx="18">
                  <c:v>1330.745839427153</c:v>
                </c:pt>
                <c:pt idx="19">
                  <c:v>1330.745839427153</c:v>
                </c:pt>
                <c:pt idx="20">
                  <c:v>1330.745839427153</c:v>
                </c:pt>
                <c:pt idx="21">
                  <c:v>1330.745839427153</c:v>
                </c:pt>
                <c:pt idx="22">
                  <c:v>2378.7662315045895</c:v>
                </c:pt>
                <c:pt idx="23">
                  <c:v>2378.7662315045895</c:v>
                </c:pt>
                <c:pt idx="24">
                  <c:v>2378.7662315045895</c:v>
                </c:pt>
                <c:pt idx="25">
                  <c:v>2378.7662315045895</c:v>
                </c:pt>
                <c:pt idx="26">
                  <c:v>2378.7662315045895</c:v>
                </c:pt>
                <c:pt idx="27">
                  <c:v>1706.4649682783324</c:v>
                </c:pt>
                <c:pt idx="28">
                  <c:v>1706.4649682783324</c:v>
                </c:pt>
                <c:pt idx="29">
                  <c:v>1706.4649682783324</c:v>
                </c:pt>
                <c:pt idx="30">
                  <c:v>1706.4649682783324</c:v>
                </c:pt>
                <c:pt idx="31">
                  <c:v>1706.4649682783324</c:v>
                </c:pt>
                <c:pt idx="32">
                  <c:v>2009.8487241604437</c:v>
                </c:pt>
                <c:pt idx="33">
                  <c:v>2009.8487241604437</c:v>
                </c:pt>
                <c:pt idx="34">
                  <c:v>2009.8487241604437</c:v>
                </c:pt>
                <c:pt idx="35">
                  <c:v>2009.8487241604437</c:v>
                </c:pt>
                <c:pt idx="36">
                  <c:v>2009.8487241604437</c:v>
                </c:pt>
                <c:pt idx="37">
                  <c:v>2028.0608968496581</c:v>
                </c:pt>
                <c:pt idx="38">
                  <c:v>2315.1522805238938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B99-6E41-8479-AD15F5F3F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361232"/>
        <c:axId val="527362880"/>
      </c:scatterChart>
      <c:valAx>
        <c:axId val="5273612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547.525779715928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7362880"/>
        <c:crosses val="autoZero"/>
        <c:crossBetween val="midCat"/>
      </c:valAx>
      <c:valAx>
        <c:axId val="52736288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1072.81567382812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2736123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regression!$F$25:$F$63</c:f>
              <c:numCache>
                <c:formatCode>General</c:formatCode>
                <c:ptCount val="39"/>
                <c:pt idx="0">
                  <c:v>1.2820512820512822</c:v>
                </c:pt>
                <c:pt idx="1">
                  <c:v>3.8461538461538467</c:v>
                </c:pt>
                <c:pt idx="2">
                  <c:v>6.4102564102564106</c:v>
                </c:pt>
                <c:pt idx="3">
                  <c:v>8.9743589743589762</c:v>
                </c:pt>
                <c:pt idx="4">
                  <c:v>11.53846153846154</c:v>
                </c:pt>
                <c:pt idx="5">
                  <c:v>14.102564102564104</c:v>
                </c:pt>
                <c:pt idx="6">
                  <c:v>16.666666666666668</c:v>
                </c:pt>
                <c:pt idx="7">
                  <c:v>19.23076923076923</c:v>
                </c:pt>
                <c:pt idx="8">
                  <c:v>21.794871794871796</c:v>
                </c:pt>
                <c:pt idx="9">
                  <c:v>24.358974358974361</c:v>
                </c:pt>
                <c:pt idx="10">
                  <c:v>26.923076923076923</c:v>
                </c:pt>
                <c:pt idx="11">
                  <c:v>29.487179487179489</c:v>
                </c:pt>
                <c:pt idx="12">
                  <c:v>32.051282051282058</c:v>
                </c:pt>
                <c:pt idx="13">
                  <c:v>34.61538461538462</c:v>
                </c:pt>
                <c:pt idx="14">
                  <c:v>37.179487179487182</c:v>
                </c:pt>
                <c:pt idx="15">
                  <c:v>39.743589743589752</c:v>
                </c:pt>
                <c:pt idx="16">
                  <c:v>42.307692307692314</c:v>
                </c:pt>
                <c:pt idx="17">
                  <c:v>44.871794871794876</c:v>
                </c:pt>
                <c:pt idx="18">
                  <c:v>47.435897435897445</c:v>
                </c:pt>
                <c:pt idx="19">
                  <c:v>50.000000000000007</c:v>
                </c:pt>
                <c:pt idx="20">
                  <c:v>52.564102564102569</c:v>
                </c:pt>
                <c:pt idx="21">
                  <c:v>55.128205128205138</c:v>
                </c:pt>
                <c:pt idx="22">
                  <c:v>57.692307692307701</c:v>
                </c:pt>
                <c:pt idx="23">
                  <c:v>60.256410256410263</c:v>
                </c:pt>
                <c:pt idx="24">
                  <c:v>62.820512820512832</c:v>
                </c:pt>
                <c:pt idx="25">
                  <c:v>65.384615384615387</c:v>
                </c:pt>
                <c:pt idx="26">
                  <c:v>67.948717948717956</c:v>
                </c:pt>
                <c:pt idx="27">
                  <c:v>70.512820512820525</c:v>
                </c:pt>
                <c:pt idx="28">
                  <c:v>73.07692307692308</c:v>
                </c:pt>
                <c:pt idx="29">
                  <c:v>75.641025641025649</c:v>
                </c:pt>
                <c:pt idx="30">
                  <c:v>78.205128205128219</c:v>
                </c:pt>
                <c:pt idx="31">
                  <c:v>80.769230769230774</c:v>
                </c:pt>
                <c:pt idx="32">
                  <c:v>83.333333333333343</c:v>
                </c:pt>
                <c:pt idx="33">
                  <c:v>85.897435897435912</c:v>
                </c:pt>
                <c:pt idx="34">
                  <c:v>88.461538461538467</c:v>
                </c:pt>
                <c:pt idx="35">
                  <c:v>91.025641025641036</c:v>
                </c:pt>
                <c:pt idx="36">
                  <c:v>93.589743589743605</c:v>
                </c:pt>
                <c:pt idx="37">
                  <c:v>96.15384615384616</c:v>
                </c:pt>
                <c:pt idx="38">
                  <c:v>98.71794871794873</c:v>
                </c:pt>
              </c:numCache>
            </c:numRef>
          </c:xVal>
          <c:yVal>
            <c:numRef>
              <c:f>regression!$G$25:$G$63</c:f>
              <c:numCache>
                <c:formatCode>General</c:formatCode>
                <c:ptCount val="39"/>
                <c:pt idx="0">
                  <c:v>730.419677734375</c:v>
                </c:pt>
                <c:pt idx="1">
                  <c:v>817.90411376953102</c:v>
                </c:pt>
                <c:pt idx="2">
                  <c:v>925</c:v>
                </c:pt>
                <c:pt idx="3">
                  <c:v>925</c:v>
                </c:pt>
                <c:pt idx="4">
                  <c:v>925</c:v>
                </c:pt>
                <c:pt idx="5">
                  <c:v>925</c:v>
                </c:pt>
                <c:pt idx="6">
                  <c:v>925</c:v>
                </c:pt>
                <c:pt idx="7">
                  <c:v>973.200927734375</c:v>
                </c:pt>
                <c:pt idx="8">
                  <c:v>973.200927734375</c:v>
                </c:pt>
                <c:pt idx="9">
                  <c:v>973.200927734375</c:v>
                </c:pt>
                <c:pt idx="10">
                  <c:v>973.200927734375</c:v>
                </c:pt>
                <c:pt idx="11">
                  <c:v>973.200927734375</c:v>
                </c:pt>
                <c:pt idx="12">
                  <c:v>1374.87341308593</c:v>
                </c:pt>
                <c:pt idx="13">
                  <c:v>1577.64282226562</c:v>
                </c:pt>
                <c:pt idx="14">
                  <c:v>1577.64282226562</c:v>
                </c:pt>
                <c:pt idx="15">
                  <c:v>1577.64282226562</c:v>
                </c:pt>
                <c:pt idx="16">
                  <c:v>1577.64282226562</c:v>
                </c:pt>
                <c:pt idx="17">
                  <c:v>1577.64282226562</c:v>
                </c:pt>
                <c:pt idx="18">
                  <c:v>1756.73498535156</c:v>
                </c:pt>
                <c:pt idx="19">
                  <c:v>1756.73498535156</c:v>
                </c:pt>
                <c:pt idx="20">
                  <c:v>1756.73498535156</c:v>
                </c:pt>
                <c:pt idx="21">
                  <c:v>1756.73498535156</c:v>
                </c:pt>
                <c:pt idx="22">
                  <c:v>1756.73498535156</c:v>
                </c:pt>
                <c:pt idx="23">
                  <c:v>2194.56420898437</c:v>
                </c:pt>
                <c:pt idx="24">
                  <c:v>2194.56420898437</c:v>
                </c:pt>
                <c:pt idx="25">
                  <c:v>2194.56420898437</c:v>
                </c:pt>
                <c:pt idx="26">
                  <c:v>2194.56420898437</c:v>
                </c:pt>
                <c:pt idx="27">
                  <c:v>2194.56420898437</c:v>
                </c:pt>
                <c:pt idx="28">
                  <c:v>2299</c:v>
                </c:pt>
                <c:pt idx="29">
                  <c:v>2299</c:v>
                </c:pt>
                <c:pt idx="30">
                  <c:v>2299</c:v>
                </c:pt>
                <c:pt idx="31">
                  <c:v>2299</c:v>
                </c:pt>
                <c:pt idx="32">
                  <c:v>2299</c:v>
                </c:pt>
                <c:pt idx="33">
                  <c:v>3018.64916992187</c:v>
                </c:pt>
                <c:pt idx="34">
                  <c:v>3018.64916992187</c:v>
                </c:pt>
                <c:pt idx="35">
                  <c:v>3018.64916992187</c:v>
                </c:pt>
                <c:pt idx="36">
                  <c:v>3018.64916992187</c:v>
                </c:pt>
                <c:pt idx="37">
                  <c:v>3018.64916992187</c:v>
                </c:pt>
                <c:pt idx="38">
                  <c:v>3760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51-0445-BCF7-BC71F71656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5515760"/>
        <c:axId val="985517440"/>
      </c:scatterChart>
      <c:valAx>
        <c:axId val="985515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85517440"/>
        <c:crosses val="autoZero"/>
        <c:crossBetween val="midCat"/>
      </c:valAx>
      <c:valAx>
        <c:axId val="9855174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1072.81567382812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85515760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[LA_Dataset_reference_fare_20220520.xlsx]p2!PivotTable2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'p2'!$B$3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B42-E84B-A4DC-D99B1A0066E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B42-E84B-A4DC-D99B1A0066E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B42-E84B-A4DC-D99B1A0066E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B42-E84B-A4DC-D99B1A0066E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B42-E84B-A4DC-D99B1A0066E6}"/>
              </c:ext>
            </c:extLst>
          </c:dPt>
          <c:cat>
            <c:strRef>
              <c:f>'p2'!$A$4:$A$9</c:f>
              <c:strCache>
                <c:ptCount val="5"/>
                <c:pt idx="0">
                  <c:v>Domestic Brazil</c:v>
                </c:pt>
                <c:pt idx="1">
                  <c:v>Long Haul</c:v>
                </c:pt>
                <c:pt idx="2">
                  <c:v>North Cone</c:v>
                </c:pt>
                <c:pt idx="3">
                  <c:v>Others</c:v>
                </c:pt>
                <c:pt idx="4">
                  <c:v>South Cone</c:v>
                </c:pt>
              </c:strCache>
            </c:strRef>
          </c:cat>
          <c:val>
            <c:numRef>
              <c:f>'p2'!$B$4:$B$9</c:f>
              <c:numCache>
                <c:formatCode>General</c:formatCode>
                <c:ptCount val="5"/>
                <c:pt idx="0">
                  <c:v>5944.6771979666055</c:v>
                </c:pt>
                <c:pt idx="1">
                  <c:v>5944.6771979666055</c:v>
                </c:pt>
                <c:pt idx="2">
                  <c:v>5944.6771979666055</c:v>
                </c:pt>
                <c:pt idx="3">
                  <c:v>8123.1038380964637</c:v>
                </c:pt>
                <c:pt idx="4">
                  <c:v>5944.6771979666055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12-7746-BD5A-3EAA568A3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lang="en-US" b="0">
                <a:solidFill>
                  <a:schemeClr val="dk1"/>
                </a:solidFill>
                <a:latin typeface="+mn-lt"/>
              </a:rPr>
              <a:t>Average Base Fare by Booking Classes on Departure  Year Month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overall!$B$1:$B$2</c:f>
              <c:strCache>
                <c:ptCount val="2"/>
                <c:pt idx="0">
                  <c:v>booking_class</c:v>
                </c:pt>
                <c:pt idx="1">
                  <c:v>A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overall!$A$3:$A$18</c:f>
              <c:numCache>
                <c:formatCode>yyyy\-mm</c:formatCode>
                <c:ptCount val="16"/>
                <c:pt idx="0">
                  <c:v>44531</c:v>
                </c:pt>
                <c:pt idx="1">
                  <c:v>44562</c:v>
                </c:pt>
                <c:pt idx="2">
                  <c:v>44593</c:v>
                </c:pt>
                <c:pt idx="3">
                  <c:v>44621</c:v>
                </c:pt>
                <c:pt idx="4">
                  <c:v>44652</c:v>
                </c:pt>
                <c:pt idx="5">
                  <c:v>44682</c:v>
                </c:pt>
                <c:pt idx="6">
                  <c:v>44713</c:v>
                </c:pt>
                <c:pt idx="7">
                  <c:v>44743</c:v>
                </c:pt>
                <c:pt idx="8">
                  <c:v>44774</c:v>
                </c:pt>
                <c:pt idx="9">
                  <c:v>44805</c:v>
                </c:pt>
                <c:pt idx="10">
                  <c:v>44835</c:v>
                </c:pt>
                <c:pt idx="11">
                  <c:v>44866</c:v>
                </c:pt>
                <c:pt idx="12">
                  <c:v>44896</c:v>
                </c:pt>
                <c:pt idx="13">
                  <c:v>44927</c:v>
                </c:pt>
                <c:pt idx="14">
                  <c:v>44958</c:v>
                </c:pt>
                <c:pt idx="15">
                  <c:v>44986</c:v>
                </c:pt>
              </c:numCache>
            </c:numRef>
          </c:cat>
          <c:val>
            <c:numRef>
              <c:f>overall!$B$3:$B$18</c:f>
              <c:numCache>
                <c:formatCode>General</c:formatCode>
                <c:ptCount val="16"/>
                <c:pt idx="0">
                  <c:v>84.742477777688705</c:v>
                </c:pt>
                <c:pt idx="1">
                  <c:v>92.179647373450095</c:v>
                </c:pt>
                <c:pt idx="2">
                  <c:v>97.479642338152402</c:v>
                </c:pt>
                <c:pt idx="3">
                  <c:v>96.002566327166406</c:v>
                </c:pt>
                <c:pt idx="4">
                  <c:v>96.869516284826304</c:v>
                </c:pt>
                <c:pt idx="5">
                  <c:v>101.06040040875</c:v>
                </c:pt>
                <c:pt idx="6">
                  <c:v>89.076176927241704</c:v>
                </c:pt>
                <c:pt idx="7">
                  <c:v>75.906196455876398</c:v>
                </c:pt>
                <c:pt idx="8">
                  <c:v>88.064290150582806</c:v>
                </c:pt>
                <c:pt idx="9">
                  <c:v>93.268768655354293</c:v>
                </c:pt>
                <c:pt idx="10">
                  <c:v>103.13063527055598</c:v>
                </c:pt>
                <c:pt idx="11">
                  <c:v>92.720529280742895</c:v>
                </c:pt>
                <c:pt idx="12">
                  <c:v>72.240288071014902</c:v>
                </c:pt>
                <c:pt idx="13">
                  <c:v>99.796261462590707</c:v>
                </c:pt>
                <c:pt idx="14">
                  <c:v>131.22857443211601</c:v>
                </c:pt>
                <c:pt idx="15">
                  <c:v>311.709751163097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93-C947-A579-9B9830D70258}"/>
            </c:ext>
          </c:extLst>
        </c:ser>
        <c:ser>
          <c:idx val="1"/>
          <c:order val="1"/>
          <c:tx>
            <c:strRef>
              <c:f>overall!$C$1:$C$2</c:f>
              <c:strCache>
                <c:ptCount val="2"/>
                <c:pt idx="0">
                  <c:v>booking_class</c:v>
                </c:pt>
                <c:pt idx="1">
                  <c:v>B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overall!$A$3:$A$18</c:f>
              <c:numCache>
                <c:formatCode>yyyy\-mm</c:formatCode>
                <c:ptCount val="16"/>
                <c:pt idx="0">
                  <c:v>44531</c:v>
                </c:pt>
                <c:pt idx="1">
                  <c:v>44562</c:v>
                </c:pt>
                <c:pt idx="2">
                  <c:v>44593</c:v>
                </c:pt>
                <c:pt idx="3">
                  <c:v>44621</c:v>
                </c:pt>
                <c:pt idx="4">
                  <c:v>44652</c:v>
                </c:pt>
                <c:pt idx="5">
                  <c:v>44682</c:v>
                </c:pt>
                <c:pt idx="6">
                  <c:v>44713</c:v>
                </c:pt>
                <c:pt idx="7">
                  <c:v>44743</c:v>
                </c:pt>
                <c:pt idx="8">
                  <c:v>44774</c:v>
                </c:pt>
                <c:pt idx="9">
                  <c:v>44805</c:v>
                </c:pt>
                <c:pt idx="10">
                  <c:v>44835</c:v>
                </c:pt>
                <c:pt idx="11">
                  <c:v>44866</c:v>
                </c:pt>
                <c:pt idx="12">
                  <c:v>44896</c:v>
                </c:pt>
                <c:pt idx="13">
                  <c:v>44927</c:v>
                </c:pt>
                <c:pt idx="14">
                  <c:v>44958</c:v>
                </c:pt>
                <c:pt idx="15">
                  <c:v>44986</c:v>
                </c:pt>
              </c:numCache>
            </c:numRef>
          </c:cat>
          <c:val>
            <c:numRef>
              <c:f>overall!$C$3:$C$18</c:f>
              <c:numCache>
                <c:formatCode>General</c:formatCode>
                <c:ptCount val="16"/>
                <c:pt idx="0">
                  <c:v>527.881311823592</c:v>
                </c:pt>
                <c:pt idx="1">
                  <c:v>531.77385233994096</c:v>
                </c:pt>
                <c:pt idx="2">
                  <c:v>531.18064533721702</c:v>
                </c:pt>
                <c:pt idx="3">
                  <c:v>544.87181109786002</c:v>
                </c:pt>
                <c:pt idx="4">
                  <c:v>579.73955840953204</c:v>
                </c:pt>
                <c:pt idx="5">
                  <c:v>588.46032726745398</c:v>
                </c:pt>
                <c:pt idx="6">
                  <c:v>591.44352256288198</c:v>
                </c:pt>
                <c:pt idx="7">
                  <c:v>610.16218429303399</c:v>
                </c:pt>
                <c:pt idx="8">
                  <c:v>598.40872625146801</c:v>
                </c:pt>
                <c:pt idx="9">
                  <c:v>593.41155534060101</c:v>
                </c:pt>
                <c:pt idx="10">
                  <c:v>588.81133427065402</c:v>
                </c:pt>
                <c:pt idx="11">
                  <c:v>557.30108303629004</c:v>
                </c:pt>
                <c:pt idx="12">
                  <c:v>607.88058614859403</c:v>
                </c:pt>
                <c:pt idx="13">
                  <c:v>639.86243453729196</c:v>
                </c:pt>
                <c:pt idx="14">
                  <c:v>642.79243865175602</c:v>
                </c:pt>
                <c:pt idx="15">
                  <c:v>1346.2914081981401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93-C947-A579-9B9830D70258}"/>
            </c:ext>
          </c:extLst>
        </c:ser>
        <c:ser>
          <c:idx val="2"/>
          <c:order val="2"/>
          <c:tx>
            <c:strRef>
              <c:f>overall!$D$1:$D$2</c:f>
              <c:strCache>
                <c:ptCount val="2"/>
                <c:pt idx="0">
                  <c:v>booking_class</c:v>
                </c:pt>
                <c:pt idx="1">
                  <c:v>G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numRef>
              <c:f>overall!$A$3:$A$18</c:f>
              <c:numCache>
                <c:formatCode>yyyy\-mm</c:formatCode>
                <c:ptCount val="16"/>
                <c:pt idx="0">
                  <c:v>44531</c:v>
                </c:pt>
                <c:pt idx="1">
                  <c:v>44562</c:v>
                </c:pt>
                <c:pt idx="2">
                  <c:v>44593</c:v>
                </c:pt>
                <c:pt idx="3">
                  <c:v>44621</c:v>
                </c:pt>
                <c:pt idx="4">
                  <c:v>44652</c:v>
                </c:pt>
                <c:pt idx="5">
                  <c:v>44682</c:v>
                </c:pt>
                <c:pt idx="6">
                  <c:v>44713</c:v>
                </c:pt>
                <c:pt idx="7">
                  <c:v>44743</c:v>
                </c:pt>
                <c:pt idx="8">
                  <c:v>44774</c:v>
                </c:pt>
                <c:pt idx="9">
                  <c:v>44805</c:v>
                </c:pt>
                <c:pt idx="10">
                  <c:v>44835</c:v>
                </c:pt>
                <c:pt idx="11">
                  <c:v>44866</c:v>
                </c:pt>
                <c:pt idx="12">
                  <c:v>44896</c:v>
                </c:pt>
                <c:pt idx="13">
                  <c:v>44927</c:v>
                </c:pt>
                <c:pt idx="14">
                  <c:v>44958</c:v>
                </c:pt>
                <c:pt idx="15">
                  <c:v>44986</c:v>
                </c:pt>
              </c:numCache>
            </c:numRef>
          </c:cat>
          <c:val>
            <c:numRef>
              <c:f>overall!$D$3:$D$18</c:f>
              <c:numCache>
                <c:formatCode>General</c:formatCode>
                <c:ptCount val="16"/>
                <c:pt idx="0">
                  <c:v>77.598852266513603</c:v>
                </c:pt>
                <c:pt idx="1">
                  <c:v>72.593713891102695</c:v>
                </c:pt>
                <c:pt idx="2">
                  <c:v>69.440762730760596</c:v>
                </c:pt>
                <c:pt idx="3">
                  <c:v>76.4242555328739</c:v>
                </c:pt>
                <c:pt idx="4">
                  <c:v>83.089599197719593</c:v>
                </c:pt>
                <c:pt idx="5">
                  <c:v>80.622654574438599</c:v>
                </c:pt>
                <c:pt idx="6">
                  <c:v>75.095710935733194</c:v>
                </c:pt>
                <c:pt idx="7">
                  <c:v>68.390190887901497</c:v>
                </c:pt>
                <c:pt idx="8">
                  <c:v>72.104488620378405</c:v>
                </c:pt>
                <c:pt idx="9">
                  <c:v>70.721849702923805</c:v>
                </c:pt>
                <c:pt idx="10">
                  <c:v>72.692728913508603</c:v>
                </c:pt>
                <c:pt idx="11">
                  <c:v>64.355886437903195</c:v>
                </c:pt>
                <c:pt idx="12">
                  <c:v>61.38225901797459</c:v>
                </c:pt>
                <c:pt idx="13">
                  <c:v>67.801068207911598</c:v>
                </c:pt>
                <c:pt idx="14">
                  <c:v>82.441619359259306</c:v>
                </c:pt>
                <c:pt idx="15">
                  <c:v>309.67435722885898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93-C947-A579-9B9830D70258}"/>
            </c:ext>
          </c:extLst>
        </c:ser>
        <c:ser>
          <c:idx val="3"/>
          <c:order val="3"/>
          <c:tx>
            <c:strRef>
              <c:f>overall!$E$1:$E$2</c:f>
              <c:strCache>
                <c:ptCount val="2"/>
                <c:pt idx="0">
                  <c:v>booking_class</c:v>
                </c:pt>
                <c:pt idx="1">
                  <c:v>H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numRef>
              <c:f>overall!$A$3:$A$18</c:f>
              <c:numCache>
                <c:formatCode>yyyy\-mm</c:formatCode>
                <c:ptCount val="16"/>
                <c:pt idx="0">
                  <c:v>44531</c:v>
                </c:pt>
                <c:pt idx="1">
                  <c:v>44562</c:v>
                </c:pt>
                <c:pt idx="2">
                  <c:v>44593</c:v>
                </c:pt>
                <c:pt idx="3">
                  <c:v>44621</c:v>
                </c:pt>
                <c:pt idx="4">
                  <c:v>44652</c:v>
                </c:pt>
                <c:pt idx="5">
                  <c:v>44682</c:v>
                </c:pt>
                <c:pt idx="6">
                  <c:v>44713</c:v>
                </c:pt>
                <c:pt idx="7">
                  <c:v>44743</c:v>
                </c:pt>
                <c:pt idx="8">
                  <c:v>44774</c:v>
                </c:pt>
                <c:pt idx="9">
                  <c:v>44805</c:v>
                </c:pt>
                <c:pt idx="10">
                  <c:v>44835</c:v>
                </c:pt>
                <c:pt idx="11">
                  <c:v>44866</c:v>
                </c:pt>
                <c:pt idx="12">
                  <c:v>44896</c:v>
                </c:pt>
                <c:pt idx="13">
                  <c:v>44927</c:v>
                </c:pt>
                <c:pt idx="14">
                  <c:v>44958</c:v>
                </c:pt>
                <c:pt idx="15">
                  <c:v>44986</c:v>
                </c:pt>
              </c:numCache>
            </c:numRef>
          </c:cat>
          <c:val>
            <c:numRef>
              <c:f>overall!$E$3:$E$18</c:f>
              <c:numCache>
                <c:formatCode>General</c:formatCode>
                <c:ptCount val="16"/>
                <c:pt idx="0">
                  <c:v>421.58462188064294</c:v>
                </c:pt>
                <c:pt idx="1">
                  <c:v>422.10263430159102</c:v>
                </c:pt>
                <c:pt idx="2">
                  <c:v>420.85933472027801</c:v>
                </c:pt>
                <c:pt idx="3">
                  <c:v>433.15203716660096</c:v>
                </c:pt>
                <c:pt idx="4">
                  <c:v>458.00773657230002</c:v>
                </c:pt>
                <c:pt idx="5">
                  <c:v>464.40075954990408</c:v>
                </c:pt>
                <c:pt idx="6">
                  <c:v>466.82525556520505</c:v>
                </c:pt>
                <c:pt idx="7">
                  <c:v>486.08189006899102</c:v>
                </c:pt>
                <c:pt idx="8">
                  <c:v>474.363395075016</c:v>
                </c:pt>
                <c:pt idx="9">
                  <c:v>469.98980034848603</c:v>
                </c:pt>
                <c:pt idx="10">
                  <c:v>466.35683522453098</c:v>
                </c:pt>
                <c:pt idx="11">
                  <c:v>444.51927250867101</c:v>
                </c:pt>
                <c:pt idx="12">
                  <c:v>488.59369590184798</c:v>
                </c:pt>
                <c:pt idx="13">
                  <c:v>516.69228013723705</c:v>
                </c:pt>
                <c:pt idx="14">
                  <c:v>514.90805937575794</c:v>
                </c:pt>
                <c:pt idx="15">
                  <c:v>987.15577355440496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93-C947-A579-9B9830D70258}"/>
            </c:ext>
          </c:extLst>
        </c:ser>
        <c:ser>
          <c:idx val="4"/>
          <c:order val="4"/>
          <c:tx>
            <c:strRef>
              <c:f>overall!$F$1:$F$2</c:f>
              <c:strCache>
                <c:ptCount val="2"/>
                <c:pt idx="0">
                  <c:v>booking_class</c:v>
                </c:pt>
                <c:pt idx="1">
                  <c:v>K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numRef>
              <c:f>overall!$A$3:$A$18</c:f>
              <c:numCache>
                <c:formatCode>yyyy\-mm</c:formatCode>
                <c:ptCount val="16"/>
                <c:pt idx="0">
                  <c:v>44531</c:v>
                </c:pt>
                <c:pt idx="1">
                  <c:v>44562</c:v>
                </c:pt>
                <c:pt idx="2">
                  <c:v>44593</c:v>
                </c:pt>
                <c:pt idx="3">
                  <c:v>44621</c:v>
                </c:pt>
                <c:pt idx="4">
                  <c:v>44652</c:v>
                </c:pt>
                <c:pt idx="5">
                  <c:v>44682</c:v>
                </c:pt>
                <c:pt idx="6">
                  <c:v>44713</c:v>
                </c:pt>
                <c:pt idx="7">
                  <c:v>44743</c:v>
                </c:pt>
                <c:pt idx="8">
                  <c:v>44774</c:v>
                </c:pt>
                <c:pt idx="9">
                  <c:v>44805</c:v>
                </c:pt>
                <c:pt idx="10">
                  <c:v>44835</c:v>
                </c:pt>
                <c:pt idx="11">
                  <c:v>44866</c:v>
                </c:pt>
                <c:pt idx="12">
                  <c:v>44896</c:v>
                </c:pt>
                <c:pt idx="13">
                  <c:v>44927</c:v>
                </c:pt>
                <c:pt idx="14">
                  <c:v>44958</c:v>
                </c:pt>
                <c:pt idx="15">
                  <c:v>44986</c:v>
                </c:pt>
              </c:numCache>
            </c:numRef>
          </c:cat>
          <c:val>
            <c:numRef>
              <c:f>overall!$F$3:$F$18</c:f>
              <c:numCache>
                <c:formatCode>General</c:formatCode>
                <c:ptCount val="16"/>
                <c:pt idx="0">
                  <c:v>352.78548805864301</c:v>
                </c:pt>
                <c:pt idx="1">
                  <c:v>350.80601629449302</c:v>
                </c:pt>
                <c:pt idx="2">
                  <c:v>349.57640692257399</c:v>
                </c:pt>
                <c:pt idx="3">
                  <c:v>360.45678907277102</c:v>
                </c:pt>
                <c:pt idx="4">
                  <c:v>381.44976043361299</c:v>
                </c:pt>
                <c:pt idx="5">
                  <c:v>386.43882700420301</c:v>
                </c:pt>
                <c:pt idx="6">
                  <c:v>388.33786990491097</c:v>
                </c:pt>
                <c:pt idx="7">
                  <c:v>405.827649143869</c:v>
                </c:pt>
                <c:pt idx="8">
                  <c:v>394.82709553680399</c:v>
                </c:pt>
                <c:pt idx="9">
                  <c:v>390.89905913348599</c:v>
                </c:pt>
                <c:pt idx="10">
                  <c:v>387.611845909659</c:v>
                </c:pt>
                <c:pt idx="11">
                  <c:v>370.56127719367498</c:v>
                </c:pt>
                <c:pt idx="12">
                  <c:v>409.31149455962498</c:v>
                </c:pt>
                <c:pt idx="13">
                  <c:v>433.83269880494902</c:v>
                </c:pt>
                <c:pt idx="14">
                  <c:v>432.41368559216596</c:v>
                </c:pt>
                <c:pt idx="15">
                  <c:v>812.49295312482695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93-C947-A579-9B9830D70258}"/>
            </c:ext>
          </c:extLst>
        </c:ser>
        <c:ser>
          <c:idx val="5"/>
          <c:order val="5"/>
          <c:tx>
            <c:strRef>
              <c:f>overall!$G$1:$G$2</c:f>
              <c:strCache>
                <c:ptCount val="2"/>
                <c:pt idx="0">
                  <c:v>booking_class</c:v>
                </c:pt>
                <c:pt idx="1">
                  <c:v>L</c:v>
                </c:pt>
              </c:strCache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numRef>
              <c:f>overall!$A$3:$A$18</c:f>
              <c:numCache>
                <c:formatCode>yyyy\-mm</c:formatCode>
                <c:ptCount val="16"/>
                <c:pt idx="0">
                  <c:v>44531</c:v>
                </c:pt>
                <c:pt idx="1">
                  <c:v>44562</c:v>
                </c:pt>
                <c:pt idx="2">
                  <c:v>44593</c:v>
                </c:pt>
                <c:pt idx="3">
                  <c:v>44621</c:v>
                </c:pt>
                <c:pt idx="4">
                  <c:v>44652</c:v>
                </c:pt>
                <c:pt idx="5">
                  <c:v>44682</c:v>
                </c:pt>
                <c:pt idx="6">
                  <c:v>44713</c:v>
                </c:pt>
                <c:pt idx="7">
                  <c:v>44743</c:v>
                </c:pt>
                <c:pt idx="8">
                  <c:v>44774</c:v>
                </c:pt>
                <c:pt idx="9">
                  <c:v>44805</c:v>
                </c:pt>
                <c:pt idx="10">
                  <c:v>44835</c:v>
                </c:pt>
                <c:pt idx="11">
                  <c:v>44866</c:v>
                </c:pt>
                <c:pt idx="12">
                  <c:v>44896</c:v>
                </c:pt>
                <c:pt idx="13">
                  <c:v>44927</c:v>
                </c:pt>
                <c:pt idx="14">
                  <c:v>44958</c:v>
                </c:pt>
                <c:pt idx="15">
                  <c:v>44986</c:v>
                </c:pt>
              </c:numCache>
            </c:numRef>
          </c:cat>
          <c:val>
            <c:numRef>
              <c:f>overall!$G$3:$G$18</c:f>
              <c:numCache>
                <c:formatCode>General</c:formatCode>
                <c:ptCount val="16"/>
                <c:pt idx="0">
                  <c:v>272.25635728157999</c:v>
                </c:pt>
                <c:pt idx="1">
                  <c:v>258.74918626825098</c:v>
                </c:pt>
                <c:pt idx="2">
                  <c:v>253.70413235606196</c:v>
                </c:pt>
                <c:pt idx="3">
                  <c:v>261.35142227166301</c:v>
                </c:pt>
                <c:pt idx="4">
                  <c:v>277.557165158185</c:v>
                </c:pt>
                <c:pt idx="5">
                  <c:v>280.105848918937</c:v>
                </c:pt>
                <c:pt idx="6">
                  <c:v>281.690124021381</c:v>
                </c:pt>
                <c:pt idx="7">
                  <c:v>296.55635422467299</c:v>
                </c:pt>
                <c:pt idx="8">
                  <c:v>287.12167036344999</c:v>
                </c:pt>
                <c:pt idx="9">
                  <c:v>283.61080014297897</c:v>
                </c:pt>
                <c:pt idx="10">
                  <c:v>280.77753396956803</c:v>
                </c:pt>
                <c:pt idx="11">
                  <c:v>268.68522792992098</c:v>
                </c:pt>
                <c:pt idx="12">
                  <c:v>299.51891353527202</c:v>
                </c:pt>
                <c:pt idx="13">
                  <c:v>319.28687939417603</c:v>
                </c:pt>
                <c:pt idx="14">
                  <c:v>318.76071629454901</c:v>
                </c:pt>
                <c:pt idx="15">
                  <c:v>608.93440033020499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893-C947-A579-9B9830D70258}"/>
            </c:ext>
          </c:extLst>
        </c:ser>
        <c:ser>
          <c:idx val="6"/>
          <c:order val="6"/>
          <c:tx>
            <c:strRef>
              <c:f>overall!$H$1:$H$2</c:f>
              <c:strCache>
                <c:ptCount val="2"/>
                <c:pt idx="0">
                  <c:v>booking_class</c:v>
                </c:pt>
                <c:pt idx="1">
                  <c:v>M</c:v>
                </c:pt>
              </c:strCache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numRef>
              <c:f>overall!$A$3:$A$18</c:f>
              <c:numCache>
                <c:formatCode>yyyy\-mm</c:formatCode>
                <c:ptCount val="16"/>
                <c:pt idx="0">
                  <c:v>44531</c:v>
                </c:pt>
                <c:pt idx="1">
                  <c:v>44562</c:v>
                </c:pt>
                <c:pt idx="2">
                  <c:v>44593</c:v>
                </c:pt>
                <c:pt idx="3">
                  <c:v>44621</c:v>
                </c:pt>
                <c:pt idx="4">
                  <c:v>44652</c:v>
                </c:pt>
                <c:pt idx="5">
                  <c:v>44682</c:v>
                </c:pt>
                <c:pt idx="6">
                  <c:v>44713</c:v>
                </c:pt>
                <c:pt idx="7">
                  <c:v>44743</c:v>
                </c:pt>
                <c:pt idx="8">
                  <c:v>44774</c:v>
                </c:pt>
                <c:pt idx="9">
                  <c:v>44805</c:v>
                </c:pt>
                <c:pt idx="10">
                  <c:v>44835</c:v>
                </c:pt>
                <c:pt idx="11">
                  <c:v>44866</c:v>
                </c:pt>
                <c:pt idx="12">
                  <c:v>44896</c:v>
                </c:pt>
                <c:pt idx="13">
                  <c:v>44927</c:v>
                </c:pt>
                <c:pt idx="14">
                  <c:v>44958</c:v>
                </c:pt>
                <c:pt idx="15">
                  <c:v>44986</c:v>
                </c:pt>
              </c:numCache>
            </c:numRef>
          </c:cat>
          <c:val>
            <c:numRef>
              <c:f>overall!$H$3:$H$18</c:f>
              <c:numCache>
                <c:formatCode>General</c:formatCode>
                <c:ptCount val="16"/>
                <c:pt idx="0">
                  <c:v>304.60094109584998</c:v>
                </c:pt>
                <c:pt idx="1">
                  <c:v>297.35591036667199</c:v>
                </c:pt>
                <c:pt idx="2">
                  <c:v>294.610507146028</c:v>
                </c:pt>
                <c:pt idx="3">
                  <c:v>303.97195562621198</c:v>
                </c:pt>
                <c:pt idx="4">
                  <c:v>322.06384346956298</c:v>
                </c:pt>
                <c:pt idx="5">
                  <c:v>325.85729168814601</c:v>
                </c:pt>
                <c:pt idx="6">
                  <c:v>327.66284999558599</c:v>
                </c:pt>
                <c:pt idx="7">
                  <c:v>343.80124112400199</c:v>
                </c:pt>
                <c:pt idx="8">
                  <c:v>333.67192719585398</c:v>
                </c:pt>
                <c:pt idx="9">
                  <c:v>330.00684920484002</c:v>
                </c:pt>
                <c:pt idx="10">
                  <c:v>327.01211970590401</c:v>
                </c:pt>
                <c:pt idx="11">
                  <c:v>313.28424053660098</c:v>
                </c:pt>
                <c:pt idx="12">
                  <c:v>347.564984658448</c:v>
                </c:pt>
                <c:pt idx="13">
                  <c:v>369.53725910721698</c:v>
                </c:pt>
                <c:pt idx="14">
                  <c:v>368.491174756536</c:v>
                </c:pt>
                <c:pt idx="15">
                  <c:v>685.07308410738199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893-C947-A579-9B9830D70258}"/>
            </c:ext>
          </c:extLst>
        </c:ser>
        <c:ser>
          <c:idx val="7"/>
          <c:order val="7"/>
          <c:tx>
            <c:strRef>
              <c:f>overall!$I$1:$I$2</c:f>
              <c:strCache>
                <c:ptCount val="2"/>
                <c:pt idx="0">
                  <c:v>booking_class</c:v>
                </c:pt>
                <c:pt idx="1">
                  <c:v>N</c:v>
                </c:pt>
              </c:strCache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numRef>
              <c:f>overall!$A$3:$A$18</c:f>
              <c:numCache>
                <c:formatCode>yyyy\-mm</c:formatCode>
                <c:ptCount val="16"/>
                <c:pt idx="0">
                  <c:v>44531</c:v>
                </c:pt>
                <c:pt idx="1">
                  <c:v>44562</c:v>
                </c:pt>
                <c:pt idx="2">
                  <c:v>44593</c:v>
                </c:pt>
                <c:pt idx="3">
                  <c:v>44621</c:v>
                </c:pt>
                <c:pt idx="4">
                  <c:v>44652</c:v>
                </c:pt>
                <c:pt idx="5">
                  <c:v>44682</c:v>
                </c:pt>
                <c:pt idx="6">
                  <c:v>44713</c:v>
                </c:pt>
                <c:pt idx="7">
                  <c:v>44743</c:v>
                </c:pt>
                <c:pt idx="8">
                  <c:v>44774</c:v>
                </c:pt>
                <c:pt idx="9">
                  <c:v>44805</c:v>
                </c:pt>
                <c:pt idx="10">
                  <c:v>44835</c:v>
                </c:pt>
                <c:pt idx="11">
                  <c:v>44866</c:v>
                </c:pt>
                <c:pt idx="12">
                  <c:v>44896</c:v>
                </c:pt>
                <c:pt idx="13">
                  <c:v>44927</c:v>
                </c:pt>
                <c:pt idx="14">
                  <c:v>44958</c:v>
                </c:pt>
                <c:pt idx="15">
                  <c:v>44986</c:v>
                </c:pt>
              </c:numCache>
            </c:numRef>
          </c:cat>
          <c:val>
            <c:numRef>
              <c:f>overall!$I$3:$I$18</c:f>
              <c:numCache>
                <c:formatCode>General</c:formatCode>
                <c:ptCount val="16"/>
                <c:pt idx="0">
                  <c:v>193.432763938844</c:v>
                </c:pt>
                <c:pt idx="1">
                  <c:v>170.578919526807</c:v>
                </c:pt>
                <c:pt idx="2">
                  <c:v>157.21747193799899</c:v>
                </c:pt>
                <c:pt idx="3">
                  <c:v>160.770080908186</c:v>
                </c:pt>
                <c:pt idx="4">
                  <c:v>174.198605196925</c:v>
                </c:pt>
                <c:pt idx="5">
                  <c:v>171.943329986555</c:v>
                </c:pt>
                <c:pt idx="6">
                  <c:v>174.79286917086301</c:v>
                </c:pt>
                <c:pt idx="7">
                  <c:v>196.097834361087</c:v>
                </c:pt>
                <c:pt idx="8">
                  <c:v>178.89032031202501</c:v>
                </c:pt>
                <c:pt idx="9">
                  <c:v>175.148190329805</c:v>
                </c:pt>
                <c:pt idx="10">
                  <c:v>172.36877358276999</c:v>
                </c:pt>
                <c:pt idx="11">
                  <c:v>162.34834946079599</c:v>
                </c:pt>
                <c:pt idx="12">
                  <c:v>187.46318050491101</c:v>
                </c:pt>
                <c:pt idx="13">
                  <c:v>200.58000130687699</c:v>
                </c:pt>
                <c:pt idx="14">
                  <c:v>197.900212835508</c:v>
                </c:pt>
                <c:pt idx="15">
                  <c:v>428.890569284153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893-C947-A579-9B9830D70258}"/>
            </c:ext>
          </c:extLst>
        </c:ser>
        <c:ser>
          <c:idx val="8"/>
          <c:order val="8"/>
          <c:tx>
            <c:strRef>
              <c:f>overall!$J$1:$J$2</c:f>
              <c:strCache>
                <c:ptCount val="2"/>
                <c:pt idx="0">
                  <c:v>booking_class</c:v>
                </c:pt>
                <c:pt idx="1">
                  <c:v>O</c:v>
                </c:pt>
              </c:strCache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numRef>
              <c:f>overall!$A$3:$A$18</c:f>
              <c:numCache>
                <c:formatCode>yyyy\-mm</c:formatCode>
                <c:ptCount val="16"/>
                <c:pt idx="0">
                  <c:v>44531</c:v>
                </c:pt>
                <c:pt idx="1">
                  <c:v>44562</c:v>
                </c:pt>
                <c:pt idx="2">
                  <c:v>44593</c:v>
                </c:pt>
                <c:pt idx="3">
                  <c:v>44621</c:v>
                </c:pt>
                <c:pt idx="4">
                  <c:v>44652</c:v>
                </c:pt>
                <c:pt idx="5">
                  <c:v>44682</c:v>
                </c:pt>
                <c:pt idx="6">
                  <c:v>44713</c:v>
                </c:pt>
                <c:pt idx="7">
                  <c:v>44743</c:v>
                </c:pt>
                <c:pt idx="8">
                  <c:v>44774</c:v>
                </c:pt>
                <c:pt idx="9">
                  <c:v>44805</c:v>
                </c:pt>
                <c:pt idx="10">
                  <c:v>44835</c:v>
                </c:pt>
                <c:pt idx="11">
                  <c:v>44866</c:v>
                </c:pt>
                <c:pt idx="12">
                  <c:v>44896</c:v>
                </c:pt>
                <c:pt idx="13">
                  <c:v>44927</c:v>
                </c:pt>
                <c:pt idx="14">
                  <c:v>44958</c:v>
                </c:pt>
                <c:pt idx="15">
                  <c:v>44986</c:v>
                </c:pt>
              </c:numCache>
            </c:numRef>
          </c:cat>
          <c:val>
            <c:numRef>
              <c:f>overall!$J$3:$J$18</c:f>
              <c:numCache>
                <c:formatCode>General</c:formatCode>
                <c:ptCount val="16"/>
                <c:pt idx="0">
                  <c:v>112.801981189901</c:v>
                </c:pt>
                <c:pt idx="1">
                  <c:v>107.67036144829999</c:v>
                </c:pt>
                <c:pt idx="2">
                  <c:v>103.436478069293</c:v>
                </c:pt>
                <c:pt idx="3">
                  <c:v>109.91060072033</c:v>
                </c:pt>
                <c:pt idx="4">
                  <c:v>118.62173176469101</c:v>
                </c:pt>
                <c:pt idx="5">
                  <c:v>117.55215446944598</c:v>
                </c:pt>
                <c:pt idx="6">
                  <c:v>113.650645287439</c:v>
                </c:pt>
                <c:pt idx="7">
                  <c:v>103.796670971092</c:v>
                </c:pt>
                <c:pt idx="8">
                  <c:v>108.56871415468399</c:v>
                </c:pt>
                <c:pt idx="9">
                  <c:v>107.831327985916</c:v>
                </c:pt>
                <c:pt idx="10">
                  <c:v>107.67813387148799</c:v>
                </c:pt>
                <c:pt idx="11">
                  <c:v>95.622567687908301</c:v>
                </c:pt>
                <c:pt idx="12">
                  <c:v>94.874811899995606</c:v>
                </c:pt>
                <c:pt idx="13">
                  <c:v>105.69922101331899</c:v>
                </c:pt>
                <c:pt idx="14">
                  <c:v>114.48168333188201</c:v>
                </c:pt>
                <c:pt idx="15">
                  <c:v>344.68717840331999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893-C947-A579-9B9830D70258}"/>
            </c:ext>
          </c:extLst>
        </c:ser>
        <c:ser>
          <c:idx val="9"/>
          <c:order val="9"/>
          <c:tx>
            <c:strRef>
              <c:f>overall!$K$1:$K$2</c:f>
              <c:strCache>
                <c:ptCount val="2"/>
                <c:pt idx="0">
                  <c:v>booking_class</c:v>
                </c:pt>
                <c:pt idx="1">
                  <c:v>Q</c:v>
                </c:pt>
              </c:strCache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numRef>
              <c:f>overall!$A$3:$A$18</c:f>
              <c:numCache>
                <c:formatCode>yyyy\-mm</c:formatCode>
                <c:ptCount val="16"/>
                <c:pt idx="0">
                  <c:v>44531</c:v>
                </c:pt>
                <c:pt idx="1">
                  <c:v>44562</c:v>
                </c:pt>
                <c:pt idx="2">
                  <c:v>44593</c:v>
                </c:pt>
                <c:pt idx="3">
                  <c:v>44621</c:v>
                </c:pt>
                <c:pt idx="4">
                  <c:v>44652</c:v>
                </c:pt>
                <c:pt idx="5">
                  <c:v>44682</c:v>
                </c:pt>
                <c:pt idx="6">
                  <c:v>44713</c:v>
                </c:pt>
                <c:pt idx="7">
                  <c:v>44743</c:v>
                </c:pt>
                <c:pt idx="8">
                  <c:v>44774</c:v>
                </c:pt>
                <c:pt idx="9">
                  <c:v>44805</c:v>
                </c:pt>
                <c:pt idx="10">
                  <c:v>44835</c:v>
                </c:pt>
                <c:pt idx="11">
                  <c:v>44866</c:v>
                </c:pt>
                <c:pt idx="12">
                  <c:v>44896</c:v>
                </c:pt>
                <c:pt idx="13">
                  <c:v>44927</c:v>
                </c:pt>
                <c:pt idx="14">
                  <c:v>44958</c:v>
                </c:pt>
                <c:pt idx="15">
                  <c:v>44986</c:v>
                </c:pt>
              </c:numCache>
            </c:numRef>
          </c:cat>
          <c:val>
            <c:numRef>
              <c:f>overall!$K$3:$K$18</c:f>
              <c:numCache>
                <c:formatCode>General</c:formatCode>
                <c:ptCount val="16"/>
                <c:pt idx="0">
                  <c:v>172.403719469636</c:v>
                </c:pt>
                <c:pt idx="1">
                  <c:v>150.74422729516101</c:v>
                </c:pt>
                <c:pt idx="2">
                  <c:v>140.712635335513</c:v>
                </c:pt>
                <c:pt idx="3">
                  <c:v>143.88338968446101</c:v>
                </c:pt>
                <c:pt idx="4">
                  <c:v>156.18415945218001</c:v>
                </c:pt>
                <c:pt idx="5">
                  <c:v>155.36411212342799</c:v>
                </c:pt>
                <c:pt idx="6">
                  <c:v>157.407186864366</c:v>
                </c:pt>
                <c:pt idx="7">
                  <c:v>172.66390139123601</c:v>
                </c:pt>
                <c:pt idx="8">
                  <c:v>162.69436427873799</c:v>
                </c:pt>
                <c:pt idx="9">
                  <c:v>159.216042944674</c:v>
                </c:pt>
                <c:pt idx="10">
                  <c:v>156.58611877041599</c:v>
                </c:pt>
                <c:pt idx="11">
                  <c:v>146.784052241056</c:v>
                </c:pt>
                <c:pt idx="12">
                  <c:v>171.413219024695</c:v>
                </c:pt>
                <c:pt idx="13">
                  <c:v>183.64712885544901</c:v>
                </c:pt>
                <c:pt idx="14">
                  <c:v>180.40723950854701</c:v>
                </c:pt>
                <c:pt idx="15">
                  <c:v>389.51733800494901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893-C947-A579-9B9830D70258}"/>
            </c:ext>
          </c:extLst>
        </c:ser>
        <c:ser>
          <c:idx val="10"/>
          <c:order val="10"/>
          <c:tx>
            <c:strRef>
              <c:f>overall!$L$1:$L$2</c:f>
              <c:strCache>
                <c:ptCount val="2"/>
                <c:pt idx="0">
                  <c:v>booking_class</c:v>
                </c:pt>
                <c:pt idx="1">
                  <c:v>S</c:v>
                </c:pt>
              </c:strCache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numRef>
              <c:f>overall!$A$3:$A$18</c:f>
              <c:numCache>
                <c:formatCode>yyyy\-mm</c:formatCode>
                <c:ptCount val="16"/>
                <c:pt idx="0">
                  <c:v>44531</c:v>
                </c:pt>
                <c:pt idx="1">
                  <c:v>44562</c:v>
                </c:pt>
                <c:pt idx="2">
                  <c:v>44593</c:v>
                </c:pt>
                <c:pt idx="3">
                  <c:v>44621</c:v>
                </c:pt>
                <c:pt idx="4">
                  <c:v>44652</c:v>
                </c:pt>
                <c:pt idx="5">
                  <c:v>44682</c:v>
                </c:pt>
                <c:pt idx="6">
                  <c:v>44713</c:v>
                </c:pt>
                <c:pt idx="7">
                  <c:v>44743</c:v>
                </c:pt>
                <c:pt idx="8">
                  <c:v>44774</c:v>
                </c:pt>
                <c:pt idx="9">
                  <c:v>44805</c:v>
                </c:pt>
                <c:pt idx="10">
                  <c:v>44835</c:v>
                </c:pt>
                <c:pt idx="11">
                  <c:v>44866</c:v>
                </c:pt>
                <c:pt idx="12">
                  <c:v>44896</c:v>
                </c:pt>
                <c:pt idx="13">
                  <c:v>44927</c:v>
                </c:pt>
                <c:pt idx="14">
                  <c:v>44958</c:v>
                </c:pt>
                <c:pt idx="15">
                  <c:v>44986</c:v>
                </c:pt>
              </c:numCache>
            </c:numRef>
          </c:cat>
          <c:val>
            <c:numRef>
              <c:f>overall!$L$3:$L$18</c:f>
              <c:numCache>
                <c:formatCode>General</c:formatCode>
                <c:ptCount val="16"/>
                <c:pt idx="0">
                  <c:v>211.49162812994399</c:v>
                </c:pt>
                <c:pt idx="1">
                  <c:v>189.14462465609199</c:v>
                </c:pt>
                <c:pt idx="2">
                  <c:v>175.16751093871099</c:v>
                </c:pt>
                <c:pt idx="3">
                  <c:v>179.39246368145601</c:v>
                </c:pt>
                <c:pt idx="4">
                  <c:v>193.557483343294</c:v>
                </c:pt>
                <c:pt idx="5">
                  <c:v>191.68260371895599</c:v>
                </c:pt>
                <c:pt idx="6">
                  <c:v>194.38031713026399</c:v>
                </c:pt>
                <c:pt idx="7">
                  <c:v>215.266524428515</c:v>
                </c:pt>
                <c:pt idx="8">
                  <c:v>197.417486086612</c:v>
                </c:pt>
                <c:pt idx="9">
                  <c:v>193.942563919023</c:v>
                </c:pt>
                <c:pt idx="10">
                  <c:v>191.23856853464301</c:v>
                </c:pt>
                <c:pt idx="11">
                  <c:v>180.734986536527</c:v>
                </c:pt>
                <c:pt idx="12">
                  <c:v>206.11037495672298</c:v>
                </c:pt>
                <c:pt idx="13">
                  <c:v>220.625016733135</c:v>
                </c:pt>
                <c:pt idx="14">
                  <c:v>218.13960382753299</c:v>
                </c:pt>
                <c:pt idx="15">
                  <c:v>462.55554496444699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893-C947-A579-9B9830D70258}"/>
            </c:ext>
          </c:extLst>
        </c:ser>
        <c:ser>
          <c:idx val="11"/>
          <c:order val="11"/>
          <c:tx>
            <c:strRef>
              <c:f>overall!$M$1:$M$2</c:f>
              <c:strCache>
                <c:ptCount val="2"/>
                <c:pt idx="0">
                  <c:v>booking_class</c:v>
                </c:pt>
                <c:pt idx="1">
                  <c:v>V</c:v>
                </c:pt>
              </c:strCache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cat>
            <c:numRef>
              <c:f>overall!$A$3:$A$18</c:f>
              <c:numCache>
                <c:formatCode>yyyy\-mm</c:formatCode>
                <c:ptCount val="16"/>
                <c:pt idx="0">
                  <c:v>44531</c:v>
                </c:pt>
                <c:pt idx="1">
                  <c:v>44562</c:v>
                </c:pt>
                <c:pt idx="2">
                  <c:v>44593</c:v>
                </c:pt>
                <c:pt idx="3">
                  <c:v>44621</c:v>
                </c:pt>
                <c:pt idx="4">
                  <c:v>44652</c:v>
                </c:pt>
                <c:pt idx="5">
                  <c:v>44682</c:v>
                </c:pt>
                <c:pt idx="6">
                  <c:v>44713</c:v>
                </c:pt>
                <c:pt idx="7">
                  <c:v>44743</c:v>
                </c:pt>
                <c:pt idx="8">
                  <c:v>44774</c:v>
                </c:pt>
                <c:pt idx="9">
                  <c:v>44805</c:v>
                </c:pt>
                <c:pt idx="10">
                  <c:v>44835</c:v>
                </c:pt>
                <c:pt idx="11">
                  <c:v>44866</c:v>
                </c:pt>
                <c:pt idx="12">
                  <c:v>44896</c:v>
                </c:pt>
                <c:pt idx="13">
                  <c:v>44927</c:v>
                </c:pt>
                <c:pt idx="14">
                  <c:v>44958</c:v>
                </c:pt>
                <c:pt idx="15">
                  <c:v>44986</c:v>
                </c:pt>
              </c:numCache>
            </c:numRef>
          </c:cat>
          <c:val>
            <c:numRef>
              <c:f>overall!$M$3:$M$18</c:f>
              <c:numCache>
                <c:formatCode>General</c:formatCode>
                <c:ptCount val="16"/>
                <c:pt idx="0">
                  <c:v>255.22311342675999</c:v>
                </c:pt>
                <c:pt idx="1">
                  <c:v>236.11987090641</c:v>
                </c:pt>
                <c:pt idx="2">
                  <c:v>222.46183162582003</c:v>
                </c:pt>
                <c:pt idx="3">
                  <c:v>228.65575292549596</c:v>
                </c:pt>
                <c:pt idx="4">
                  <c:v>244.663393888256</c:v>
                </c:pt>
                <c:pt idx="5">
                  <c:v>243.69845021218799</c:v>
                </c:pt>
                <c:pt idx="6">
                  <c:v>247.05766860419098</c:v>
                </c:pt>
                <c:pt idx="7">
                  <c:v>271.44564672107902</c:v>
                </c:pt>
                <c:pt idx="8">
                  <c:v>250.41501863753402</c:v>
                </c:pt>
                <c:pt idx="9">
                  <c:v>246.66317079128697</c:v>
                </c:pt>
                <c:pt idx="10">
                  <c:v>243.93398220999697</c:v>
                </c:pt>
                <c:pt idx="11">
                  <c:v>232.67695187048199</c:v>
                </c:pt>
                <c:pt idx="12">
                  <c:v>260.97519017019999</c:v>
                </c:pt>
                <c:pt idx="13">
                  <c:v>278.23531186371599</c:v>
                </c:pt>
                <c:pt idx="14">
                  <c:v>277.23064729221102</c:v>
                </c:pt>
                <c:pt idx="15">
                  <c:v>547.52577971592802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893-C947-A579-9B9830D70258}"/>
            </c:ext>
          </c:extLst>
        </c:ser>
        <c:ser>
          <c:idx val="12"/>
          <c:order val="12"/>
          <c:tx>
            <c:strRef>
              <c:f>overall!$N$1:$N$2</c:f>
              <c:strCache>
                <c:ptCount val="2"/>
                <c:pt idx="0">
                  <c:v>booking_class</c:v>
                </c:pt>
                <c:pt idx="1">
                  <c:v>X</c:v>
                </c:pt>
              </c:strCache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cat>
            <c:numRef>
              <c:f>overall!$A$3:$A$18</c:f>
              <c:numCache>
                <c:formatCode>yyyy\-mm</c:formatCode>
                <c:ptCount val="16"/>
                <c:pt idx="0">
                  <c:v>44531</c:v>
                </c:pt>
                <c:pt idx="1">
                  <c:v>44562</c:v>
                </c:pt>
                <c:pt idx="2">
                  <c:v>44593</c:v>
                </c:pt>
                <c:pt idx="3">
                  <c:v>44621</c:v>
                </c:pt>
                <c:pt idx="4">
                  <c:v>44652</c:v>
                </c:pt>
                <c:pt idx="5">
                  <c:v>44682</c:v>
                </c:pt>
                <c:pt idx="6">
                  <c:v>44713</c:v>
                </c:pt>
                <c:pt idx="7">
                  <c:v>44743</c:v>
                </c:pt>
                <c:pt idx="8">
                  <c:v>44774</c:v>
                </c:pt>
                <c:pt idx="9">
                  <c:v>44805</c:v>
                </c:pt>
                <c:pt idx="10">
                  <c:v>44835</c:v>
                </c:pt>
                <c:pt idx="11">
                  <c:v>44866</c:v>
                </c:pt>
                <c:pt idx="12">
                  <c:v>44896</c:v>
                </c:pt>
                <c:pt idx="13">
                  <c:v>44927</c:v>
                </c:pt>
                <c:pt idx="14">
                  <c:v>44958</c:v>
                </c:pt>
                <c:pt idx="15">
                  <c:v>44986</c:v>
                </c:pt>
              </c:numCache>
            </c:numRef>
          </c:cat>
          <c:val>
            <c:numRef>
              <c:f>overall!$N$3:$N$18</c:f>
              <c:numCache>
                <c:formatCode>General</c:formatCode>
                <c:ptCount val="16"/>
                <c:pt idx="0">
                  <c:v>227.57572933089401</c:v>
                </c:pt>
                <c:pt idx="1">
                  <c:v>207.33141061383498</c:v>
                </c:pt>
                <c:pt idx="2">
                  <c:v>194.51887903105199</c:v>
                </c:pt>
                <c:pt idx="3">
                  <c:v>200.01835251521601</c:v>
                </c:pt>
                <c:pt idx="4">
                  <c:v>215.36690876782501</c:v>
                </c:pt>
                <c:pt idx="5">
                  <c:v>214.05714025198</c:v>
                </c:pt>
                <c:pt idx="6">
                  <c:v>217.05306705400099</c:v>
                </c:pt>
                <c:pt idx="7">
                  <c:v>238.82772633760601</c:v>
                </c:pt>
                <c:pt idx="8">
                  <c:v>219.431937918823</c:v>
                </c:pt>
                <c:pt idx="9">
                  <c:v>216.48793162963403</c:v>
                </c:pt>
                <c:pt idx="10">
                  <c:v>214.14088818536203</c:v>
                </c:pt>
                <c:pt idx="11">
                  <c:v>203.895265803472</c:v>
                </c:pt>
                <c:pt idx="12">
                  <c:v>230.29171882229903</c:v>
                </c:pt>
                <c:pt idx="13">
                  <c:v>246.055843186023</c:v>
                </c:pt>
                <c:pt idx="14">
                  <c:v>245.531769078389</c:v>
                </c:pt>
                <c:pt idx="15">
                  <c:v>502.13860853937399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893-C947-A579-9B9830D70258}"/>
            </c:ext>
          </c:extLst>
        </c:ser>
        <c:ser>
          <c:idx val="13"/>
          <c:order val="13"/>
          <c:tx>
            <c:strRef>
              <c:f>overall!$O$1:$O$2</c:f>
              <c:strCache>
                <c:ptCount val="2"/>
                <c:pt idx="0">
                  <c:v>booking_class</c:v>
                </c:pt>
                <c:pt idx="1">
                  <c:v>Y</c:v>
                </c:pt>
              </c:strCache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cat>
            <c:numRef>
              <c:f>overall!$A$3:$A$18</c:f>
              <c:numCache>
                <c:formatCode>yyyy\-mm</c:formatCode>
                <c:ptCount val="16"/>
                <c:pt idx="0">
                  <c:v>44531</c:v>
                </c:pt>
                <c:pt idx="1">
                  <c:v>44562</c:v>
                </c:pt>
                <c:pt idx="2">
                  <c:v>44593</c:v>
                </c:pt>
                <c:pt idx="3">
                  <c:v>44621</c:v>
                </c:pt>
                <c:pt idx="4">
                  <c:v>44652</c:v>
                </c:pt>
                <c:pt idx="5">
                  <c:v>44682</c:v>
                </c:pt>
                <c:pt idx="6">
                  <c:v>44713</c:v>
                </c:pt>
                <c:pt idx="7">
                  <c:v>44743</c:v>
                </c:pt>
                <c:pt idx="8">
                  <c:v>44774</c:v>
                </c:pt>
                <c:pt idx="9">
                  <c:v>44805</c:v>
                </c:pt>
                <c:pt idx="10">
                  <c:v>44835</c:v>
                </c:pt>
                <c:pt idx="11">
                  <c:v>44866</c:v>
                </c:pt>
                <c:pt idx="12">
                  <c:v>44896</c:v>
                </c:pt>
                <c:pt idx="13">
                  <c:v>44927</c:v>
                </c:pt>
                <c:pt idx="14">
                  <c:v>44958</c:v>
                </c:pt>
                <c:pt idx="15">
                  <c:v>44986</c:v>
                </c:pt>
              </c:numCache>
            </c:numRef>
          </c:cat>
          <c:val>
            <c:numRef>
              <c:f>overall!$O$3:$O$18</c:f>
              <c:numCache>
                <c:formatCode>General</c:formatCode>
                <c:ptCount val="16"/>
                <c:pt idx="0">
                  <c:v>697.76344247078498</c:v>
                </c:pt>
                <c:pt idx="1">
                  <c:v>698.83867205545505</c:v>
                </c:pt>
                <c:pt idx="2">
                  <c:v>698.03355963271201</c:v>
                </c:pt>
                <c:pt idx="3">
                  <c:v>713.78969506702197</c:v>
                </c:pt>
                <c:pt idx="4">
                  <c:v>765.31831584798397</c:v>
                </c:pt>
                <c:pt idx="5">
                  <c:v>777.42753338643001</c:v>
                </c:pt>
                <c:pt idx="6">
                  <c:v>780.81449823100797</c:v>
                </c:pt>
                <c:pt idx="7">
                  <c:v>800.15201723287305</c:v>
                </c:pt>
                <c:pt idx="8">
                  <c:v>784.17792567844106</c:v>
                </c:pt>
                <c:pt idx="9">
                  <c:v>776.82800344059899</c:v>
                </c:pt>
                <c:pt idx="10">
                  <c:v>770.91225334540604</c:v>
                </c:pt>
                <c:pt idx="11">
                  <c:v>722.30571058676298</c:v>
                </c:pt>
                <c:pt idx="12">
                  <c:v>786.16203179380602</c:v>
                </c:pt>
                <c:pt idx="13">
                  <c:v>821.15446214271196</c:v>
                </c:pt>
                <c:pt idx="14">
                  <c:v>833.76816607819887</c:v>
                </c:pt>
                <c:pt idx="15">
                  <c:v>1865.64501773897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893-C947-A579-9B9830D70258}"/>
            </c:ext>
          </c:extLst>
        </c:ser>
        <c:ser>
          <c:idx val="14"/>
          <c:order val="14"/>
          <c:tx>
            <c:strRef>
              <c:f>overall!$P$1:$P$2</c:f>
              <c:strCache>
                <c:ptCount val="2"/>
                <c:pt idx="0">
                  <c:v>booking_class</c:v>
                </c:pt>
                <c:pt idx="1">
                  <c:v>Grand Total</c:v>
                </c:pt>
              </c:strCache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none"/>
          </c:marker>
          <c:cat>
            <c:numRef>
              <c:f>overall!$A$3:$A$18</c:f>
              <c:numCache>
                <c:formatCode>yyyy\-mm</c:formatCode>
                <c:ptCount val="16"/>
                <c:pt idx="0">
                  <c:v>44531</c:v>
                </c:pt>
                <c:pt idx="1">
                  <c:v>44562</c:v>
                </c:pt>
                <c:pt idx="2">
                  <c:v>44593</c:v>
                </c:pt>
                <c:pt idx="3">
                  <c:v>44621</c:v>
                </c:pt>
                <c:pt idx="4">
                  <c:v>44652</c:v>
                </c:pt>
                <c:pt idx="5">
                  <c:v>44682</c:v>
                </c:pt>
                <c:pt idx="6">
                  <c:v>44713</c:v>
                </c:pt>
                <c:pt idx="7">
                  <c:v>44743</c:v>
                </c:pt>
                <c:pt idx="8">
                  <c:v>44774</c:v>
                </c:pt>
                <c:pt idx="9">
                  <c:v>44805</c:v>
                </c:pt>
                <c:pt idx="10">
                  <c:v>44835</c:v>
                </c:pt>
                <c:pt idx="11">
                  <c:v>44866</c:v>
                </c:pt>
                <c:pt idx="12">
                  <c:v>44896</c:v>
                </c:pt>
                <c:pt idx="13">
                  <c:v>44927</c:v>
                </c:pt>
                <c:pt idx="14">
                  <c:v>44958</c:v>
                </c:pt>
                <c:pt idx="15">
                  <c:v>44986</c:v>
                </c:pt>
              </c:numCache>
            </c:numRef>
          </c:cat>
          <c:val>
            <c:numRef>
              <c:f>overall!$P$3:$P$18</c:f>
              <c:numCache>
                <c:formatCode>General</c:formatCode>
                <c:ptCount val="16"/>
                <c:pt idx="0">
                  <c:v>279.43874486723416</c:v>
                </c:pt>
                <c:pt idx="1">
                  <c:v>270.42778909553999</c:v>
                </c:pt>
                <c:pt idx="2">
                  <c:v>264.88569986586924</c:v>
                </c:pt>
                <c:pt idx="3">
                  <c:v>272.3322266140936</c:v>
                </c:pt>
                <c:pt idx="4">
                  <c:v>290.47769841334951</c:v>
                </c:pt>
                <c:pt idx="5">
                  <c:v>292.76224525434418</c:v>
                </c:pt>
                <c:pt idx="6">
                  <c:v>293.23484016107642</c:v>
                </c:pt>
                <c:pt idx="7">
                  <c:v>306.0697162601312</c:v>
                </c:pt>
                <c:pt idx="8">
                  <c:v>296.43981144717191</c:v>
                </c:pt>
                <c:pt idx="9">
                  <c:v>293.43042239782903</c:v>
                </c:pt>
                <c:pt idx="10">
                  <c:v>291.6608394117473</c:v>
                </c:pt>
                <c:pt idx="11">
                  <c:v>275.41395722220045</c:v>
                </c:pt>
                <c:pt idx="12">
                  <c:v>301.69876779038617</c:v>
                </c:pt>
                <c:pt idx="13">
                  <c:v>321.6289904823289</c:v>
                </c:pt>
                <c:pt idx="14">
                  <c:v>325.60682788674364</c:v>
                </c:pt>
                <c:pt idx="15">
                  <c:v>685.87798316843259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893-C947-A579-9B9830D70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6401290"/>
        <c:axId val="1523685147"/>
      </c:lineChart>
      <c:dateAx>
        <c:axId val="14364012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0">
                    <a:solidFill>
                      <a:schemeClr val="dk1"/>
                    </a:solidFill>
                    <a:latin typeface="+mn-lt"/>
                  </a:defRPr>
                </a:pPr>
                <a:r>
                  <a:rPr lang="en-US" sz="1400" b="0">
                    <a:solidFill>
                      <a:schemeClr val="dk1"/>
                    </a:solidFill>
                    <a:latin typeface="+mn-lt"/>
                  </a:rPr>
                  <a:t>Departure Year Month</a:t>
                </a:r>
              </a:p>
            </c:rich>
          </c:tx>
          <c:overlay val="0"/>
        </c:title>
        <c:numFmt formatCode="yyyy\-mm" sourceLinked="1"/>
        <c:majorTickMark val="none"/>
        <c:minorTickMark val="none"/>
        <c:tickLblPos val="nextTo"/>
        <c:txPr>
          <a:bodyPr/>
          <a:lstStyle/>
          <a:p>
            <a:pPr lvl="0">
              <a:defRPr sz="14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23685147"/>
        <c:crosses val="autoZero"/>
        <c:auto val="1"/>
        <c:lblOffset val="100"/>
        <c:baseTimeUnit val="months"/>
      </c:dateAx>
      <c:valAx>
        <c:axId val="15236851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4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3640129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1400"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Average Base Fare by Booking Classes on Departure  Year Month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'Domestic Brazil'!$B$1:$B$2</c:f>
              <c:strCache>
                <c:ptCount val="2"/>
                <c:pt idx="0">
                  <c:v>Domestic Brazil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'Domestic Brazil'!$A$3:$A$18</c:f>
              <c:strCache>
                <c:ptCount val="16"/>
                <c:pt idx="0">
                  <c:v>AVERAGE of bf_avg</c:v>
                </c:pt>
                <c:pt idx="1">
                  <c:v>dep_yearmo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</c:strCache>
            </c:strRef>
          </c:cat>
          <c:val>
            <c:numRef>
              <c:f>'Domestic Brazil'!$B$3:$B$18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84.742477777688705</c:v>
                </c:pt>
                <c:pt idx="3">
                  <c:v>92.179647373450095</c:v>
                </c:pt>
                <c:pt idx="4">
                  <c:v>97.479642338152402</c:v>
                </c:pt>
                <c:pt idx="5">
                  <c:v>96.002566327166406</c:v>
                </c:pt>
                <c:pt idx="6">
                  <c:v>96.869516284826304</c:v>
                </c:pt>
                <c:pt idx="7">
                  <c:v>101.06040040875</c:v>
                </c:pt>
                <c:pt idx="8">
                  <c:v>89.076176927241704</c:v>
                </c:pt>
                <c:pt idx="9">
                  <c:v>75.906196455876398</c:v>
                </c:pt>
                <c:pt idx="10">
                  <c:v>88.064290150582806</c:v>
                </c:pt>
                <c:pt idx="11">
                  <c:v>93.268768655354293</c:v>
                </c:pt>
                <c:pt idx="12">
                  <c:v>103.130635270556</c:v>
                </c:pt>
                <c:pt idx="13">
                  <c:v>92.720529280742895</c:v>
                </c:pt>
                <c:pt idx="14">
                  <c:v>72.240288071014902</c:v>
                </c:pt>
                <c:pt idx="15">
                  <c:v>99.796261462590707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B6-0E44-A0D9-51ACD54113E7}"/>
            </c:ext>
          </c:extLst>
        </c:ser>
        <c:ser>
          <c:idx val="1"/>
          <c:order val="1"/>
          <c:tx>
            <c:strRef>
              <c:f>'Domestic Brazil'!$C$1:$C$2</c:f>
              <c:strCache>
                <c:ptCount val="2"/>
                <c:pt idx="0">
                  <c:v>Domestic Brazil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'Domestic Brazil'!$A$3:$A$18</c:f>
              <c:strCache>
                <c:ptCount val="16"/>
                <c:pt idx="0">
                  <c:v>AVERAGE of bf_avg</c:v>
                </c:pt>
                <c:pt idx="1">
                  <c:v>dep_yearmo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</c:strCache>
            </c:strRef>
          </c:cat>
          <c:val>
            <c:numRef>
              <c:f>'Domestic Brazil'!$C$3:$C$18</c:f>
              <c:numCache>
                <c:formatCode>General</c:formatCode>
                <c:ptCount val="16"/>
                <c:pt idx="1">
                  <c:v>0</c:v>
                </c:pt>
                <c:pt idx="2">
                  <c:v>527.881311823592</c:v>
                </c:pt>
                <c:pt idx="3">
                  <c:v>531.77385233994096</c:v>
                </c:pt>
                <c:pt idx="4">
                  <c:v>531.18064533721702</c:v>
                </c:pt>
                <c:pt idx="5">
                  <c:v>544.87181109786002</c:v>
                </c:pt>
                <c:pt idx="6">
                  <c:v>579.73955840953204</c:v>
                </c:pt>
                <c:pt idx="7">
                  <c:v>588.46032726745398</c:v>
                </c:pt>
                <c:pt idx="8">
                  <c:v>591.44352256288198</c:v>
                </c:pt>
                <c:pt idx="9">
                  <c:v>610.16218429303399</c:v>
                </c:pt>
                <c:pt idx="10">
                  <c:v>598.40872625146801</c:v>
                </c:pt>
                <c:pt idx="11">
                  <c:v>593.41155534060101</c:v>
                </c:pt>
                <c:pt idx="12">
                  <c:v>588.81133427065402</c:v>
                </c:pt>
                <c:pt idx="13">
                  <c:v>557.30108303629004</c:v>
                </c:pt>
                <c:pt idx="14">
                  <c:v>607.88058614859403</c:v>
                </c:pt>
                <c:pt idx="15">
                  <c:v>639.86243453729196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B6-0E44-A0D9-51ACD54113E7}"/>
            </c:ext>
          </c:extLst>
        </c:ser>
        <c:ser>
          <c:idx val="2"/>
          <c:order val="2"/>
          <c:tx>
            <c:strRef>
              <c:f>'Domestic Brazil'!$D$1:$D$2</c:f>
              <c:strCache>
                <c:ptCount val="2"/>
                <c:pt idx="0">
                  <c:v>Domestic Brazil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'Domestic Brazil'!$A$3:$A$18</c:f>
              <c:strCache>
                <c:ptCount val="16"/>
                <c:pt idx="0">
                  <c:v>AVERAGE of bf_avg</c:v>
                </c:pt>
                <c:pt idx="1">
                  <c:v>dep_yearmo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</c:strCache>
            </c:strRef>
          </c:cat>
          <c:val>
            <c:numRef>
              <c:f>'Domestic Brazil'!$D$3:$D$18</c:f>
              <c:numCache>
                <c:formatCode>General</c:formatCode>
                <c:ptCount val="16"/>
                <c:pt idx="1">
                  <c:v>0</c:v>
                </c:pt>
                <c:pt idx="2">
                  <c:v>77.598852266513603</c:v>
                </c:pt>
                <c:pt idx="3">
                  <c:v>72.593713891102695</c:v>
                </c:pt>
                <c:pt idx="4">
                  <c:v>69.440762730760596</c:v>
                </c:pt>
                <c:pt idx="5">
                  <c:v>76.4242555328739</c:v>
                </c:pt>
                <c:pt idx="6">
                  <c:v>83.089599197719593</c:v>
                </c:pt>
                <c:pt idx="7">
                  <c:v>80.622654574438599</c:v>
                </c:pt>
                <c:pt idx="8">
                  <c:v>75.095710935733194</c:v>
                </c:pt>
                <c:pt idx="9">
                  <c:v>68.390190887901497</c:v>
                </c:pt>
                <c:pt idx="10">
                  <c:v>72.104488620378405</c:v>
                </c:pt>
                <c:pt idx="11">
                  <c:v>70.721849702923805</c:v>
                </c:pt>
                <c:pt idx="12">
                  <c:v>72.692728913508603</c:v>
                </c:pt>
                <c:pt idx="13">
                  <c:v>64.355886437903195</c:v>
                </c:pt>
                <c:pt idx="14">
                  <c:v>61.382259017974597</c:v>
                </c:pt>
                <c:pt idx="15">
                  <c:v>67.801068207911598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B6-0E44-A0D9-51ACD54113E7}"/>
            </c:ext>
          </c:extLst>
        </c:ser>
        <c:ser>
          <c:idx val="3"/>
          <c:order val="3"/>
          <c:tx>
            <c:strRef>
              <c:f>'Domestic Brazil'!$E$1:$E$2</c:f>
              <c:strCache>
                <c:ptCount val="2"/>
                <c:pt idx="0">
                  <c:v>Domestic Brazil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'Domestic Brazil'!$A$3:$A$18</c:f>
              <c:strCache>
                <c:ptCount val="16"/>
                <c:pt idx="0">
                  <c:v>AVERAGE of bf_avg</c:v>
                </c:pt>
                <c:pt idx="1">
                  <c:v>dep_yearmo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</c:strCache>
            </c:strRef>
          </c:cat>
          <c:val>
            <c:numRef>
              <c:f>'Domestic Brazil'!$E$3:$E$18</c:f>
              <c:numCache>
                <c:formatCode>General</c:formatCode>
                <c:ptCount val="16"/>
                <c:pt idx="1">
                  <c:v>0</c:v>
                </c:pt>
                <c:pt idx="2">
                  <c:v>421.584621880643</c:v>
                </c:pt>
                <c:pt idx="3">
                  <c:v>422.10263430159102</c:v>
                </c:pt>
                <c:pt idx="4">
                  <c:v>420.85933472027801</c:v>
                </c:pt>
                <c:pt idx="5">
                  <c:v>433.15203716660102</c:v>
                </c:pt>
                <c:pt idx="6">
                  <c:v>458.00773657230002</c:v>
                </c:pt>
                <c:pt idx="7">
                  <c:v>464.40075954990402</c:v>
                </c:pt>
                <c:pt idx="8">
                  <c:v>466.825255565205</c:v>
                </c:pt>
                <c:pt idx="9">
                  <c:v>486.08189006899102</c:v>
                </c:pt>
                <c:pt idx="10">
                  <c:v>474.363395075016</c:v>
                </c:pt>
                <c:pt idx="11">
                  <c:v>469.98980034848603</c:v>
                </c:pt>
                <c:pt idx="12">
                  <c:v>466.35683522453098</c:v>
                </c:pt>
                <c:pt idx="13">
                  <c:v>444.51927250867101</c:v>
                </c:pt>
                <c:pt idx="14">
                  <c:v>488.59369590184798</c:v>
                </c:pt>
                <c:pt idx="15">
                  <c:v>516.69228013723705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B6-0E44-A0D9-51ACD54113E7}"/>
            </c:ext>
          </c:extLst>
        </c:ser>
        <c:ser>
          <c:idx val="4"/>
          <c:order val="4"/>
          <c:tx>
            <c:strRef>
              <c:f>'Domestic Brazil'!$F$1:$F$2</c:f>
              <c:strCache>
                <c:ptCount val="2"/>
                <c:pt idx="0">
                  <c:v>Domestic Brazil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'Domestic Brazil'!$A$3:$A$18</c:f>
              <c:strCache>
                <c:ptCount val="16"/>
                <c:pt idx="0">
                  <c:v>AVERAGE of bf_avg</c:v>
                </c:pt>
                <c:pt idx="1">
                  <c:v>dep_yearmo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</c:strCache>
            </c:strRef>
          </c:cat>
          <c:val>
            <c:numRef>
              <c:f>'Domestic Brazil'!$F$3:$F$18</c:f>
              <c:numCache>
                <c:formatCode>General</c:formatCode>
                <c:ptCount val="16"/>
                <c:pt idx="1">
                  <c:v>0</c:v>
                </c:pt>
                <c:pt idx="2">
                  <c:v>352.78548805864301</c:v>
                </c:pt>
                <c:pt idx="3">
                  <c:v>350.80601629449302</c:v>
                </c:pt>
                <c:pt idx="4">
                  <c:v>349.57640692257399</c:v>
                </c:pt>
                <c:pt idx="5">
                  <c:v>360.45678907277102</c:v>
                </c:pt>
                <c:pt idx="6">
                  <c:v>381.44976043361299</c:v>
                </c:pt>
                <c:pt idx="7">
                  <c:v>386.43882700420301</c:v>
                </c:pt>
                <c:pt idx="8">
                  <c:v>388.33786990491097</c:v>
                </c:pt>
                <c:pt idx="9">
                  <c:v>405.827649143869</c:v>
                </c:pt>
                <c:pt idx="10">
                  <c:v>394.82709553680399</c:v>
                </c:pt>
                <c:pt idx="11">
                  <c:v>390.89905913348599</c:v>
                </c:pt>
                <c:pt idx="12">
                  <c:v>387.611845909659</c:v>
                </c:pt>
                <c:pt idx="13">
                  <c:v>370.56127719367498</c:v>
                </c:pt>
                <c:pt idx="14">
                  <c:v>409.31149455962498</c:v>
                </c:pt>
                <c:pt idx="15">
                  <c:v>433.83269880494902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9B6-0E44-A0D9-51ACD54113E7}"/>
            </c:ext>
          </c:extLst>
        </c:ser>
        <c:ser>
          <c:idx val="5"/>
          <c:order val="5"/>
          <c:tx>
            <c:strRef>
              <c:f>'Domestic Brazil'!$G$1:$G$2</c:f>
              <c:strCache>
                <c:ptCount val="2"/>
                <c:pt idx="0">
                  <c:v>Domestic Brazil</c:v>
                </c:pt>
              </c:strCache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'Domestic Brazil'!$A$3:$A$18</c:f>
              <c:strCache>
                <c:ptCount val="16"/>
                <c:pt idx="0">
                  <c:v>AVERAGE of bf_avg</c:v>
                </c:pt>
                <c:pt idx="1">
                  <c:v>dep_yearmo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</c:strCache>
            </c:strRef>
          </c:cat>
          <c:val>
            <c:numRef>
              <c:f>'Domestic Brazil'!$G$3:$G$18</c:f>
              <c:numCache>
                <c:formatCode>General</c:formatCode>
                <c:ptCount val="16"/>
                <c:pt idx="1">
                  <c:v>0</c:v>
                </c:pt>
                <c:pt idx="2">
                  <c:v>272.25635728157999</c:v>
                </c:pt>
                <c:pt idx="3">
                  <c:v>258.74918626825098</c:v>
                </c:pt>
                <c:pt idx="4">
                  <c:v>253.70413235606199</c:v>
                </c:pt>
                <c:pt idx="5">
                  <c:v>261.35142227166301</c:v>
                </c:pt>
                <c:pt idx="6">
                  <c:v>277.557165158185</c:v>
                </c:pt>
                <c:pt idx="7">
                  <c:v>280.105848918937</c:v>
                </c:pt>
                <c:pt idx="8">
                  <c:v>281.690124021381</c:v>
                </c:pt>
                <c:pt idx="9">
                  <c:v>296.55635422467299</c:v>
                </c:pt>
                <c:pt idx="10">
                  <c:v>287.12167036344999</c:v>
                </c:pt>
                <c:pt idx="11">
                  <c:v>283.61080014297897</c:v>
                </c:pt>
                <c:pt idx="12">
                  <c:v>280.77753396956803</c:v>
                </c:pt>
                <c:pt idx="13">
                  <c:v>268.68522792992098</c:v>
                </c:pt>
                <c:pt idx="14">
                  <c:v>299.51891353527202</c:v>
                </c:pt>
                <c:pt idx="15">
                  <c:v>319.28687939417603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9B6-0E44-A0D9-51ACD54113E7}"/>
            </c:ext>
          </c:extLst>
        </c:ser>
        <c:ser>
          <c:idx val="6"/>
          <c:order val="6"/>
          <c:tx>
            <c:strRef>
              <c:f>'Domestic Brazil'!$H$1:$H$2</c:f>
              <c:strCache>
                <c:ptCount val="2"/>
                <c:pt idx="0">
                  <c:v>Domestic Brazil</c:v>
                </c:pt>
              </c:strCache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'Domestic Brazil'!$A$3:$A$18</c:f>
              <c:strCache>
                <c:ptCount val="16"/>
                <c:pt idx="0">
                  <c:v>AVERAGE of bf_avg</c:v>
                </c:pt>
                <c:pt idx="1">
                  <c:v>dep_yearmo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</c:strCache>
            </c:strRef>
          </c:cat>
          <c:val>
            <c:numRef>
              <c:f>'Domestic Brazil'!$H$3:$H$18</c:f>
              <c:numCache>
                <c:formatCode>General</c:formatCode>
                <c:ptCount val="16"/>
                <c:pt idx="1">
                  <c:v>0</c:v>
                </c:pt>
                <c:pt idx="2">
                  <c:v>304.60094109584998</c:v>
                </c:pt>
                <c:pt idx="3">
                  <c:v>297.35591036667199</c:v>
                </c:pt>
                <c:pt idx="4">
                  <c:v>294.610507146028</c:v>
                </c:pt>
                <c:pt idx="5">
                  <c:v>303.97195562621198</c:v>
                </c:pt>
                <c:pt idx="6">
                  <c:v>322.06384346956298</c:v>
                </c:pt>
                <c:pt idx="7">
                  <c:v>325.85729168814601</c:v>
                </c:pt>
                <c:pt idx="8">
                  <c:v>327.66284999558599</c:v>
                </c:pt>
                <c:pt idx="9">
                  <c:v>343.80124112400199</c:v>
                </c:pt>
                <c:pt idx="10">
                  <c:v>333.67192719585398</c:v>
                </c:pt>
                <c:pt idx="11">
                  <c:v>330.00684920484002</c:v>
                </c:pt>
                <c:pt idx="12">
                  <c:v>327.01211970590401</c:v>
                </c:pt>
                <c:pt idx="13">
                  <c:v>313.28424053660098</c:v>
                </c:pt>
                <c:pt idx="14">
                  <c:v>347.564984658448</c:v>
                </c:pt>
                <c:pt idx="15">
                  <c:v>369.53725910721698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9B6-0E44-A0D9-51ACD54113E7}"/>
            </c:ext>
          </c:extLst>
        </c:ser>
        <c:ser>
          <c:idx val="7"/>
          <c:order val="7"/>
          <c:tx>
            <c:strRef>
              <c:f>'Domestic Brazil'!$I$1:$I$2</c:f>
              <c:strCache>
                <c:ptCount val="2"/>
                <c:pt idx="0">
                  <c:v>Domestic Brazil</c:v>
                </c:pt>
              </c:strCache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'Domestic Brazil'!$A$3:$A$18</c:f>
              <c:strCache>
                <c:ptCount val="16"/>
                <c:pt idx="0">
                  <c:v>AVERAGE of bf_avg</c:v>
                </c:pt>
                <c:pt idx="1">
                  <c:v>dep_yearmo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</c:strCache>
            </c:strRef>
          </c:cat>
          <c:val>
            <c:numRef>
              <c:f>'Domestic Brazil'!$I$3:$I$18</c:f>
              <c:numCache>
                <c:formatCode>General</c:formatCode>
                <c:ptCount val="16"/>
                <c:pt idx="1">
                  <c:v>0</c:v>
                </c:pt>
                <c:pt idx="2">
                  <c:v>193.432763938844</c:v>
                </c:pt>
                <c:pt idx="3">
                  <c:v>170.578919526807</c:v>
                </c:pt>
                <c:pt idx="4">
                  <c:v>157.21747193799899</c:v>
                </c:pt>
                <c:pt idx="5">
                  <c:v>160.770080908186</c:v>
                </c:pt>
                <c:pt idx="6">
                  <c:v>174.198605196925</c:v>
                </c:pt>
                <c:pt idx="7">
                  <c:v>171.943329986555</c:v>
                </c:pt>
                <c:pt idx="8">
                  <c:v>174.79286917086301</c:v>
                </c:pt>
                <c:pt idx="9">
                  <c:v>196.097834361087</c:v>
                </c:pt>
                <c:pt idx="10">
                  <c:v>178.89032031202501</c:v>
                </c:pt>
                <c:pt idx="11">
                  <c:v>175.148190329805</c:v>
                </c:pt>
                <c:pt idx="12">
                  <c:v>172.36877358276999</c:v>
                </c:pt>
                <c:pt idx="13">
                  <c:v>162.34834946079599</c:v>
                </c:pt>
                <c:pt idx="14">
                  <c:v>187.46318050491101</c:v>
                </c:pt>
                <c:pt idx="15">
                  <c:v>200.58000130687699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9B6-0E44-A0D9-51ACD54113E7}"/>
            </c:ext>
          </c:extLst>
        </c:ser>
        <c:ser>
          <c:idx val="8"/>
          <c:order val="8"/>
          <c:tx>
            <c:strRef>
              <c:f>'Domestic Brazil'!$J$1:$J$2</c:f>
              <c:strCache>
                <c:ptCount val="2"/>
                <c:pt idx="0">
                  <c:v>Domestic Brazil</c:v>
                </c:pt>
              </c:strCache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'Domestic Brazil'!$A$3:$A$18</c:f>
              <c:strCache>
                <c:ptCount val="16"/>
                <c:pt idx="0">
                  <c:v>AVERAGE of bf_avg</c:v>
                </c:pt>
                <c:pt idx="1">
                  <c:v>dep_yearmo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</c:strCache>
            </c:strRef>
          </c:cat>
          <c:val>
            <c:numRef>
              <c:f>'Domestic Brazil'!$J$3:$J$18</c:f>
              <c:numCache>
                <c:formatCode>General</c:formatCode>
                <c:ptCount val="16"/>
                <c:pt idx="1">
                  <c:v>0</c:v>
                </c:pt>
                <c:pt idx="2">
                  <c:v>112.801981189901</c:v>
                </c:pt>
                <c:pt idx="3">
                  <c:v>107.6703614483</c:v>
                </c:pt>
                <c:pt idx="4">
                  <c:v>103.436478069293</c:v>
                </c:pt>
                <c:pt idx="5">
                  <c:v>109.91060072033</c:v>
                </c:pt>
                <c:pt idx="6">
                  <c:v>118.62173176469101</c:v>
                </c:pt>
                <c:pt idx="7">
                  <c:v>117.55215446944599</c:v>
                </c:pt>
                <c:pt idx="8">
                  <c:v>113.650645287439</c:v>
                </c:pt>
                <c:pt idx="9">
                  <c:v>103.796670971092</c:v>
                </c:pt>
                <c:pt idx="10">
                  <c:v>108.568714154684</c:v>
                </c:pt>
                <c:pt idx="11">
                  <c:v>107.831327985916</c:v>
                </c:pt>
                <c:pt idx="12">
                  <c:v>107.678133871488</c:v>
                </c:pt>
                <c:pt idx="13">
                  <c:v>95.622567687908301</c:v>
                </c:pt>
                <c:pt idx="14">
                  <c:v>94.874811899995606</c:v>
                </c:pt>
                <c:pt idx="15">
                  <c:v>105.699221013319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9B6-0E44-A0D9-51ACD54113E7}"/>
            </c:ext>
          </c:extLst>
        </c:ser>
        <c:ser>
          <c:idx val="9"/>
          <c:order val="9"/>
          <c:tx>
            <c:strRef>
              <c:f>'Domestic Brazil'!$K$1:$K$2</c:f>
              <c:strCache>
                <c:ptCount val="2"/>
                <c:pt idx="0">
                  <c:v>Domestic Brazil</c:v>
                </c:pt>
              </c:strCache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'Domestic Brazil'!$A$3:$A$18</c:f>
              <c:strCache>
                <c:ptCount val="16"/>
                <c:pt idx="0">
                  <c:v>AVERAGE of bf_avg</c:v>
                </c:pt>
                <c:pt idx="1">
                  <c:v>dep_yearmo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</c:strCache>
            </c:strRef>
          </c:cat>
          <c:val>
            <c:numRef>
              <c:f>'Domestic Brazil'!$K$3:$K$18</c:f>
              <c:numCache>
                <c:formatCode>General</c:formatCode>
                <c:ptCount val="16"/>
                <c:pt idx="1">
                  <c:v>0</c:v>
                </c:pt>
                <c:pt idx="2">
                  <c:v>172.403719469636</c:v>
                </c:pt>
                <c:pt idx="3">
                  <c:v>150.74422729516101</c:v>
                </c:pt>
                <c:pt idx="4">
                  <c:v>140.712635335513</c:v>
                </c:pt>
                <c:pt idx="5">
                  <c:v>143.88338968446101</c:v>
                </c:pt>
                <c:pt idx="6">
                  <c:v>156.18415945218001</c:v>
                </c:pt>
                <c:pt idx="7">
                  <c:v>155.36411212342799</c:v>
                </c:pt>
                <c:pt idx="8">
                  <c:v>157.407186864366</c:v>
                </c:pt>
                <c:pt idx="9">
                  <c:v>172.66390139123601</c:v>
                </c:pt>
                <c:pt idx="10">
                  <c:v>162.69436427873799</c:v>
                </c:pt>
                <c:pt idx="11">
                  <c:v>159.216042944674</c:v>
                </c:pt>
                <c:pt idx="12">
                  <c:v>156.58611877041599</c:v>
                </c:pt>
                <c:pt idx="13">
                  <c:v>146.784052241056</c:v>
                </c:pt>
                <c:pt idx="14">
                  <c:v>171.413219024695</c:v>
                </c:pt>
                <c:pt idx="15">
                  <c:v>183.64712885544901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9B6-0E44-A0D9-51ACD54113E7}"/>
            </c:ext>
          </c:extLst>
        </c:ser>
        <c:ser>
          <c:idx val="10"/>
          <c:order val="10"/>
          <c:tx>
            <c:strRef>
              <c:f>'Domestic Brazil'!$L$1:$L$2</c:f>
              <c:strCache>
                <c:ptCount val="2"/>
                <c:pt idx="0">
                  <c:v>Domestic Brazil</c:v>
                </c:pt>
              </c:strCache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strRef>
              <c:f>'Domestic Brazil'!$A$3:$A$18</c:f>
              <c:strCache>
                <c:ptCount val="16"/>
                <c:pt idx="0">
                  <c:v>AVERAGE of bf_avg</c:v>
                </c:pt>
                <c:pt idx="1">
                  <c:v>dep_yearmo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</c:strCache>
            </c:strRef>
          </c:cat>
          <c:val>
            <c:numRef>
              <c:f>'Domestic Brazil'!$L$3:$L$18</c:f>
              <c:numCache>
                <c:formatCode>General</c:formatCode>
                <c:ptCount val="16"/>
                <c:pt idx="1">
                  <c:v>0</c:v>
                </c:pt>
                <c:pt idx="2">
                  <c:v>211.49162812994399</c:v>
                </c:pt>
                <c:pt idx="3">
                  <c:v>189.14462465609199</c:v>
                </c:pt>
                <c:pt idx="4">
                  <c:v>175.16751093871099</c:v>
                </c:pt>
                <c:pt idx="5">
                  <c:v>179.39246368145601</c:v>
                </c:pt>
                <c:pt idx="6">
                  <c:v>193.557483343294</c:v>
                </c:pt>
                <c:pt idx="7">
                  <c:v>191.68260371895599</c:v>
                </c:pt>
                <c:pt idx="8">
                  <c:v>194.38031713026399</c:v>
                </c:pt>
                <c:pt idx="9">
                  <c:v>215.266524428515</c:v>
                </c:pt>
                <c:pt idx="10">
                  <c:v>197.417486086612</c:v>
                </c:pt>
                <c:pt idx="11">
                  <c:v>193.942563919023</c:v>
                </c:pt>
                <c:pt idx="12">
                  <c:v>191.23856853464301</c:v>
                </c:pt>
                <c:pt idx="13">
                  <c:v>180.734986536527</c:v>
                </c:pt>
                <c:pt idx="14">
                  <c:v>206.11037495672301</c:v>
                </c:pt>
                <c:pt idx="15">
                  <c:v>220.625016733135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9B6-0E44-A0D9-51ACD54113E7}"/>
            </c:ext>
          </c:extLst>
        </c:ser>
        <c:ser>
          <c:idx val="11"/>
          <c:order val="11"/>
          <c:tx>
            <c:strRef>
              <c:f>'Domestic Brazil'!$M$1:$M$2</c:f>
              <c:strCache>
                <c:ptCount val="2"/>
                <c:pt idx="0">
                  <c:v>Domestic Brazil</c:v>
                </c:pt>
              </c:strCache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cat>
            <c:strRef>
              <c:f>'Domestic Brazil'!$A$3:$A$18</c:f>
              <c:strCache>
                <c:ptCount val="16"/>
                <c:pt idx="0">
                  <c:v>AVERAGE of bf_avg</c:v>
                </c:pt>
                <c:pt idx="1">
                  <c:v>dep_yearmo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</c:strCache>
            </c:strRef>
          </c:cat>
          <c:val>
            <c:numRef>
              <c:f>'Domestic Brazil'!$M$3:$M$18</c:f>
              <c:numCache>
                <c:formatCode>General</c:formatCode>
                <c:ptCount val="16"/>
                <c:pt idx="1">
                  <c:v>0</c:v>
                </c:pt>
                <c:pt idx="2">
                  <c:v>255.22311342675999</c:v>
                </c:pt>
                <c:pt idx="3">
                  <c:v>236.11987090641</c:v>
                </c:pt>
                <c:pt idx="4">
                  <c:v>222.46183162582</c:v>
                </c:pt>
                <c:pt idx="5">
                  <c:v>228.65575292549599</c:v>
                </c:pt>
                <c:pt idx="6">
                  <c:v>244.663393888256</c:v>
                </c:pt>
                <c:pt idx="7">
                  <c:v>243.69845021218799</c:v>
                </c:pt>
                <c:pt idx="8">
                  <c:v>247.05766860419101</c:v>
                </c:pt>
                <c:pt idx="9">
                  <c:v>271.44564672107902</c:v>
                </c:pt>
                <c:pt idx="10">
                  <c:v>250.41501863753399</c:v>
                </c:pt>
                <c:pt idx="11">
                  <c:v>246.663170791287</c:v>
                </c:pt>
                <c:pt idx="12">
                  <c:v>243.933982209997</c:v>
                </c:pt>
                <c:pt idx="13">
                  <c:v>232.67695187048199</c:v>
                </c:pt>
                <c:pt idx="14">
                  <c:v>260.97519017019999</c:v>
                </c:pt>
                <c:pt idx="15">
                  <c:v>278.23531186371599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9B6-0E44-A0D9-51ACD54113E7}"/>
            </c:ext>
          </c:extLst>
        </c:ser>
        <c:ser>
          <c:idx val="12"/>
          <c:order val="12"/>
          <c:tx>
            <c:strRef>
              <c:f>'Domestic Brazil'!$N$1:$N$2</c:f>
              <c:strCache>
                <c:ptCount val="2"/>
                <c:pt idx="0">
                  <c:v>Domestic Brazil</c:v>
                </c:pt>
              </c:strCache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cat>
            <c:strRef>
              <c:f>'Domestic Brazil'!$A$3:$A$18</c:f>
              <c:strCache>
                <c:ptCount val="16"/>
                <c:pt idx="0">
                  <c:v>AVERAGE of bf_avg</c:v>
                </c:pt>
                <c:pt idx="1">
                  <c:v>dep_yearmo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</c:strCache>
            </c:strRef>
          </c:cat>
          <c:val>
            <c:numRef>
              <c:f>'Domestic Brazil'!$N$3:$N$18</c:f>
              <c:numCache>
                <c:formatCode>General</c:formatCode>
                <c:ptCount val="16"/>
                <c:pt idx="1">
                  <c:v>0</c:v>
                </c:pt>
                <c:pt idx="2">
                  <c:v>227.57572933089401</c:v>
                </c:pt>
                <c:pt idx="3">
                  <c:v>207.331410613835</c:v>
                </c:pt>
                <c:pt idx="4">
                  <c:v>194.51887903105199</c:v>
                </c:pt>
                <c:pt idx="5">
                  <c:v>200.01835251521601</c:v>
                </c:pt>
                <c:pt idx="6">
                  <c:v>215.36690876782501</c:v>
                </c:pt>
                <c:pt idx="7">
                  <c:v>214.05714025198</c:v>
                </c:pt>
                <c:pt idx="8">
                  <c:v>217.05306705400099</c:v>
                </c:pt>
                <c:pt idx="9">
                  <c:v>238.82772633760601</c:v>
                </c:pt>
                <c:pt idx="10">
                  <c:v>219.431937918823</c:v>
                </c:pt>
                <c:pt idx="11">
                  <c:v>216.48793162963401</c:v>
                </c:pt>
                <c:pt idx="12">
                  <c:v>214.140888185362</c:v>
                </c:pt>
                <c:pt idx="13">
                  <c:v>203.895265803472</c:v>
                </c:pt>
                <c:pt idx="14">
                  <c:v>230.291718822299</c:v>
                </c:pt>
                <c:pt idx="15">
                  <c:v>246.055843186023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9B6-0E44-A0D9-51ACD54113E7}"/>
            </c:ext>
          </c:extLst>
        </c:ser>
        <c:ser>
          <c:idx val="13"/>
          <c:order val="13"/>
          <c:tx>
            <c:strRef>
              <c:f>'Domestic Brazil'!$O$1:$O$2</c:f>
              <c:strCache>
                <c:ptCount val="2"/>
                <c:pt idx="0">
                  <c:v>Domestic Brazil</c:v>
                </c:pt>
              </c:strCache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cat>
            <c:strRef>
              <c:f>'Domestic Brazil'!$A$3:$A$18</c:f>
              <c:strCache>
                <c:ptCount val="16"/>
                <c:pt idx="0">
                  <c:v>AVERAGE of bf_avg</c:v>
                </c:pt>
                <c:pt idx="1">
                  <c:v>dep_yearmo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</c:strCache>
            </c:strRef>
          </c:cat>
          <c:val>
            <c:numRef>
              <c:f>'Domestic Brazil'!$O$3:$O$18</c:f>
              <c:numCache>
                <c:formatCode>General</c:formatCode>
                <c:ptCount val="16"/>
                <c:pt idx="1">
                  <c:v>0</c:v>
                </c:pt>
                <c:pt idx="2">
                  <c:v>697.76344247078498</c:v>
                </c:pt>
                <c:pt idx="3">
                  <c:v>698.83867205545505</c:v>
                </c:pt>
                <c:pt idx="4">
                  <c:v>698.03355963271201</c:v>
                </c:pt>
                <c:pt idx="5">
                  <c:v>713.78969506702197</c:v>
                </c:pt>
                <c:pt idx="6">
                  <c:v>765.31831584798397</c:v>
                </c:pt>
                <c:pt idx="7">
                  <c:v>777.42753338643001</c:v>
                </c:pt>
                <c:pt idx="8">
                  <c:v>780.81449823100797</c:v>
                </c:pt>
                <c:pt idx="9">
                  <c:v>800.15201723287305</c:v>
                </c:pt>
                <c:pt idx="10">
                  <c:v>784.17792567844106</c:v>
                </c:pt>
                <c:pt idx="11">
                  <c:v>776.82800344059899</c:v>
                </c:pt>
                <c:pt idx="12">
                  <c:v>770.91225334540604</c:v>
                </c:pt>
                <c:pt idx="13">
                  <c:v>722.30571058676298</c:v>
                </c:pt>
                <c:pt idx="14">
                  <c:v>786.16203179380602</c:v>
                </c:pt>
                <c:pt idx="15">
                  <c:v>821.15446214271196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9B6-0E44-A0D9-51ACD54113E7}"/>
            </c:ext>
          </c:extLst>
        </c:ser>
        <c:ser>
          <c:idx val="14"/>
          <c:order val="14"/>
          <c:tx>
            <c:strRef>
              <c:f>'Domestic Brazil'!$P$1:$P$2</c:f>
              <c:strCache>
                <c:ptCount val="2"/>
                <c:pt idx="0">
                  <c:v>Domestic Brazil</c:v>
                </c:pt>
              </c:strCache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none"/>
          </c:marker>
          <c:cat>
            <c:strRef>
              <c:f>'Domestic Brazil'!$A$3:$A$18</c:f>
              <c:strCache>
                <c:ptCount val="16"/>
                <c:pt idx="0">
                  <c:v>AVERAGE of bf_avg</c:v>
                </c:pt>
                <c:pt idx="1">
                  <c:v>dep_yearmo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</c:strCache>
            </c:strRef>
          </c:cat>
          <c:val>
            <c:numRef>
              <c:f>'Domestic Brazil'!$P$3:$P$18</c:f>
              <c:numCache>
                <c:formatCode>General</c:formatCode>
                <c:ptCount val="16"/>
                <c:pt idx="1">
                  <c:v>0</c:v>
                </c:pt>
                <c:pt idx="2">
                  <c:v>279.43874486723388</c:v>
                </c:pt>
                <c:pt idx="3">
                  <c:v>270.42778909554011</c:v>
                </c:pt>
                <c:pt idx="4">
                  <c:v>264.88569986586947</c:v>
                </c:pt>
                <c:pt idx="5">
                  <c:v>272.33222661409388</c:v>
                </c:pt>
                <c:pt idx="6">
                  <c:v>290.47769841334957</c:v>
                </c:pt>
                <c:pt idx="7">
                  <c:v>292.76224525434401</c:v>
                </c:pt>
                <c:pt idx="8">
                  <c:v>293.23484016107659</c:v>
                </c:pt>
                <c:pt idx="9">
                  <c:v>306.06971626013103</c:v>
                </c:pt>
                <c:pt idx="10">
                  <c:v>296.43981144717219</c:v>
                </c:pt>
                <c:pt idx="11">
                  <c:v>293.43042239782915</c:v>
                </c:pt>
                <c:pt idx="12">
                  <c:v>291.6608394117473</c:v>
                </c:pt>
                <c:pt idx="13">
                  <c:v>275.41395722220057</c:v>
                </c:pt>
                <c:pt idx="14">
                  <c:v>301.69876779038617</c:v>
                </c:pt>
                <c:pt idx="15">
                  <c:v>321.62899048232885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9B6-0E44-A0D9-51ACD5411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0469920"/>
        <c:axId val="576396688"/>
      </c:lineChart>
      <c:catAx>
        <c:axId val="1900469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0">
                    <a:solidFill>
                      <a:schemeClr val="dk1"/>
                    </a:solidFill>
                    <a:latin typeface="+mn-lt"/>
                  </a:defRPr>
                </a:pPr>
                <a:r>
                  <a:rPr sz="1400" b="0">
                    <a:solidFill>
                      <a:schemeClr val="dk1"/>
                    </a:solidFill>
                    <a:latin typeface="+mn-lt"/>
                  </a:rPr>
                  <a:t>Departure Year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4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76396688"/>
        <c:crosses val="autoZero"/>
        <c:auto val="1"/>
        <c:lblAlgn val="ctr"/>
        <c:lblOffset val="100"/>
        <c:noMultiLvlLbl val="1"/>
      </c:catAx>
      <c:valAx>
        <c:axId val="5763966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4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0046992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1400"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lang="en-US" b="0">
                <a:solidFill>
                  <a:schemeClr val="dk1"/>
                </a:solidFill>
                <a:latin typeface="+mn-lt"/>
              </a:rPr>
              <a:t>Average Base Fare by Booking Classes on Departure  Year Month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'Long Haul'!$B$1:$B$2</c:f>
              <c:strCache>
                <c:ptCount val="2"/>
                <c:pt idx="0">
                  <c:v>Long Haul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'Long Haul'!$A$3:$A$18</c:f>
              <c:strCache>
                <c:ptCount val="16"/>
                <c:pt idx="0">
                  <c:v>AVERAGE of bf_avg</c:v>
                </c:pt>
                <c:pt idx="1">
                  <c:v>dep_yearmo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</c:strCache>
            </c:strRef>
          </c:cat>
          <c:val>
            <c:numRef>
              <c:f>'Long Haul'!$B$3:$B$18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84.742477777688705</c:v>
                </c:pt>
                <c:pt idx="3">
                  <c:v>92.179647373450095</c:v>
                </c:pt>
                <c:pt idx="4">
                  <c:v>97.479642338152402</c:v>
                </c:pt>
                <c:pt idx="5">
                  <c:v>96.002566327166406</c:v>
                </c:pt>
                <c:pt idx="6">
                  <c:v>96.869516284826304</c:v>
                </c:pt>
                <c:pt idx="7">
                  <c:v>101.06040040875</c:v>
                </c:pt>
                <c:pt idx="8">
                  <c:v>89.076176927241704</c:v>
                </c:pt>
                <c:pt idx="9">
                  <c:v>75.906196455876398</c:v>
                </c:pt>
                <c:pt idx="10">
                  <c:v>88.064290150582806</c:v>
                </c:pt>
                <c:pt idx="11">
                  <c:v>93.268768655354293</c:v>
                </c:pt>
                <c:pt idx="12">
                  <c:v>103.130635270556</c:v>
                </c:pt>
                <c:pt idx="13">
                  <c:v>92.720529280742895</c:v>
                </c:pt>
                <c:pt idx="14">
                  <c:v>72.240288071014902</c:v>
                </c:pt>
                <c:pt idx="15">
                  <c:v>99.796261462590707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BE-964B-9051-D04C53266184}"/>
            </c:ext>
          </c:extLst>
        </c:ser>
        <c:ser>
          <c:idx val="1"/>
          <c:order val="1"/>
          <c:tx>
            <c:strRef>
              <c:f>'Long Haul'!$C$1:$C$2</c:f>
              <c:strCache>
                <c:ptCount val="2"/>
                <c:pt idx="0">
                  <c:v>Long Haul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'Long Haul'!$A$3:$A$18</c:f>
              <c:strCache>
                <c:ptCount val="16"/>
                <c:pt idx="0">
                  <c:v>AVERAGE of bf_avg</c:v>
                </c:pt>
                <c:pt idx="1">
                  <c:v>dep_yearmo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</c:strCache>
            </c:strRef>
          </c:cat>
          <c:val>
            <c:numRef>
              <c:f>'Long Haul'!$C$3:$C$18</c:f>
              <c:numCache>
                <c:formatCode>General</c:formatCode>
                <c:ptCount val="16"/>
                <c:pt idx="1">
                  <c:v>0</c:v>
                </c:pt>
                <c:pt idx="2">
                  <c:v>527.881311823592</c:v>
                </c:pt>
                <c:pt idx="3">
                  <c:v>531.77385233994096</c:v>
                </c:pt>
                <c:pt idx="4">
                  <c:v>531.18064533721702</c:v>
                </c:pt>
                <c:pt idx="5">
                  <c:v>544.87181109786002</c:v>
                </c:pt>
                <c:pt idx="6">
                  <c:v>579.73955840953204</c:v>
                </c:pt>
                <c:pt idx="7">
                  <c:v>588.46032726745398</c:v>
                </c:pt>
                <c:pt idx="8">
                  <c:v>591.44352256288198</c:v>
                </c:pt>
                <c:pt idx="9">
                  <c:v>610.16218429303399</c:v>
                </c:pt>
                <c:pt idx="10">
                  <c:v>598.40872625146801</c:v>
                </c:pt>
                <c:pt idx="11">
                  <c:v>593.41155534060101</c:v>
                </c:pt>
                <c:pt idx="12">
                  <c:v>588.81133427065402</c:v>
                </c:pt>
                <c:pt idx="13">
                  <c:v>557.30108303629004</c:v>
                </c:pt>
                <c:pt idx="14">
                  <c:v>607.88058614859403</c:v>
                </c:pt>
                <c:pt idx="15">
                  <c:v>639.86243453729196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BE-964B-9051-D04C53266184}"/>
            </c:ext>
          </c:extLst>
        </c:ser>
        <c:ser>
          <c:idx val="2"/>
          <c:order val="2"/>
          <c:tx>
            <c:strRef>
              <c:f>'Long Haul'!$D$1:$D$2</c:f>
              <c:strCache>
                <c:ptCount val="2"/>
                <c:pt idx="0">
                  <c:v>Long Haul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'Long Haul'!$A$3:$A$18</c:f>
              <c:strCache>
                <c:ptCount val="16"/>
                <c:pt idx="0">
                  <c:v>AVERAGE of bf_avg</c:v>
                </c:pt>
                <c:pt idx="1">
                  <c:v>dep_yearmo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</c:strCache>
            </c:strRef>
          </c:cat>
          <c:val>
            <c:numRef>
              <c:f>'Long Haul'!$D$3:$D$18</c:f>
              <c:numCache>
                <c:formatCode>General</c:formatCode>
                <c:ptCount val="16"/>
                <c:pt idx="1">
                  <c:v>0</c:v>
                </c:pt>
                <c:pt idx="2">
                  <c:v>77.598852266513603</c:v>
                </c:pt>
                <c:pt idx="3">
                  <c:v>72.593713891102695</c:v>
                </c:pt>
                <c:pt idx="4">
                  <c:v>69.440762730760596</c:v>
                </c:pt>
                <c:pt idx="5">
                  <c:v>76.4242555328739</c:v>
                </c:pt>
                <c:pt idx="6">
                  <c:v>83.089599197719593</c:v>
                </c:pt>
                <c:pt idx="7">
                  <c:v>80.622654574438599</c:v>
                </c:pt>
                <c:pt idx="8">
                  <c:v>75.095710935733194</c:v>
                </c:pt>
                <c:pt idx="9">
                  <c:v>68.390190887901497</c:v>
                </c:pt>
                <c:pt idx="10">
                  <c:v>72.104488620378405</c:v>
                </c:pt>
                <c:pt idx="11">
                  <c:v>70.721849702923805</c:v>
                </c:pt>
                <c:pt idx="12">
                  <c:v>72.692728913508603</c:v>
                </c:pt>
                <c:pt idx="13">
                  <c:v>64.355886437903195</c:v>
                </c:pt>
                <c:pt idx="14">
                  <c:v>61.382259017974597</c:v>
                </c:pt>
                <c:pt idx="15">
                  <c:v>67.801068207911598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BE-964B-9051-D04C53266184}"/>
            </c:ext>
          </c:extLst>
        </c:ser>
        <c:ser>
          <c:idx val="3"/>
          <c:order val="3"/>
          <c:tx>
            <c:strRef>
              <c:f>'Long Haul'!$E$1:$E$2</c:f>
              <c:strCache>
                <c:ptCount val="2"/>
                <c:pt idx="0">
                  <c:v>Long Haul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'Long Haul'!$A$3:$A$18</c:f>
              <c:strCache>
                <c:ptCount val="16"/>
                <c:pt idx="0">
                  <c:v>AVERAGE of bf_avg</c:v>
                </c:pt>
                <c:pt idx="1">
                  <c:v>dep_yearmo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</c:strCache>
            </c:strRef>
          </c:cat>
          <c:val>
            <c:numRef>
              <c:f>'Long Haul'!$E$3:$E$18</c:f>
              <c:numCache>
                <c:formatCode>General</c:formatCode>
                <c:ptCount val="16"/>
                <c:pt idx="1">
                  <c:v>0</c:v>
                </c:pt>
                <c:pt idx="2">
                  <c:v>421.584621880643</c:v>
                </c:pt>
                <c:pt idx="3">
                  <c:v>422.10263430159102</c:v>
                </c:pt>
                <c:pt idx="4">
                  <c:v>420.85933472027801</c:v>
                </c:pt>
                <c:pt idx="5">
                  <c:v>433.15203716660102</c:v>
                </c:pt>
                <c:pt idx="6">
                  <c:v>458.00773657230002</c:v>
                </c:pt>
                <c:pt idx="7">
                  <c:v>464.40075954990402</c:v>
                </c:pt>
                <c:pt idx="8">
                  <c:v>466.825255565205</c:v>
                </c:pt>
                <c:pt idx="9">
                  <c:v>486.08189006899102</c:v>
                </c:pt>
                <c:pt idx="10">
                  <c:v>474.363395075016</c:v>
                </c:pt>
                <c:pt idx="11">
                  <c:v>469.98980034848603</c:v>
                </c:pt>
                <c:pt idx="12">
                  <c:v>466.35683522453098</c:v>
                </c:pt>
                <c:pt idx="13">
                  <c:v>444.51927250867101</c:v>
                </c:pt>
                <c:pt idx="14">
                  <c:v>488.59369590184798</c:v>
                </c:pt>
                <c:pt idx="15">
                  <c:v>516.69228013723705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2BE-964B-9051-D04C53266184}"/>
            </c:ext>
          </c:extLst>
        </c:ser>
        <c:ser>
          <c:idx val="4"/>
          <c:order val="4"/>
          <c:tx>
            <c:strRef>
              <c:f>'Long Haul'!$F$1:$F$2</c:f>
              <c:strCache>
                <c:ptCount val="2"/>
                <c:pt idx="0">
                  <c:v>Long Haul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'Long Haul'!$A$3:$A$18</c:f>
              <c:strCache>
                <c:ptCount val="16"/>
                <c:pt idx="0">
                  <c:v>AVERAGE of bf_avg</c:v>
                </c:pt>
                <c:pt idx="1">
                  <c:v>dep_yearmo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</c:strCache>
            </c:strRef>
          </c:cat>
          <c:val>
            <c:numRef>
              <c:f>'Long Haul'!$F$3:$F$18</c:f>
              <c:numCache>
                <c:formatCode>General</c:formatCode>
                <c:ptCount val="16"/>
                <c:pt idx="1">
                  <c:v>0</c:v>
                </c:pt>
                <c:pt idx="2">
                  <c:v>352.78548805864301</c:v>
                </c:pt>
                <c:pt idx="3">
                  <c:v>350.80601629449302</c:v>
                </c:pt>
                <c:pt idx="4">
                  <c:v>349.57640692257399</c:v>
                </c:pt>
                <c:pt idx="5">
                  <c:v>360.45678907277102</c:v>
                </c:pt>
                <c:pt idx="6">
                  <c:v>381.44976043361299</c:v>
                </c:pt>
                <c:pt idx="7">
                  <c:v>386.43882700420301</c:v>
                </c:pt>
                <c:pt idx="8">
                  <c:v>388.33786990491097</c:v>
                </c:pt>
                <c:pt idx="9">
                  <c:v>405.827649143869</c:v>
                </c:pt>
                <c:pt idx="10">
                  <c:v>394.82709553680399</c:v>
                </c:pt>
                <c:pt idx="11">
                  <c:v>390.89905913348599</c:v>
                </c:pt>
                <c:pt idx="12">
                  <c:v>387.611845909659</c:v>
                </c:pt>
                <c:pt idx="13">
                  <c:v>370.56127719367498</c:v>
                </c:pt>
                <c:pt idx="14">
                  <c:v>409.31149455962498</c:v>
                </c:pt>
                <c:pt idx="15">
                  <c:v>433.83269880494902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2BE-964B-9051-D04C53266184}"/>
            </c:ext>
          </c:extLst>
        </c:ser>
        <c:ser>
          <c:idx val="5"/>
          <c:order val="5"/>
          <c:tx>
            <c:strRef>
              <c:f>'Long Haul'!$G$1:$G$2</c:f>
              <c:strCache>
                <c:ptCount val="2"/>
                <c:pt idx="0">
                  <c:v>Long Haul</c:v>
                </c:pt>
              </c:strCache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'Long Haul'!$A$3:$A$18</c:f>
              <c:strCache>
                <c:ptCount val="16"/>
                <c:pt idx="0">
                  <c:v>AVERAGE of bf_avg</c:v>
                </c:pt>
                <c:pt idx="1">
                  <c:v>dep_yearmo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</c:strCache>
            </c:strRef>
          </c:cat>
          <c:val>
            <c:numRef>
              <c:f>'Long Haul'!$G$3:$G$18</c:f>
              <c:numCache>
                <c:formatCode>General</c:formatCode>
                <c:ptCount val="16"/>
                <c:pt idx="1">
                  <c:v>0</c:v>
                </c:pt>
                <c:pt idx="2">
                  <c:v>272.25635728157999</c:v>
                </c:pt>
                <c:pt idx="3">
                  <c:v>258.74918626825098</c:v>
                </c:pt>
                <c:pt idx="4">
                  <c:v>253.70413235606199</c:v>
                </c:pt>
                <c:pt idx="5">
                  <c:v>261.35142227166301</c:v>
                </c:pt>
                <c:pt idx="6">
                  <c:v>277.557165158185</c:v>
                </c:pt>
                <c:pt idx="7">
                  <c:v>280.105848918937</c:v>
                </c:pt>
                <c:pt idx="8">
                  <c:v>281.690124021381</c:v>
                </c:pt>
                <c:pt idx="9">
                  <c:v>296.55635422467299</c:v>
                </c:pt>
                <c:pt idx="10">
                  <c:v>287.12167036344999</c:v>
                </c:pt>
                <c:pt idx="11">
                  <c:v>283.61080014297897</c:v>
                </c:pt>
                <c:pt idx="12">
                  <c:v>280.77753396956803</c:v>
                </c:pt>
                <c:pt idx="13">
                  <c:v>268.68522792992098</c:v>
                </c:pt>
                <c:pt idx="14">
                  <c:v>299.51891353527202</c:v>
                </c:pt>
                <c:pt idx="15">
                  <c:v>319.28687939417603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2BE-964B-9051-D04C53266184}"/>
            </c:ext>
          </c:extLst>
        </c:ser>
        <c:ser>
          <c:idx val="6"/>
          <c:order val="6"/>
          <c:tx>
            <c:strRef>
              <c:f>'Long Haul'!$H$1:$H$2</c:f>
              <c:strCache>
                <c:ptCount val="2"/>
                <c:pt idx="0">
                  <c:v>Long Haul</c:v>
                </c:pt>
              </c:strCache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'Long Haul'!$A$3:$A$18</c:f>
              <c:strCache>
                <c:ptCount val="16"/>
                <c:pt idx="0">
                  <c:v>AVERAGE of bf_avg</c:v>
                </c:pt>
                <c:pt idx="1">
                  <c:v>dep_yearmo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</c:strCache>
            </c:strRef>
          </c:cat>
          <c:val>
            <c:numRef>
              <c:f>'Long Haul'!$H$3:$H$18</c:f>
              <c:numCache>
                <c:formatCode>General</c:formatCode>
                <c:ptCount val="16"/>
                <c:pt idx="1">
                  <c:v>0</c:v>
                </c:pt>
                <c:pt idx="2">
                  <c:v>304.60094109584998</c:v>
                </c:pt>
                <c:pt idx="3">
                  <c:v>297.35591036667199</c:v>
                </c:pt>
                <c:pt idx="4">
                  <c:v>294.610507146028</c:v>
                </c:pt>
                <c:pt idx="5">
                  <c:v>303.97195562621198</c:v>
                </c:pt>
                <c:pt idx="6">
                  <c:v>322.06384346956298</c:v>
                </c:pt>
                <c:pt idx="7">
                  <c:v>325.85729168814601</c:v>
                </c:pt>
                <c:pt idx="8">
                  <c:v>327.66284999558599</c:v>
                </c:pt>
                <c:pt idx="9">
                  <c:v>343.80124112400199</c:v>
                </c:pt>
                <c:pt idx="10">
                  <c:v>333.67192719585398</c:v>
                </c:pt>
                <c:pt idx="11">
                  <c:v>330.00684920484002</c:v>
                </c:pt>
                <c:pt idx="12">
                  <c:v>327.01211970590401</c:v>
                </c:pt>
                <c:pt idx="13">
                  <c:v>313.28424053660098</c:v>
                </c:pt>
                <c:pt idx="14">
                  <c:v>347.564984658448</c:v>
                </c:pt>
                <c:pt idx="15">
                  <c:v>369.53725910721698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2BE-964B-9051-D04C53266184}"/>
            </c:ext>
          </c:extLst>
        </c:ser>
        <c:ser>
          <c:idx val="7"/>
          <c:order val="7"/>
          <c:tx>
            <c:strRef>
              <c:f>'Long Haul'!$I$1:$I$2</c:f>
              <c:strCache>
                <c:ptCount val="2"/>
                <c:pt idx="0">
                  <c:v>Long Haul</c:v>
                </c:pt>
              </c:strCache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'Long Haul'!$A$3:$A$18</c:f>
              <c:strCache>
                <c:ptCount val="16"/>
                <c:pt idx="0">
                  <c:v>AVERAGE of bf_avg</c:v>
                </c:pt>
                <c:pt idx="1">
                  <c:v>dep_yearmo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</c:strCache>
            </c:strRef>
          </c:cat>
          <c:val>
            <c:numRef>
              <c:f>'Long Haul'!$I$3:$I$18</c:f>
              <c:numCache>
                <c:formatCode>General</c:formatCode>
                <c:ptCount val="16"/>
                <c:pt idx="1">
                  <c:v>0</c:v>
                </c:pt>
                <c:pt idx="2">
                  <c:v>193.432763938844</c:v>
                </c:pt>
                <c:pt idx="3">
                  <c:v>170.578919526807</c:v>
                </c:pt>
                <c:pt idx="4">
                  <c:v>157.21747193799899</c:v>
                </c:pt>
                <c:pt idx="5">
                  <c:v>160.770080908186</c:v>
                </c:pt>
                <c:pt idx="6">
                  <c:v>174.198605196925</c:v>
                </c:pt>
                <c:pt idx="7">
                  <c:v>171.943329986555</c:v>
                </c:pt>
                <c:pt idx="8">
                  <c:v>174.79286917086301</c:v>
                </c:pt>
                <c:pt idx="9">
                  <c:v>196.097834361087</c:v>
                </c:pt>
                <c:pt idx="10">
                  <c:v>178.89032031202501</c:v>
                </c:pt>
                <c:pt idx="11">
                  <c:v>175.148190329805</c:v>
                </c:pt>
                <c:pt idx="12">
                  <c:v>172.36877358276999</c:v>
                </c:pt>
                <c:pt idx="13">
                  <c:v>162.34834946079599</c:v>
                </c:pt>
                <c:pt idx="14">
                  <c:v>187.46318050491101</c:v>
                </c:pt>
                <c:pt idx="15">
                  <c:v>200.58000130687699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2BE-964B-9051-D04C53266184}"/>
            </c:ext>
          </c:extLst>
        </c:ser>
        <c:ser>
          <c:idx val="8"/>
          <c:order val="8"/>
          <c:tx>
            <c:strRef>
              <c:f>'Long Haul'!$J$1:$J$2</c:f>
              <c:strCache>
                <c:ptCount val="2"/>
                <c:pt idx="0">
                  <c:v>Long Haul</c:v>
                </c:pt>
              </c:strCache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'Long Haul'!$A$3:$A$18</c:f>
              <c:strCache>
                <c:ptCount val="16"/>
                <c:pt idx="0">
                  <c:v>AVERAGE of bf_avg</c:v>
                </c:pt>
                <c:pt idx="1">
                  <c:v>dep_yearmo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</c:strCache>
            </c:strRef>
          </c:cat>
          <c:val>
            <c:numRef>
              <c:f>'Long Haul'!$J$3:$J$18</c:f>
              <c:numCache>
                <c:formatCode>General</c:formatCode>
                <c:ptCount val="16"/>
                <c:pt idx="1">
                  <c:v>0</c:v>
                </c:pt>
                <c:pt idx="2">
                  <c:v>112.801981189901</c:v>
                </c:pt>
                <c:pt idx="3">
                  <c:v>107.6703614483</c:v>
                </c:pt>
                <c:pt idx="4">
                  <c:v>103.436478069293</c:v>
                </c:pt>
                <c:pt idx="5">
                  <c:v>109.91060072033</c:v>
                </c:pt>
                <c:pt idx="6">
                  <c:v>118.62173176469101</c:v>
                </c:pt>
                <c:pt idx="7">
                  <c:v>117.55215446944599</c:v>
                </c:pt>
                <c:pt idx="8">
                  <c:v>113.650645287439</c:v>
                </c:pt>
                <c:pt idx="9">
                  <c:v>103.796670971092</c:v>
                </c:pt>
                <c:pt idx="10">
                  <c:v>108.568714154684</c:v>
                </c:pt>
                <c:pt idx="11">
                  <c:v>107.831327985916</c:v>
                </c:pt>
                <c:pt idx="12">
                  <c:v>107.678133871488</c:v>
                </c:pt>
                <c:pt idx="13">
                  <c:v>95.622567687908301</c:v>
                </c:pt>
                <c:pt idx="14">
                  <c:v>94.874811899995606</c:v>
                </c:pt>
                <c:pt idx="15">
                  <c:v>105.699221013319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2BE-964B-9051-D04C53266184}"/>
            </c:ext>
          </c:extLst>
        </c:ser>
        <c:ser>
          <c:idx val="9"/>
          <c:order val="9"/>
          <c:tx>
            <c:strRef>
              <c:f>'Long Haul'!$K$1:$K$2</c:f>
              <c:strCache>
                <c:ptCount val="2"/>
                <c:pt idx="0">
                  <c:v>Long Haul</c:v>
                </c:pt>
              </c:strCache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'Long Haul'!$A$3:$A$18</c:f>
              <c:strCache>
                <c:ptCount val="16"/>
                <c:pt idx="0">
                  <c:v>AVERAGE of bf_avg</c:v>
                </c:pt>
                <c:pt idx="1">
                  <c:v>dep_yearmo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</c:strCache>
            </c:strRef>
          </c:cat>
          <c:val>
            <c:numRef>
              <c:f>'Long Haul'!$K$3:$K$18</c:f>
              <c:numCache>
                <c:formatCode>General</c:formatCode>
                <c:ptCount val="16"/>
                <c:pt idx="1">
                  <c:v>0</c:v>
                </c:pt>
                <c:pt idx="2">
                  <c:v>172.403719469636</c:v>
                </c:pt>
                <c:pt idx="3">
                  <c:v>150.74422729516101</c:v>
                </c:pt>
                <c:pt idx="4">
                  <c:v>140.712635335513</c:v>
                </c:pt>
                <c:pt idx="5">
                  <c:v>143.88338968446101</c:v>
                </c:pt>
                <c:pt idx="6">
                  <c:v>156.18415945218001</c:v>
                </c:pt>
                <c:pt idx="7">
                  <c:v>155.36411212342799</c:v>
                </c:pt>
                <c:pt idx="8">
                  <c:v>157.407186864366</c:v>
                </c:pt>
                <c:pt idx="9">
                  <c:v>172.66390139123601</c:v>
                </c:pt>
                <c:pt idx="10">
                  <c:v>162.69436427873799</c:v>
                </c:pt>
                <c:pt idx="11">
                  <c:v>159.216042944674</c:v>
                </c:pt>
                <c:pt idx="12">
                  <c:v>156.58611877041599</c:v>
                </c:pt>
                <c:pt idx="13">
                  <c:v>146.784052241056</c:v>
                </c:pt>
                <c:pt idx="14">
                  <c:v>171.413219024695</c:v>
                </c:pt>
                <c:pt idx="15">
                  <c:v>183.64712885544901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2BE-964B-9051-D04C53266184}"/>
            </c:ext>
          </c:extLst>
        </c:ser>
        <c:ser>
          <c:idx val="10"/>
          <c:order val="10"/>
          <c:tx>
            <c:strRef>
              <c:f>'Long Haul'!$L$1:$L$2</c:f>
              <c:strCache>
                <c:ptCount val="2"/>
                <c:pt idx="0">
                  <c:v>Long Haul</c:v>
                </c:pt>
              </c:strCache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strRef>
              <c:f>'Long Haul'!$A$3:$A$18</c:f>
              <c:strCache>
                <c:ptCount val="16"/>
                <c:pt idx="0">
                  <c:v>AVERAGE of bf_avg</c:v>
                </c:pt>
                <c:pt idx="1">
                  <c:v>dep_yearmo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</c:strCache>
            </c:strRef>
          </c:cat>
          <c:val>
            <c:numRef>
              <c:f>'Long Haul'!$L$3:$L$18</c:f>
              <c:numCache>
                <c:formatCode>General</c:formatCode>
                <c:ptCount val="16"/>
                <c:pt idx="1">
                  <c:v>0</c:v>
                </c:pt>
                <c:pt idx="2">
                  <c:v>211.49162812994399</c:v>
                </c:pt>
                <c:pt idx="3">
                  <c:v>189.14462465609199</c:v>
                </c:pt>
                <c:pt idx="4">
                  <c:v>175.16751093871099</c:v>
                </c:pt>
                <c:pt idx="5">
                  <c:v>179.39246368145601</c:v>
                </c:pt>
                <c:pt idx="6">
                  <c:v>193.557483343294</c:v>
                </c:pt>
                <c:pt idx="7">
                  <c:v>191.68260371895599</c:v>
                </c:pt>
                <c:pt idx="8">
                  <c:v>194.38031713026399</c:v>
                </c:pt>
                <c:pt idx="9">
                  <c:v>215.266524428515</c:v>
                </c:pt>
                <c:pt idx="10">
                  <c:v>197.417486086612</c:v>
                </c:pt>
                <c:pt idx="11">
                  <c:v>193.942563919023</c:v>
                </c:pt>
                <c:pt idx="12">
                  <c:v>191.23856853464301</c:v>
                </c:pt>
                <c:pt idx="13">
                  <c:v>180.734986536527</c:v>
                </c:pt>
                <c:pt idx="14">
                  <c:v>206.11037495672301</c:v>
                </c:pt>
                <c:pt idx="15">
                  <c:v>220.625016733135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2BE-964B-9051-D04C53266184}"/>
            </c:ext>
          </c:extLst>
        </c:ser>
        <c:ser>
          <c:idx val="11"/>
          <c:order val="11"/>
          <c:tx>
            <c:strRef>
              <c:f>'Long Haul'!$M$1:$M$2</c:f>
              <c:strCache>
                <c:ptCount val="2"/>
                <c:pt idx="0">
                  <c:v>Long Haul</c:v>
                </c:pt>
              </c:strCache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cat>
            <c:strRef>
              <c:f>'Long Haul'!$A$3:$A$18</c:f>
              <c:strCache>
                <c:ptCount val="16"/>
                <c:pt idx="0">
                  <c:v>AVERAGE of bf_avg</c:v>
                </c:pt>
                <c:pt idx="1">
                  <c:v>dep_yearmo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</c:strCache>
            </c:strRef>
          </c:cat>
          <c:val>
            <c:numRef>
              <c:f>'Long Haul'!$M$3:$M$18</c:f>
              <c:numCache>
                <c:formatCode>General</c:formatCode>
                <c:ptCount val="16"/>
                <c:pt idx="1">
                  <c:v>0</c:v>
                </c:pt>
                <c:pt idx="2">
                  <c:v>255.22311342675999</c:v>
                </c:pt>
                <c:pt idx="3">
                  <c:v>236.11987090641</c:v>
                </c:pt>
                <c:pt idx="4">
                  <c:v>222.46183162582</c:v>
                </c:pt>
                <c:pt idx="5">
                  <c:v>228.65575292549599</c:v>
                </c:pt>
                <c:pt idx="6">
                  <c:v>244.663393888256</c:v>
                </c:pt>
                <c:pt idx="7">
                  <c:v>243.69845021218799</c:v>
                </c:pt>
                <c:pt idx="8">
                  <c:v>247.05766860419101</c:v>
                </c:pt>
                <c:pt idx="9">
                  <c:v>271.44564672107902</c:v>
                </c:pt>
                <c:pt idx="10">
                  <c:v>250.41501863753399</c:v>
                </c:pt>
                <c:pt idx="11">
                  <c:v>246.663170791287</c:v>
                </c:pt>
                <c:pt idx="12">
                  <c:v>243.933982209997</c:v>
                </c:pt>
                <c:pt idx="13">
                  <c:v>232.67695187048199</c:v>
                </c:pt>
                <c:pt idx="14">
                  <c:v>260.97519017019999</c:v>
                </c:pt>
                <c:pt idx="15">
                  <c:v>278.23531186371599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2BE-964B-9051-D04C53266184}"/>
            </c:ext>
          </c:extLst>
        </c:ser>
        <c:ser>
          <c:idx val="12"/>
          <c:order val="12"/>
          <c:tx>
            <c:strRef>
              <c:f>'Long Haul'!$N$1:$N$2</c:f>
              <c:strCache>
                <c:ptCount val="2"/>
                <c:pt idx="0">
                  <c:v>Long Haul</c:v>
                </c:pt>
              </c:strCache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cat>
            <c:strRef>
              <c:f>'Long Haul'!$A$3:$A$18</c:f>
              <c:strCache>
                <c:ptCount val="16"/>
                <c:pt idx="0">
                  <c:v>AVERAGE of bf_avg</c:v>
                </c:pt>
                <c:pt idx="1">
                  <c:v>dep_yearmo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</c:strCache>
            </c:strRef>
          </c:cat>
          <c:val>
            <c:numRef>
              <c:f>'Long Haul'!$N$3:$N$18</c:f>
              <c:numCache>
                <c:formatCode>General</c:formatCode>
                <c:ptCount val="16"/>
                <c:pt idx="1">
                  <c:v>0</c:v>
                </c:pt>
                <c:pt idx="2">
                  <c:v>227.57572933089401</c:v>
                </c:pt>
                <c:pt idx="3">
                  <c:v>207.331410613835</c:v>
                </c:pt>
                <c:pt idx="4">
                  <c:v>194.51887903105199</c:v>
                </c:pt>
                <c:pt idx="5">
                  <c:v>200.01835251521601</c:v>
                </c:pt>
                <c:pt idx="6">
                  <c:v>215.36690876782501</c:v>
                </c:pt>
                <c:pt idx="7">
                  <c:v>214.05714025198</c:v>
                </c:pt>
                <c:pt idx="8">
                  <c:v>217.05306705400099</c:v>
                </c:pt>
                <c:pt idx="9">
                  <c:v>238.82772633760601</c:v>
                </c:pt>
                <c:pt idx="10">
                  <c:v>219.431937918823</c:v>
                </c:pt>
                <c:pt idx="11">
                  <c:v>216.48793162963401</c:v>
                </c:pt>
                <c:pt idx="12">
                  <c:v>214.140888185362</c:v>
                </c:pt>
                <c:pt idx="13">
                  <c:v>203.895265803472</c:v>
                </c:pt>
                <c:pt idx="14">
                  <c:v>230.291718822299</c:v>
                </c:pt>
                <c:pt idx="15">
                  <c:v>246.055843186023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2BE-964B-9051-D04C53266184}"/>
            </c:ext>
          </c:extLst>
        </c:ser>
        <c:ser>
          <c:idx val="13"/>
          <c:order val="13"/>
          <c:tx>
            <c:strRef>
              <c:f>'Long Haul'!$O$1:$O$2</c:f>
              <c:strCache>
                <c:ptCount val="2"/>
                <c:pt idx="0">
                  <c:v>Long Haul</c:v>
                </c:pt>
              </c:strCache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cat>
            <c:strRef>
              <c:f>'Long Haul'!$A$3:$A$18</c:f>
              <c:strCache>
                <c:ptCount val="16"/>
                <c:pt idx="0">
                  <c:v>AVERAGE of bf_avg</c:v>
                </c:pt>
                <c:pt idx="1">
                  <c:v>dep_yearmo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</c:strCache>
            </c:strRef>
          </c:cat>
          <c:val>
            <c:numRef>
              <c:f>'Long Haul'!$O$3:$O$18</c:f>
              <c:numCache>
                <c:formatCode>General</c:formatCode>
                <c:ptCount val="16"/>
                <c:pt idx="1">
                  <c:v>0</c:v>
                </c:pt>
                <c:pt idx="2">
                  <c:v>697.76344247078498</c:v>
                </c:pt>
                <c:pt idx="3">
                  <c:v>698.83867205545505</c:v>
                </c:pt>
                <c:pt idx="4">
                  <c:v>698.03355963271201</c:v>
                </c:pt>
                <c:pt idx="5">
                  <c:v>713.78969506702197</c:v>
                </c:pt>
                <c:pt idx="6">
                  <c:v>765.31831584798397</c:v>
                </c:pt>
                <c:pt idx="7">
                  <c:v>777.42753338643001</c:v>
                </c:pt>
                <c:pt idx="8">
                  <c:v>780.81449823100797</c:v>
                </c:pt>
                <c:pt idx="9">
                  <c:v>800.15201723287305</c:v>
                </c:pt>
                <c:pt idx="10">
                  <c:v>784.17792567844106</c:v>
                </c:pt>
                <c:pt idx="11">
                  <c:v>776.82800344059899</c:v>
                </c:pt>
                <c:pt idx="12">
                  <c:v>770.91225334540604</c:v>
                </c:pt>
                <c:pt idx="13">
                  <c:v>722.30571058676298</c:v>
                </c:pt>
                <c:pt idx="14">
                  <c:v>786.16203179380602</c:v>
                </c:pt>
                <c:pt idx="15">
                  <c:v>821.15446214271196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2BE-964B-9051-D04C53266184}"/>
            </c:ext>
          </c:extLst>
        </c:ser>
        <c:ser>
          <c:idx val="14"/>
          <c:order val="14"/>
          <c:tx>
            <c:strRef>
              <c:f>'Long Haul'!$P$1:$P$2</c:f>
              <c:strCache>
                <c:ptCount val="2"/>
                <c:pt idx="0">
                  <c:v>Long Haul</c:v>
                </c:pt>
              </c:strCache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none"/>
          </c:marker>
          <c:cat>
            <c:strRef>
              <c:f>'Long Haul'!$A$3:$A$18</c:f>
              <c:strCache>
                <c:ptCount val="16"/>
                <c:pt idx="0">
                  <c:v>AVERAGE of bf_avg</c:v>
                </c:pt>
                <c:pt idx="1">
                  <c:v>dep_yearmo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</c:strCache>
            </c:strRef>
          </c:cat>
          <c:val>
            <c:numRef>
              <c:f>'Long Haul'!$P$3:$P$18</c:f>
              <c:numCache>
                <c:formatCode>General</c:formatCode>
                <c:ptCount val="16"/>
                <c:pt idx="1">
                  <c:v>0</c:v>
                </c:pt>
                <c:pt idx="2">
                  <c:v>279.43874486723388</c:v>
                </c:pt>
                <c:pt idx="3">
                  <c:v>270.42778909554011</c:v>
                </c:pt>
                <c:pt idx="4">
                  <c:v>264.88569986586947</c:v>
                </c:pt>
                <c:pt idx="5">
                  <c:v>272.33222661409388</c:v>
                </c:pt>
                <c:pt idx="6">
                  <c:v>290.47769841334957</c:v>
                </c:pt>
                <c:pt idx="7">
                  <c:v>292.76224525434401</c:v>
                </c:pt>
                <c:pt idx="8">
                  <c:v>293.23484016107659</c:v>
                </c:pt>
                <c:pt idx="9">
                  <c:v>306.06971626013103</c:v>
                </c:pt>
                <c:pt idx="10">
                  <c:v>296.43981144717219</c:v>
                </c:pt>
                <c:pt idx="11">
                  <c:v>293.43042239782915</c:v>
                </c:pt>
                <c:pt idx="12">
                  <c:v>291.6608394117473</c:v>
                </c:pt>
                <c:pt idx="13">
                  <c:v>275.41395722220057</c:v>
                </c:pt>
                <c:pt idx="14">
                  <c:v>301.69876779038617</c:v>
                </c:pt>
                <c:pt idx="15">
                  <c:v>321.62899048232885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2BE-964B-9051-D04C53266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1858159"/>
        <c:axId val="227255507"/>
      </c:lineChart>
      <c:catAx>
        <c:axId val="14418581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0">
                    <a:solidFill>
                      <a:schemeClr val="dk1"/>
                    </a:solidFill>
                    <a:latin typeface="+mn-lt"/>
                  </a:defRPr>
                </a:pPr>
                <a:r>
                  <a:rPr lang="en-US" sz="1400" b="0">
                    <a:solidFill>
                      <a:schemeClr val="dk1"/>
                    </a:solidFill>
                    <a:latin typeface="+mn-lt"/>
                  </a:rPr>
                  <a:t>Departure Year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4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27255507"/>
        <c:crosses val="autoZero"/>
        <c:auto val="1"/>
        <c:lblAlgn val="ctr"/>
        <c:lblOffset val="100"/>
        <c:noMultiLvlLbl val="1"/>
      </c:catAx>
      <c:valAx>
        <c:axId val="2272555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4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4185815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1400"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Average Base Fare by Booking Classes on Departure  Year Month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NorthCone!$B$1:$B$2</c:f>
              <c:strCache>
                <c:ptCount val="2"/>
                <c:pt idx="0">
                  <c:v>North Cone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NorthCone!$A$3:$A$18</c:f>
              <c:strCache>
                <c:ptCount val="16"/>
                <c:pt idx="0">
                  <c:v>AVERAGE of bf_avg</c:v>
                </c:pt>
                <c:pt idx="1">
                  <c:v>dep_yearmo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</c:strCache>
            </c:strRef>
          </c:cat>
          <c:val>
            <c:numRef>
              <c:f>NorthCone!$B$3:$B$18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84.742477777688705</c:v>
                </c:pt>
                <c:pt idx="3">
                  <c:v>92.179647373450095</c:v>
                </c:pt>
                <c:pt idx="4">
                  <c:v>97.479642338152402</c:v>
                </c:pt>
                <c:pt idx="5">
                  <c:v>96.002566327166406</c:v>
                </c:pt>
                <c:pt idx="6">
                  <c:v>96.869516284826304</c:v>
                </c:pt>
                <c:pt idx="7">
                  <c:v>101.06040040875</c:v>
                </c:pt>
                <c:pt idx="8">
                  <c:v>89.076176927241704</c:v>
                </c:pt>
                <c:pt idx="9">
                  <c:v>75.906196455876398</c:v>
                </c:pt>
                <c:pt idx="10">
                  <c:v>88.064290150582806</c:v>
                </c:pt>
                <c:pt idx="11">
                  <c:v>93.268768655354293</c:v>
                </c:pt>
                <c:pt idx="12">
                  <c:v>103.130635270556</c:v>
                </c:pt>
                <c:pt idx="13">
                  <c:v>92.720529280742895</c:v>
                </c:pt>
                <c:pt idx="14">
                  <c:v>72.240288071014902</c:v>
                </c:pt>
                <c:pt idx="15">
                  <c:v>99.796261462590707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FC-1745-96C6-86631C88468F}"/>
            </c:ext>
          </c:extLst>
        </c:ser>
        <c:ser>
          <c:idx val="1"/>
          <c:order val="1"/>
          <c:tx>
            <c:strRef>
              <c:f>NorthCone!$C$1:$C$2</c:f>
              <c:strCache>
                <c:ptCount val="2"/>
                <c:pt idx="0">
                  <c:v>North Cone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NorthCone!$A$3:$A$18</c:f>
              <c:strCache>
                <c:ptCount val="16"/>
                <c:pt idx="0">
                  <c:v>AVERAGE of bf_avg</c:v>
                </c:pt>
                <c:pt idx="1">
                  <c:v>dep_yearmo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</c:strCache>
            </c:strRef>
          </c:cat>
          <c:val>
            <c:numRef>
              <c:f>NorthCone!$C$3:$C$18</c:f>
              <c:numCache>
                <c:formatCode>General</c:formatCode>
                <c:ptCount val="16"/>
                <c:pt idx="1">
                  <c:v>0</c:v>
                </c:pt>
                <c:pt idx="2">
                  <c:v>527.881311823592</c:v>
                </c:pt>
                <c:pt idx="3">
                  <c:v>531.77385233994096</c:v>
                </c:pt>
                <c:pt idx="4">
                  <c:v>531.18064533721702</c:v>
                </c:pt>
                <c:pt idx="5">
                  <c:v>544.87181109786002</c:v>
                </c:pt>
                <c:pt idx="6">
                  <c:v>579.73955840953204</c:v>
                </c:pt>
                <c:pt idx="7">
                  <c:v>588.46032726745398</c:v>
                </c:pt>
                <c:pt idx="8">
                  <c:v>591.44352256288198</c:v>
                </c:pt>
                <c:pt idx="9">
                  <c:v>610.16218429303399</c:v>
                </c:pt>
                <c:pt idx="10">
                  <c:v>598.40872625146801</c:v>
                </c:pt>
                <c:pt idx="11">
                  <c:v>593.41155534060101</c:v>
                </c:pt>
                <c:pt idx="12">
                  <c:v>588.81133427065402</c:v>
                </c:pt>
                <c:pt idx="13">
                  <c:v>557.30108303629004</c:v>
                </c:pt>
                <c:pt idx="14">
                  <c:v>607.88058614859403</c:v>
                </c:pt>
                <c:pt idx="15">
                  <c:v>639.86243453729196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FC-1745-96C6-86631C88468F}"/>
            </c:ext>
          </c:extLst>
        </c:ser>
        <c:ser>
          <c:idx val="2"/>
          <c:order val="2"/>
          <c:tx>
            <c:strRef>
              <c:f>NorthCone!$D$1:$D$2</c:f>
              <c:strCache>
                <c:ptCount val="2"/>
                <c:pt idx="0">
                  <c:v>North Cone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NorthCone!$A$3:$A$18</c:f>
              <c:strCache>
                <c:ptCount val="16"/>
                <c:pt idx="0">
                  <c:v>AVERAGE of bf_avg</c:v>
                </c:pt>
                <c:pt idx="1">
                  <c:v>dep_yearmo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</c:strCache>
            </c:strRef>
          </c:cat>
          <c:val>
            <c:numRef>
              <c:f>NorthCone!$D$3:$D$18</c:f>
              <c:numCache>
                <c:formatCode>General</c:formatCode>
                <c:ptCount val="16"/>
                <c:pt idx="1">
                  <c:v>0</c:v>
                </c:pt>
                <c:pt idx="2">
                  <c:v>77.598852266513603</c:v>
                </c:pt>
                <c:pt idx="3">
                  <c:v>72.593713891102695</c:v>
                </c:pt>
                <c:pt idx="4">
                  <c:v>69.440762730760596</c:v>
                </c:pt>
                <c:pt idx="5">
                  <c:v>76.4242555328739</c:v>
                </c:pt>
                <c:pt idx="6">
                  <c:v>83.089599197719593</c:v>
                </c:pt>
                <c:pt idx="7">
                  <c:v>80.622654574438599</c:v>
                </c:pt>
                <c:pt idx="8">
                  <c:v>75.095710935733194</c:v>
                </c:pt>
                <c:pt idx="9">
                  <c:v>68.390190887901497</c:v>
                </c:pt>
                <c:pt idx="10">
                  <c:v>72.104488620378405</c:v>
                </c:pt>
                <c:pt idx="11">
                  <c:v>70.721849702923805</c:v>
                </c:pt>
                <c:pt idx="12">
                  <c:v>72.692728913508603</c:v>
                </c:pt>
                <c:pt idx="13">
                  <c:v>64.355886437903195</c:v>
                </c:pt>
                <c:pt idx="14">
                  <c:v>61.382259017974597</c:v>
                </c:pt>
                <c:pt idx="15">
                  <c:v>67.801068207911598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FC-1745-96C6-86631C88468F}"/>
            </c:ext>
          </c:extLst>
        </c:ser>
        <c:ser>
          <c:idx val="3"/>
          <c:order val="3"/>
          <c:tx>
            <c:strRef>
              <c:f>NorthCone!$E$1:$E$2</c:f>
              <c:strCache>
                <c:ptCount val="2"/>
                <c:pt idx="0">
                  <c:v>North Cone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NorthCone!$A$3:$A$18</c:f>
              <c:strCache>
                <c:ptCount val="16"/>
                <c:pt idx="0">
                  <c:v>AVERAGE of bf_avg</c:v>
                </c:pt>
                <c:pt idx="1">
                  <c:v>dep_yearmo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</c:strCache>
            </c:strRef>
          </c:cat>
          <c:val>
            <c:numRef>
              <c:f>NorthCone!$E$3:$E$18</c:f>
              <c:numCache>
                <c:formatCode>General</c:formatCode>
                <c:ptCount val="16"/>
                <c:pt idx="1">
                  <c:v>0</c:v>
                </c:pt>
                <c:pt idx="2">
                  <c:v>421.584621880643</c:v>
                </c:pt>
                <c:pt idx="3">
                  <c:v>422.10263430159102</c:v>
                </c:pt>
                <c:pt idx="4">
                  <c:v>420.85933472027801</c:v>
                </c:pt>
                <c:pt idx="5">
                  <c:v>433.15203716660102</c:v>
                </c:pt>
                <c:pt idx="6">
                  <c:v>458.00773657230002</c:v>
                </c:pt>
                <c:pt idx="7">
                  <c:v>464.40075954990402</c:v>
                </c:pt>
                <c:pt idx="8">
                  <c:v>466.825255565205</c:v>
                </c:pt>
                <c:pt idx="9">
                  <c:v>486.08189006899102</c:v>
                </c:pt>
                <c:pt idx="10">
                  <c:v>474.363395075016</c:v>
                </c:pt>
                <c:pt idx="11">
                  <c:v>469.98980034848603</c:v>
                </c:pt>
                <c:pt idx="12">
                  <c:v>466.35683522453098</c:v>
                </c:pt>
                <c:pt idx="13">
                  <c:v>444.51927250867101</c:v>
                </c:pt>
                <c:pt idx="14">
                  <c:v>488.59369590184798</c:v>
                </c:pt>
                <c:pt idx="15">
                  <c:v>516.69228013723705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CFC-1745-96C6-86631C88468F}"/>
            </c:ext>
          </c:extLst>
        </c:ser>
        <c:ser>
          <c:idx val="4"/>
          <c:order val="4"/>
          <c:tx>
            <c:strRef>
              <c:f>NorthCone!$F$1:$F$2</c:f>
              <c:strCache>
                <c:ptCount val="2"/>
                <c:pt idx="0">
                  <c:v>North Cone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NorthCone!$A$3:$A$18</c:f>
              <c:strCache>
                <c:ptCount val="16"/>
                <c:pt idx="0">
                  <c:v>AVERAGE of bf_avg</c:v>
                </c:pt>
                <c:pt idx="1">
                  <c:v>dep_yearmo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</c:strCache>
            </c:strRef>
          </c:cat>
          <c:val>
            <c:numRef>
              <c:f>NorthCone!$F$3:$F$18</c:f>
              <c:numCache>
                <c:formatCode>General</c:formatCode>
                <c:ptCount val="16"/>
                <c:pt idx="1">
                  <c:v>0</c:v>
                </c:pt>
                <c:pt idx="2">
                  <c:v>352.78548805864301</c:v>
                </c:pt>
                <c:pt idx="3">
                  <c:v>350.80601629449302</c:v>
                </c:pt>
                <c:pt idx="4">
                  <c:v>349.57640692257399</c:v>
                </c:pt>
                <c:pt idx="5">
                  <c:v>360.45678907277102</c:v>
                </c:pt>
                <c:pt idx="6">
                  <c:v>381.44976043361299</c:v>
                </c:pt>
                <c:pt idx="7">
                  <c:v>386.43882700420301</c:v>
                </c:pt>
                <c:pt idx="8">
                  <c:v>388.33786990491097</c:v>
                </c:pt>
                <c:pt idx="9">
                  <c:v>405.827649143869</c:v>
                </c:pt>
                <c:pt idx="10">
                  <c:v>394.82709553680399</c:v>
                </c:pt>
                <c:pt idx="11">
                  <c:v>390.89905913348599</c:v>
                </c:pt>
                <c:pt idx="12">
                  <c:v>387.611845909659</c:v>
                </c:pt>
                <c:pt idx="13">
                  <c:v>370.56127719367498</c:v>
                </c:pt>
                <c:pt idx="14">
                  <c:v>409.31149455962498</c:v>
                </c:pt>
                <c:pt idx="15">
                  <c:v>433.83269880494902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CFC-1745-96C6-86631C88468F}"/>
            </c:ext>
          </c:extLst>
        </c:ser>
        <c:ser>
          <c:idx val="5"/>
          <c:order val="5"/>
          <c:tx>
            <c:strRef>
              <c:f>NorthCone!$G$1:$G$2</c:f>
              <c:strCache>
                <c:ptCount val="2"/>
                <c:pt idx="0">
                  <c:v>North Cone</c:v>
                </c:pt>
              </c:strCache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NorthCone!$A$3:$A$18</c:f>
              <c:strCache>
                <c:ptCount val="16"/>
                <c:pt idx="0">
                  <c:v>AVERAGE of bf_avg</c:v>
                </c:pt>
                <c:pt idx="1">
                  <c:v>dep_yearmo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</c:strCache>
            </c:strRef>
          </c:cat>
          <c:val>
            <c:numRef>
              <c:f>NorthCone!$G$3:$G$18</c:f>
              <c:numCache>
                <c:formatCode>General</c:formatCode>
                <c:ptCount val="16"/>
                <c:pt idx="1">
                  <c:v>0</c:v>
                </c:pt>
                <c:pt idx="2">
                  <c:v>272.25635728157999</c:v>
                </c:pt>
                <c:pt idx="3">
                  <c:v>258.74918626825098</c:v>
                </c:pt>
                <c:pt idx="4">
                  <c:v>253.70413235606199</c:v>
                </c:pt>
                <c:pt idx="5">
                  <c:v>261.35142227166301</c:v>
                </c:pt>
                <c:pt idx="6">
                  <c:v>277.557165158185</c:v>
                </c:pt>
                <c:pt idx="7">
                  <c:v>280.105848918937</c:v>
                </c:pt>
                <c:pt idx="8">
                  <c:v>281.690124021381</c:v>
                </c:pt>
                <c:pt idx="9">
                  <c:v>296.55635422467299</c:v>
                </c:pt>
                <c:pt idx="10">
                  <c:v>287.12167036344999</c:v>
                </c:pt>
                <c:pt idx="11">
                  <c:v>283.61080014297897</c:v>
                </c:pt>
                <c:pt idx="12">
                  <c:v>280.77753396956803</c:v>
                </c:pt>
                <c:pt idx="13">
                  <c:v>268.68522792992098</c:v>
                </c:pt>
                <c:pt idx="14">
                  <c:v>299.51891353527202</c:v>
                </c:pt>
                <c:pt idx="15">
                  <c:v>319.28687939417603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CFC-1745-96C6-86631C88468F}"/>
            </c:ext>
          </c:extLst>
        </c:ser>
        <c:ser>
          <c:idx val="6"/>
          <c:order val="6"/>
          <c:tx>
            <c:strRef>
              <c:f>NorthCone!$H$1:$H$2</c:f>
              <c:strCache>
                <c:ptCount val="2"/>
                <c:pt idx="0">
                  <c:v>North Cone</c:v>
                </c:pt>
              </c:strCache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NorthCone!$A$3:$A$18</c:f>
              <c:strCache>
                <c:ptCount val="16"/>
                <c:pt idx="0">
                  <c:v>AVERAGE of bf_avg</c:v>
                </c:pt>
                <c:pt idx="1">
                  <c:v>dep_yearmo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</c:strCache>
            </c:strRef>
          </c:cat>
          <c:val>
            <c:numRef>
              <c:f>NorthCone!$H$3:$H$18</c:f>
              <c:numCache>
                <c:formatCode>General</c:formatCode>
                <c:ptCount val="16"/>
                <c:pt idx="1">
                  <c:v>0</c:v>
                </c:pt>
                <c:pt idx="2">
                  <c:v>304.60094109584998</c:v>
                </c:pt>
                <c:pt idx="3">
                  <c:v>297.35591036667199</c:v>
                </c:pt>
                <c:pt idx="4">
                  <c:v>294.610507146028</c:v>
                </c:pt>
                <c:pt idx="5">
                  <c:v>303.97195562621198</c:v>
                </c:pt>
                <c:pt idx="6">
                  <c:v>322.06384346956298</c:v>
                </c:pt>
                <c:pt idx="7">
                  <c:v>325.85729168814601</c:v>
                </c:pt>
                <c:pt idx="8">
                  <c:v>327.66284999558599</c:v>
                </c:pt>
                <c:pt idx="9">
                  <c:v>343.80124112400199</c:v>
                </c:pt>
                <c:pt idx="10">
                  <c:v>333.67192719585398</c:v>
                </c:pt>
                <c:pt idx="11">
                  <c:v>330.00684920484002</c:v>
                </c:pt>
                <c:pt idx="12">
                  <c:v>327.01211970590401</c:v>
                </c:pt>
                <c:pt idx="13">
                  <c:v>313.28424053660098</c:v>
                </c:pt>
                <c:pt idx="14">
                  <c:v>347.564984658448</c:v>
                </c:pt>
                <c:pt idx="15">
                  <c:v>369.53725910721698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CFC-1745-96C6-86631C88468F}"/>
            </c:ext>
          </c:extLst>
        </c:ser>
        <c:ser>
          <c:idx val="7"/>
          <c:order val="7"/>
          <c:tx>
            <c:strRef>
              <c:f>NorthCone!$I$1:$I$2</c:f>
              <c:strCache>
                <c:ptCount val="2"/>
                <c:pt idx="0">
                  <c:v>North Cone</c:v>
                </c:pt>
              </c:strCache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NorthCone!$A$3:$A$18</c:f>
              <c:strCache>
                <c:ptCount val="16"/>
                <c:pt idx="0">
                  <c:v>AVERAGE of bf_avg</c:v>
                </c:pt>
                <c:pt idx="1">
                  <c:v>dep_yearmo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</c:strCache>
            </c:strRef>
          </c:cat>
          <c:val>
            <c:numRef>
              <c:f>NorthCone!$I$3:$I$18</c:f>
              <c:numCache>
                <c:formatCode>General</c:formatCode>
                <c:ptCount val="16"/>
                <c:pt idx="1">
                  <c:v>0</c:v>
                </c:pt>
                <c:pt idx="2">
                  <c:v>193.432763938844</c:v>
                </c:pt>
                <c:pt idx="3">
                  <c:v>170.578919526807</c:v>
                </c:pt>
                <c:pt idx="4">
                  <c:v>157.21747193799899</c:v>
                </c:pt>
                <c:pt idx="5">
                  <c:v>160.770080908186</c:v>
                </c:pt>
                <c:pt idx="6">
                  <c:v>174.198605196925</c:v>
                </c:pt>
                <c:pt idx="7">
                  <c:v>171.943329986555</c:v>
                </c:pt>
                <c:pt idx="8">
                  <c:v>174.79286917086301</c:v>
                </c:pt>
                <c:pt idx="9">
                  <c:v>196.097834361087</c:v>
                </c:pt>
                <c:pt idx="10">
                  <c:v>178.89032031202501</c:v>
                </c:pt>
                <c:pt idx="11">
                  <c:v>175.148190329805</c:v>
                </c:pt>
                <c:pt idx="12">
                  <c:v>172.36877358276999</c:v>
                </c:pt>
                <c:pt idx="13">
                  <c:v>162.34834946079599</c:v>
                </c:pt>
                <c:pt idx="14">
                  <c:v>187.46318050491101</c:v>
                </c:pt>
                <c:pt idx="15">
                  <c:v>200.58000130687699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CFC-1745-96C6-86631C88468F}"/>
            </c:ext>
          </c:extLst>
        </c:ser>
        <c:ser>
          <c:idx val="8"/>
          <c:order val="8"/>
          <c:tx>
            <c:strRef>
              <c:f>NorthCone!$J$1:$J$2</c:f>
              <c:strCache>
                <c:ptCount val="2"/>
                <c:pt idx="0">
                  <c:v>North Cone</c:v>
                </c:pt>
              </c:strCache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NorthCone!$A$3:$A$18</c:f>
              <c:strCache>
                <c:ptCount val="16"/>
                <c:pt idx="0">
                  <c:v>AVERAGE of bf_avg</c:v>
                </c:pt>
                <c:pt idx="1">
                  <c:v>dep_yearmo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</c:strCache>
            </c:strRef>
          </c:cat>
          <c:val>
            <c:numRef>
              <c:f>NorthCone!$J$3:$J$18</c:f>
              <c:numCache>
                <c:formatCode>General</c:formatCode>
                <c:ptCount val="16"/>
                <c:pt idx="1">
                  <c:v>0</c:v>
                </c:pt>
                <c:pt idx="2">
                  <c:v>112.801981189901</c:v>
                </c:pt>
                <c:pt idx="3">
                  <c:v>107.6703614483</c:v>
                </c:pt>
                <c:pt idx="4">
                  <c:v>103.436478069293</c:v>
                </c:pt>
                <c:pt idx="5">
                  <c:v>109.91060072033</c:v>
                </c:pt>
                <c:pt idx="6">
                  <c:v>118.62173176469101</c:v>
                </c:pt>
                <c:pt idx="7">
                  <c:v>117.55215446944599</c:v>
                </c:pt>
                <c:pt idx="8">
                  <c:v>113.650645287439</c:v>
                </c:pt>
                <c:pt idx="9">
                  <c:v>103.796670971092</c:v>
                </c:pt>
                <c:pt idx="10">
                  <c:v>108.568714154684</c:v>
                </c:pt>
                <c:pt idx="11">
                  <c:v>107.831327985916</c:v>
                </c:pt>
                <c:pt idx="12">
                  <c:v>107.678133871488</c:v>
                </c:pt>
                <c:pt idx="13">
                  <c:v>95.622567687908301</c:v>
                </c:pt>
                <c:pt idx="14">
                  <c:v>94.874811899995606</c:v>
                </c:pt>
                <c:pt idx="15">
                  <c:v>105.699221013319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CFC-1745-96C6-86631C88468F}"/>
            </c:ext>
          </c:extLst>
        </c:ser>
        <c:ser>
          <c:idx val="9"/>
          <c:order val="9"/>
          <c:tx>
            <c:strRef>
              <c:f>NorthCone!$K$1:$K$2</c:f>
              <c:strCache>
                <c:ptCount val="2"/>
                <c:pt idx="0">
                  <c:v>North Cone</c:v>
                </c:pt>
              </c:strCache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NorthCone!$A$3:$A$18</c:f>
              <c:strCache>
                <c:ptCount val="16"/>
                <c:pt idx="0">
                  <c:v>AVERAGE of bf_avg</c:v>
                </c:pt>
                <c:pt idx="1">
                  <c:v>dep_yearmo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</c:strCache>
            </c:strRef>
          </c:cat>
          <c:val>
            <c:numRef>
              <c:f>NorthCone!$K$3:$K$18</c:f>
              <c:numCache>
                <c:formatCode>General</c:formatCode>
                <c:ptCount val="16"/>
                <c:pt idx="1">
                  <c:v>0</c:v>
                </c:pt>
                <c:pt idx="2">
                  <c:v>172.403719469636</c:v>
                </c:pt>
                <c:pt idx="3">
                  <c:v>150.74422729516101</c:v>
                </c:pt>
                <c:pt idx="4">
                  <c:v>140.712635335513</c:v>
                </c:pt>
                <c:pt idx="5">
                  <c:v>143.88338968446101</c:v>
                </c:pt>
                <c:pt idx="6">
                  <c:v>156.18415945218001</c:v>
                </c:pt>
                <c:pt idx="7">
                  <c:v>155.36411212342799</c:v>
                </c:pt>
                <c:pt idx="8">
                  <c:v>157.407186864366</c:v>
                </c:pt>
                <c:pt idx="9">
                  <c:v>172.66390139123601</c:v>
                </c:pt>
                <c:pt idx="10">
                  <c:v>162.69436427873799</c:v>
                </c:pt>
                <c:pt idx="11">
                  <c:v>159.216042944674</c:v>
                </c:pt>
                <c:pt idx="12">
                  <c:v>156.58611877041599</c:v>
                </c:pt>
                <c:pt idx="13">
                  <c:v>146.784052241056</c:v>
                </c:pt>
                <c:pt idx="14">
                  <c:v>171.413219024695</c:v>
                </c:pt>
                <c:pt idx="15">
                  <c:v>183.64712885544901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CFC-1745-96C6-86631C88468F}"/>
            </c:ext>
          </c:extLst>
        </c:ser>
        <c:ser>
          <c:idx val="10"/>
          <c:order val="10"/>
          <c:tx>
            <c:strRef>
              <c:f>NorthCone!$L$1:$L$2</c:f>
              <c:strCache>
                <c:ptCount val="2"/>
                <c:pt idx="0">
                  <c:v>North Cone</c:v>
                </c:pt>
              </c:strCache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strRef>
              <c:f>NorthCone!$A$3:$A$18</c:f>
              <c:strCache>
                <c:ptCount val="16"/>
                <c:pt idx="0">
                  <c:v>AVERAGE of bf_avg</c:v>
                </c:pt>
                <c:pt idx="1">
                  <c:v>dep_yearmo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</c:strCache>
            </c:strRef>
          </c:cat>
          <c:val>
            <c:numRef>
              <c:f>NorthCone!$L$3:$L$18</c:f>
              <c:numCache>
                <c:formatCode>General</c:formatCode>
                <c:ptCount val="16"/>
                <c:pt idx="1">
                  <c:v>0</c:v>
                </c:pt>
                <c:pt idx="2">
                  <c:v>211.49162812994399</c:v>
                </c:pt>
                <c:pt idx="3">
                  <c:v>189.14462465609199</c:v>
                </c:pt>
                <c:pt idx="4">
                  <c:v>175.16751093871099</c:v>
                </c:pt>
                <c:pt idx="5">
                  <c:v>179.39246368145601</c:v>
                </c:pt>
                <c:pt idx="6">
                  <c:v>193.557483343294</c:v>
                </c:pt>
                <c:pt idx="7">
                  <c:v>191.68260371895599</c:v>
                </c:pt>
                <c:pt idx="8">
                  <c:v>194.38031713026399</c:v>
                </c:pt>
                <c:pt idx="9">
                  <c:v>215.266524428515</c:v>
                </c:pt>
                <c:pt idx="10">
                  <c:v>197.417486086612</c:v>
                </c:pt>
                <c:pt idx="11">
                  <c:v>193.942563919023</c:v>
                </c:pt>
                <c:pt idx="12">
                  <c:v>191.23856853464301</c:v>
                </c:pt>
                <c:pt idx="13">
                  <c:v>180.734986536527</c:v>
                </c:pt>
                <c:pt idx="14">
                  <c:v>206.11037495672301</c:v>
                </c:pt>
                <c:pt idx="15">
                  <c:v>220.625016733135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CFC-1745-96C6-86631C88468F}"/>
            </c:ext>
          </c:extLst>
        </c:ser>
        <c:ser>
          <c:idx val="11"/>
          <c:order val="11"/>
          <c:tx>
            <c:strRef>
              <c:f>NorthCone!$M$1:$M$2</c:f>
              <c:strCache>
                <c:ptCount val="2"/>
                <c:pt idx="0">
                  <c:v>North Cone</c:v>
                </c:pt>
              </c:strCache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cat>
            <c:strRef>
              <c:f>NorthCone!$A$3:$A$18</c:f>
              <c:strCache>
                <c:ptCount val="16"/>
                <c:pt idx="0">
                  <c:v>AVERAGE of bf_avg</c:v>
                </c:pt>
                <c:pt idx="1">
                  <c:v>dep_yearmo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</c:strCache>
            </c:strRef>
          </c:cat>
          <c:val>
            <c:numRef>
              <c:f>NorthCone!$M$3:$M$18</c:f>
              <c:numCache>
                <c:formatCode>General</c:formatCode>
                <c:ptCount val="16"/>
                <c:pt idx="1">
                  <c:v>0</c:v>
                </c:pt>
                <c:pt idx="2">
                  <c:v>255.22311342675999</c:v>
                </c:pt>
                <c:pt idx="3">
                  <c:v>236.11987090641</c:v>
                </c:pt>
                <c:pt idx="4">
                  <c:v>222.46183162582</c:v>
                </c:pt>
                <c:pt idx="5">
                  <c:v>228.65575292549599</c:v>
                </c:pt>
                <c:pt idx="6">
                  <c:v>244.663393888256</c:v>
                </c:pt>
                <c:pt idx="7">
                  <c:v>243.69845021218799</c:v>
                </c:pt>
                <c:pt idx="8">
                  <c:v>247.05766860419101</c:v>
                </c:pt>
                <c:pt idx="9">
                  <c:v>271.44564672107902</c:v>
                </c:pt>
                <c:pt idx="10">
                  <c:v>250.41501863753399</c:v>
                </c:pt>
                <c:pt idx="11">
                  <c:v>246.663170791287</c:v>
                </c:pt>
                <c:pt idx="12">
                  <c:v>243.933982209997</c:v>
                </c:pt>
                <c:pt idx="13">
                  <c:v>232.67695187048199</c:v>
                </c:pt>
                <c:pt idx="14">
                  <c:v>260.97519017019999</c:v>
                </c:pt>
                <c:pt idx="15">
                  <c:v>278.23531186371599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CFC-1745-96C6-86631C88468F}"/>
            </c:ext>
          </c:extLst>
        </c:ser>
        <c:ser>
          <c:idx val="12"/>
          <c:order val="12"/>
          <c:tx>
            <c:strRef>
              <c:f>NorthCone!$N$1:$N$2</c:f>
              <c:strCache>
                <c:ptCount val="2"/>
                <c:pt idx="0">
                  <c:v>North Cone</c:v>
                </c:pt>
              </c:strCache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cat>
            <c:strRef>
              <c:f>NorthCone!$A$3:$A$18</c:f>
              <c:strCache>
                <c:ptCount val="16"/>
                <c:pt idx="0">
                  <c:v>AVERAGE of bf_avg</c:v>
                </c:pt>
                <c:pt idx="1">
                  <c:v>dep_yearmo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</c:strCache>
            </c:strRef>
          </c:cat>
          <c:val>
            <c:numRef>
              <c:f>NorthCone!$N$3:$N$18</c:f>
              <c:numCache>
                <c:formatCode>General</c:formatCode>
                <c:ptCount val="16"/>
                <c:pt idx="1">
                  <c:v>0</c:v>
                </c:pt>
                <c:pt idx="2">
                  <c:v>227.57572933089401</c:v>
                </c:pt>
                <c:pt idx="3">
                  <c:v>207.331410613835</c:v>
                </c:pt>
                <c:pt idx="4">
                  <c:v>194.51887903105199</c:v>
                </c:pt>
                <c:pt idx="5">
                  <c:v>200.01835251521601</c:v>
                </c:pt>
                <c:pt idx="6">
                  <c:v>215.36690876782501</c:v>
                </c:pt>
                <c:pt idx="7">
                  <c:v>214.05714025198</c:v>
                </c:pt>
                <c:pt idx="8">
                  <c:v>217.05306705400099</c:v>
                </c:pt>
                <c:pt idx="9">
                  <c:v>238.82772633760601</c:v>
                </c:pt>
                <c:pt idx="10">
                  <c:v>219.431937918823</c:v>
                </c:pt>
                <c:pt idx="11">
                  <c:v>216.48793162963401</c:v>
                </c:pt>
                <c:pt idx="12">
                  <c:v>214.140888185362</c:v>
                </c:pt>
                <c:pt idx="13">
                  <c:v>203.895265803472</c:v>
                </c:pt>
                <c:pt idx="14">
                  <c:v>230.291718822299</c:v>
                </c:pt>
                <c:pt idx="15">
                  <c:v>246.055843186023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CFC-1745-96C6-86631C88468F}"/>
            </c:ext>
          </c:extLst>
        </c:ser>
        <c:ser>
          <c:idx val="13"/>
          <c:order val="13"/>
          <c:tx>
            <c:strRef>
              <c:f>NorthCone!$O$1:$O$2</c:f>
              <c:strCache>
                <c:ptCount val="2"/>
                <c:pt idx="0">
                  <c:v>North Cone</c:v>
                </c:pt>
              </c:strCache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cat>
            <c:strRef>
              <c:f>NorthCone!$A$3:$A$18</c:f>
              <c:strCache>
                <c:ptCount val="16"/>
                <c:pt idx="0">
                  <c:v>AVERAGE of bf_avg</c:v>
                </c:pt>
                <c:pt idx="1">
                  <c:v>dep_yearmo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</c:strCache>
            </c:strRef>
          </c:cat>
          <c:val>
            <c:numRef>
              <c:f>NorthCone!$O$3:$O$18</c:f>
              <c:numCache>
                <c:formatCode>General</c:formatCode>
                <c:ptCount val="16"/>
                <c:pt idx="1">
                  <c:v>0</c:v>
                </c:pt>
                <c:pt idx="2">
                  <c:v>697.76344247078498</c:v>
                </c:pt>
                <c:pt idx="3">
                  <c:v>698.83867205545505</c:v>
                </c:pt>
                <c:pt idx="4">
                  <c:v>698.03355963271201</c:v>
                </c:pt>
                <c:pt idx="5">
                  <c:v>713.78969506702197</c:v>
                </c:pt>
                <c:pt idx="6">
                  <c:v>765.31831584798397</c:v>
                </c:pt>
                <c:pt idx="7">
                  <c:v>777.42753338643001</c:v>
                </c:pt>
                <c:pt idx="8">
                  <c:v>780.81449823100797</c:v>
                </c:pt>
                <c:pt idx="9">
                  <c:v>800.15201723287305</c:v>
                </c:pt>
                <c:pt idx="10">
                  <c:v>784.17792567844106</c:v>
                </c:pt>
                <c:pt idx="11">
                  <c:v>776.82800344059899</c:v>
                </c:pt>
                <c:pt idx="12">
                  <c:v>770.91225334540604</c:v>
                </c:pt>
                <c:pt idx="13">
                  <c:v>722.30571058676298</c:v>
                </c:pt>
                <c:pt idx="14">
                  <c:v>786.16203179380602</c:v>
                </c:pt>
                <c:pt idx="15">
                  <c:v>821.15446214271196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CFC-1745-96C6-86631C88468F}"/>
            </c:ext>
          </c:extLst>
        </c:ser>
        <c:ser>
          <c:idx val="14"/>
          <c:order val="14"/>
          <c:tx>
            <c:strRef>
              <c:f>NorthCone!$P$1:$P$2</c:f>
              <c:strCache>
                <c:ptCount val="2"/>
                <c:pt idx="0">
                  <c:v>North Cone</c:v>
                </c:pt>
              </c:strCache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none"/>
          </c:marker>
          <c:cat>
            <c:strRef>
              <c:f>NorthCone!$A$3:$A$18</c:f>
              <c:strCache>
                <c:ptCount val="16"/>
                <c:pt idx="0">
                  <c:v>AVERAGE of bf_avg</c:v>
                </c:pt>
                <c:pt idx="1">
                  <c:v>dep_yearmo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</c:strCache>
            </c:strRef>
          </c:cat>
          <c:val>
            <c:numRef>
              <c:f>NorthCone!$P$3:$P$18</c:f>
              <c:numCache>
                <c:formatCode>General</c:formatCode>
                <c:ptCount val="16"/>
                <c:pt idx="1">
                  <c:v>0</c:v>
                </c:pt>
                <c:pt idx="2">
                  <c:v>279.43874486723388</c:v>
                </c:pt>
                <c:pt idx="3">
                  <c:v>270.42778909554011</c:v>
                </c:pt>
                <c:pt idx="4">
                  <c:v>264.88569986586947</c:v>
                </c:pt>
                <c:pt idx="5">
                  <c:v>272.33222661409388</c:v>
                </c:pt>
                <c:pt idx="6">
                  <c:v>290.47769841334957</c:v>
                </c:pt>
                <c:pt idx="7">
                  <c:v>292.76224525434401</c:v>
                </c:pt>
                <c:pt idx="8">
                  <c:v>293.23484016107659</c:v>
                </c:pt>
                <c:pt idx="9">
                  <c:v>306.06971626013103</c:v>
                </c:pt>
                <c:pt idx="10">
                  <c:v>296.43981144717219</c:v>
                </c:pt>
                <c:pt idx="11">
                  <c:v>293.43042239782915</c:v>
                </c:pt>
                <c:pt idx="12">
                  <c:v>291.6608394117473</c:v>
                </c:pt>
                <c:pt idx="13">
                  <c:v>275.41395722220057</c:v>
                </c:pt>
                <c:pt idx="14">
                  <c:v>301.69876779038617</c:v>
                </c:pt>
                <c:pt idx="15">
                  <c:v>321.62899048232885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CFC-1745-96C6-86631C8846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4785551"/>
        <c:axId val="712076297"/>
      </c:lineChart>
      <c:catAx>
        <c:axId val="6447855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0">
                    <a:solidFill>
                      <a:schemeClr val="dk1"/>
                    </a:solidFill>
                    <a:latin typeface="+mn-lt"/>
                  </a:defRPr>
                </a:pPr>
                <a:r>
                  <a:rPr sz="1400" b="0">
                    <a:solidFill>
                      <a:schemeClr val="dk1"/>
                    </a:solidFill>
                    <a:latin typeface="+mn-lt"/>
                  </a:rPr>
                  <a:t>Departure Year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4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12076297"/>
        <c:crosses val="autoZero"/>
        <c:auto val="1"/>
        <c:lblAlgn val="ctr"/>
        <c:lblOffset val="100"/>
        <c:noMultiLvlLbl val="1"/>
      </c:catAx>
      <c:valAx>
        <c:axId val="7120762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4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4478555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1400"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lang="en-US" b="0">
                <a:solidFill>
                  <a:schemeClr val="dk1"/>
                </a:solidFill>
                <a:latin typeface="+mn-lt"/>
              </a:rPr>
              <a:t>Average Base Fare by Booking Classes on Departure  Year Month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SouthCone!$B$1:$B$2</c:f>
              <c:strCache>
                <c:ptCount val="2"/>
                <c:pt idx="0">
                  <c:v>South Cone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SouthCone!$A$3:$A$18</c:f>
              <c:strCache>
                <c:ptCount val="16"/>
                <c:pt idx="0">
                  <c:v>AVERAGE of bf_avg</c:v>
                </c:pt>
                <c:pt idx="1">
                  <c:v>dep_yearmo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</c:strCache>
            </c:strRef>
          </c:cat>
          <c:val>
            <c:numRef>
              <c:f>SouthCone!$B$3:$B$18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84.742477777688705</c:v>
                </c:pt>
                <c:pt idx="3">
                  <c:v>92.179647373450095</c:v>
                </c:pt>
                <c:pt idx="4">
                  <c:v>97.479642338152402</c:v>
                </c:pt>
                <c:pt idx="5">
                  <c:v>96.002566327166406</c:v>
                </c:pt>
                <c:pt idx="6">
                  <c:v>96.869516284826304</c:v>
                </c:pt>
                <c:pt idx="7">
                  <c:v>101.06040040875</c:v>
                </c:pt>
                <c:pt idx="8">
                  <c:v>89.076176927241704</c:v>
                </c:pt>
                <c:pt idx="9">
                  <c:v>75.906196455876398</c:v>
                </c:pt>
                <c:pt idx="10">
                  <c:v>88.064290150582806</c:v>
                </c:pt>
                <c:pt idx="11">
                  <c:v>93.268768655354293</c:v>
                </c:pt>
                <c:pt idx="12">
                  <c:v>103.130635270556</c:v>
                </c:pt>
                <c:pt idx="13">
                  <c:v>92.720529280742895</c:v>
                </c:pt>
                <c:pt idx="14">
                  <c:v>72.240288071014902</c:v>
                </c:pt>
                <c:pt idx="15">
                  <c:v>99.796261462590707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9B-BC45-BA06-3AAA2EC52C2A}"/>
            </c:ext>
          </c:extLst>
        </c:ser>
        <c:ser>
          <c:idx val="1"/>
          <c:order val="1"/>
          <c:tx>
            <c:strRef>
              <c:f>SouthCone!$C$1:$C$2</c:f>
              <c:strCache>
                <c:ptCount val="2"/>
                <c:pt idx="0">
                  <c:v>South Cone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SouthCone!$A$3:$A$18</c:f>
              <c:strCache>
                <c:ptCount val="16"/>
                <c:pt idx="0">
                  <c:v>AVERAGE of bf_avg</c:v>
                </c:pt>
                <c:pt idx="1">
                  <c:v>dep_yearmo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</c:strCache>
            </c:strRef>
          </c:cat>
          <c:val>
            <c:numRef>
              <c:f>SouthCone!$C$3:$C$18</c:f>
              <c:numCache>
                <c:formatCode>General</c:formatCode>
                <c:ptCount val="16"/>
                <c:pt idx="1">
                  <c:v>0</c:v>
                </c:pt>
                <c:pt idx="2">
                  <c:v>527.881311823592</c:v>
                </c:pt>
                <c:pt idx="3">
                  <c:v>531.77385233994096</c:v>
                </c:pt>
                <c:pt idx="4">
                  <c:v>531.18064533721702</c:v>
                </c:pt>
                <c:pt idx="5">
                  <c:v>544.87181109786002</c:v>
                </c:pt>
                <c:pt idx="6">
                  <c:v>579.73955840953204</c:v>
                </c:pt>
                <c:pt idx="7">
                  <c:v>588.46032726745398</c:v>
                </c:pt>
                <c:pt idx="8">
                  <c:v>591.44352256288198</c:v>
                </c:pt>
                <c:pt idx="9">
                  <c:v>610.16218429303399</c:v>
                </c:pt>
                <c:pt idx="10">
                  <c:v>598.40872625146801</c:v>
                </c:pt>
                <c:pt idx="11">
                  <c:v>593.41155534060101</c:v>
                </c:pt>
                <c:pt idx="12">
                  <c:v>588.81133427065402</c:v>
                </c:pt>
                <c:pt idx="13">
                  <c:v>557.30108303629004</c:v>
                </c:pt>
                <c:pt idx="14">
                  <c:v>607.88058614859403</c:v>
                </c:pt>
                <c:pt idx="15">
                  <c:v>639.86243453729196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9B-BC45-BA06-3AAA2EC52C2A}"/>
            </c:ext>
          </c:extLst>
        </c:ser>
        <c:ser>
          <c:idx val="2"/>
          <c:order val="2"/>
          <c:tx>
            <c:strRef>
              <c:f>SouthCone!$D$1:$D$2</c:f>
              <c:strCache>
                <c:ptCount val="2"/>
                <c:pt idx="0">
                  <c:v>South Cone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SouthCone!$A$3:$A$18</c:f>
              <c:strCache>
                <c:ptCount val="16"/>
                <c:pt idx="0">
                  <c:v>AVERAGE of bf_avg</c:v>
                </c:pt>
                <c:pt idx="1">
                  <c:v>dep_yearmo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</c:strCache>
            </c:strRef>
          </c:cat>
          <c:val>
            <c:numRef>
              <c:f>SouthCone!$D$3:$D$18</c:f>
              <c:numCache>
                <c:formatCode>General</c:formatCode>
                <c:ptCount val="16"/>
                <c:pt idx="1">
                  <c:v>0</c:v>
                </c:pt>
                <c:pt idx="2">
                  <c:v>77.598852266513603</c:v>
                </c:pt>
                <c:pt idx="3">
                  <c:v>72.593713891102695</c:v>
                </c:pt>
                <c:pt idx="4">
                  <c:v>69.440762730760596</c:v>
                </c:pt>
                <c:pt idx="5">
                  <c:v>76.4242555328739</c:v>
                </c:pt>
                <c:pt idx="6">
                  <c:v>83.089599197719593</c:v>
                </c:pt>
                <c:pt idx="7">
                  <c:v>80.622654574438599</c:v>
                </c:pt>
                <c:pt idx="8">
                  <c:v>75.095710935733194</c:v>
                </c:pt>
                <c:pt idx="9">
                  <c:v>68.390190887901497</c:v>
                </c:pt>
                <c:pt idx="10">
                  <c:v>72.104488620378405</c:v>
                </c:pt>
                <c:pt idx="11">
                  <c:v>70.721849702923805</c:v>
                </c:pt>
                <c:pt idx="12">
                  <c:v>72.692728913508603</c:v>
                </c:pt>
                <c:pt idx="13">
                  <c:v>64.355886437903195</c:v>
                </c:pt>
                <c:pt idx="14">
                  <c:v>61.382259017974597</c:v>
                </c:pt>
                <c:pt idx="15">
                  <c:v>67.801068207911598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9B-BC45-BA06-3AAA2EC52C2A}"/>
            </c:ext>
          </c:extLst>
        </c:ser>
        <c:ser>
          <c:idx val="3"/>
          <c:order val="3"/>
          <c:tx>
            <c:strRef>
              <c:f>SouthCone!$E$1:$E$2</c:f>
              <c:strCache>
                <c:ptCount val="2"/>
                <c:pt idx="0">
                  <c:v>South Cone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SouthCone!$A$3:$A$18</c:f>
              <c:strCache>
                <c:ptCount val="16"/>
                <c:pt idx="0">
                  <c:v>AVERAGE of bf_avg</c:v>
                </c:pt>
                <c:pt idx="1">
                  <c:v>dep_yearmo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</c:strCache>
            </c:strRef>
          </c:cat>
          <c:val>
            <c:numRef>
              <c:f>SouthCone!$E$3:$E$18</c:f>
              <c:numCache>
                <c:formatCode>General</c:formatCode>
                <c:ptCount val="16"/>
                <c:pt idx="1">
                  <c:v>0</c:v>
                </c:pt>
                <c:pt idx="2">
                  <c:v>421.584621880643</c:v>
                </c:pt>
                <c:pt idx="3">
                  <c:v>422.10263430159102</c:v>
                </c:pt>
                <c:pt idx="4">
                  <c:v>420.85933472027801</c:v>
                </c:pt>
                <c:pt idx="5">
                  <c:v>433.15203716660102</c:v>
                </c:pt>
                <c:pt idx="6">
                  <c:v>458.00773657230002</c:v>
                </c:pt>
                <c:pt idx="7">
                  <c:v>464.40075954990402</c:v>
                </c:pt>
                <c:pt idx="8">
                  <c:v>466.825255565205</c:v>
                </c:pt>
                <c:pt idx="9">
                  <c:v>486.08189006899102</c:v>
                </c:pt>
                <c:pt idx="10">
                  <c:v>474.363395075016</c:v>
                </c:pt>
                <c:pt idx="11">
                  <c:v>469.98980034848603</c:v>
                </c:pt>
                <c:pt idx="12">
                  <c:v>466.35683522453098</c:v>
                </c:pt>
                <c:pt idx="13">
                  <c:v>444.51927250867101</c:v>
                </c:pt>
                <c:pt idx="14">
                  <c:v>488.59369590184798</c:v>
                </c:pt>
                <c:pt idx="15">
                  <c:v>516.69228013723705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A9B-BC45-BA06-3AAA2EC52C2A}"/>
            </c:ext>
          </c:extLst>
        </c:ser>
        <c:ser>
          <c:idx val="4"/>
          <c:order val="4"/>
          <c:tx>
            <c:strRef>
              <c:f>SouthCone!$F$1:$F$2</c:f>
              <c:strCache>
                <c:ptCount val="2"/>
                <c:pt idx="0">
                  <c:v>South Cone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SouthCone!$A$3:$A$18</c:f>
              <c:strCache>
                <c:ptCount val="16"/>
                <c:pt idx="0">
                  <c:v>AVERAGE of bf_avg</c:v>
                </c:pt>
                <c:pt idx="1">
                  <c:v>dep_yearmo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</c:strCache>
            </c:strRef>
          </c:cat>
          <c:val>
            <c:numRef>
              <c:f>SouthCone!$F$3:$F$18</c:f>
              <c:numCache>
                <c:formatCode>General</c:formatCode>
                <c:ptCount val="16"/>
                <c:pt idx="1">
                  <c:v>0</c:v>
                </c:pt>
                <c:pt idx="2">
                  <c:v>352.78548805864301</c:v>
                </c:pt>
                <c:pt idx="3">
                  <c:v>350.80601629449302</c:v>
                </c:pt>
                <c:pt idx="4">
                  <c:v>349.57640692257399</c:v>
                </c:pt>
                <c:pt idx="5">
                  <c:v>360.45678907277102</c:v>
                </c:pt>
                <c:pt idx="6">
                  <c:v>381.44976043361299</c:v>
                </c:pt>
                <c:pt idx="7">
                  <c:v>386.43882700420301</c:v>
                </c:pt>
                <c:pt idx="8">
                  <c:v>388.33786990491097</c:v>
                </c:pt>
                <c:pt idx="9">
                  <c:v>405.827649143869</c:v>
                </c:pt>
                <c:pt idx="10">
                  <c:v>394.82709553680399</c:v>
                </c:pt>
                <c:pt idx="11">
                  <c:v>390.89905913348599</c:v>
                </c:pt>
                <c:pt idx="12">
                  <c:v>387.611845909659</c:v>
                </c:pt>
                <c:pt idx="13">
                  <c:v>370.56127719367498</c:v>
                </c:pt>
                <c:pt idx="14">
                  <c:v>409.31149455962498</c:v>
                </c:pt>
                <c:pt idx="15">
                  <c:v>433.83269880494902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A9B-BC45-BA06-3AAA2EC52C2A}"/>
            </c:ext>
          </c:extLst>
        </c:ser>
        <c:ser>
          <c:idx val="5"/>
          <c:order val="5"/>
          <c:tx>
            <c:strRef>
              <c:f>SouthCone!$G$1:$G$2</c:f>
              <c:strCache>
                <c:ptCount val="2"/>
                <c:pt idx="0">
                  <c:v>South Cone</c:v>
                </c:pt>
              </c:strCache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SouthCone!$A$3:$A$18</c:f>
              <c:strCache>
                <c:ptCount val="16"/>
                <c:pt idx="0">
                  <c:v>AVERAGE of bf_avg</c:v>
                </c:pt>
                <c:pt idx="1">
                  <c:v>dep_yearmo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</c:strCache>
            </c:strRef>
          </c:cat>
          <c:val>
            <c:numRef>
              <c:f>SouthCone!$G$3:$G$18</c:f>
              <c:numCache>
                <c:formatCode>General</c:formatCode>
                <c:ptCount val="16"/>
                <c:pt idx="1">
                  <c:v>0</c:v>
                </c:pt>
                <c:pt idx="2">
                  <c:v>272.25635728157999</c:v>
                </c:pt>
                <c:pt idx="3">
                  <c:v>258.74918626825098</c:v>
                </c:pt>
                <c:pt idx="4">
                  <c:v>253.70413235606199</c:v>
                </c:pt>
                <c:pt idx="5">
                  <c:v>261.35142227166301</c:v>
                </c:pt>
                <c:pt idx="6">
                  <c:v>277.557165158185</c:v>
                </c:pt>
                <c:pt idx="7">
                  <c:v>280.105848918937</c:v>
                </c:pt>
                <c:pt idx="8">
                  <c:v>281.690124021381</c:v>
                </c:pt>
                <c:pt idx="9">
                  <c:v>296.55635422467299</c:v>
                </c:pt>
                <c:pt idx="10">
                  <c:v>287.12167036344999</c:v>
                </c:pt>
                <c:pt idx="11">
                  <c:v>283.61080014297897</c:v>
                </c:pt>
                <c:pt idx="12">
                  <c:v>280.77753396956803</c:v>
                </c:pt>
                <c:pt idx="13">
                  <c:v>268.68522792992098</c:v>
                </c:pt>
                <c:pt idx="14">
                  <c:v>299.51891353527202</c:v>
                </c:pt>
                <c:pt idx="15">
                  <c:v>319.28687939417603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A9B-BC45-BA06-3AAA2EC52C2A}"/>
            </c:ext>
          </c:extLst>
        </c:ser>
        <c:ser>
          <c:idx val="6"/>
          <c:order val="6"/>
          <c:tx>
            <c:strRef>
              <c:f>SouthCone!$H$1:$H$2</c:f>
              <c:strCache>
                <c:ptCount val="2"/>
                <c:pt idx="0">
                  <c:v>South Cone</c:v>
                </c:pt>
              </c:strCache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SouthCone!$A$3:$A$18</c:f>
              <c:strCache>
                <c:ptCount val="16"/>
                <c:pt idx="0">
                  <c:v>AVERAGE of bf_avg</c:v>
                </c:pt>
                <c:pt idx="1">
                  <c:v>dep_yearmo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</c:strCache>
            </c:strRef>
          </c:cat>
          <c:val>
            <c:numRef>
              <c:f>SouthCone!$H$3:$H$18</c:f>
              <c:numCache>
                <c:formatCode>General</c:formatCode>
                <c:ptCount val="16"/>
                <c:pt idx="1">
                  <c:v>0</c:v>
                </c:pt>
                <c:pt idx="2">
                  <c:v>304.60094109584998</c:v>
                </c:pt>
                <c:pt idx="3">
                  <c:v>297.35591036667199</c:v>
                </c:pt>
                <c:pt idx="4">
                  <c:v>294.610507146028</c:v>
                </c:pt>
                <c:pt idx="5">
                  <c:v>303.97195562621198</c:v>
                </c:pt>
                <c:pt idx="6">
                  <c:v>322.06384346956298</c:v>
                </c:pt>
                <c:pt idx="7">
                  <c:v>325.85729168814601</c:v>
                </c:pt>
                <c:pt idx="8">
                  <c:v>327.66284999558599</c:v>
                </c:pt>
                <c:pt idx="9">
                  <c:v>343.80124112400199</c:v>
                </c:pt>
                <c:pt idx="10">
                  <c:v>333.67192719585398</c:v>
                </c:pt>
                <c:pt idx="11">
                  <c:v>330.00684920484002</c:v>
                </c:pt>
                <c:pt idx="12">
                  <c:v>327.01211970590401</c:v>
                </c:pt>
                <c:pt idx="13">
                  <c:v>313.28424053660098</c:v>
                </c:pt>
                <c:pt idx="14">
                  <c:v>347.564984658448</c:v>
                </c:pt>
                <c:pt idx="15">
                  <c:v>369.53725910721698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A9B-BC45-BA06-3AAA2EC52C2A}"/>
            </c:ext>
          </c:extLst>
        </c:ser>
        <c:ser>
          <c:idx val="7"/>
          <c:order val="7"/>
          <c:tx>
            <c:strRef>
              <c:f>SouthCone!$I$1:$I$2</c:f>
              <c:strCache>
                <c:ptCount val="2"/>
                <c:pt idx="0">
                  <c:v>South Cone</c:v>
                </c:pt>
              </c:strCache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SouthCone!$A$3:$A$18</c:f>
              <c:strCache>
                <c:ptCount val="16"/>
                <c:pt idx="0">
                  <c:v>AVERAGE of bf_avg</c:v>
                </c:pt>
                <c:pt idx="1">
                  <c:v>dep_yearmo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</c:strCache>
            </c:strRef>
          </c:cat>
          <c:val>
            <c:numRef>
              <c:f>SouthCone!$I$3:$I$18</c:f>
              <c:numCache>
                <c:formatCode>General</c:formatCode>
                <c:ptCount val="16"/>
                <c:pt idx="1">
                  <c:v>0</c:v>
                </c:pt>
                <c:pt idx="2">
                  <c:v>193.432763938844</c:v>
                </c:pt>
                <c:pt idx="3">
                  <c:v>170.578919526807</c:v>
                </c:pt>
                <c:pt idx="4">
                  <c:v>157.21747193799899</c:v>
                </c:pt>
                <c:pt idx="5">
                  <c:v>160.770080908186</c:v>
                </c:pt>
                <c:pt idx="6">
                  <c:v>174.198605196925</c:v>
                </c:pt>
                <c:pt idx="7">
                  <c:v>171.943329986555</c:v>
                </c:pt>
                <c:pt idx="8">
                  <c:v>174.79286917086301</c:v>
                </c:pt>
                <c:pt idx="9">
                  <c:v>196.097834361087</c:v>
                </c:pt>
                <c:pt idx="10">
                  <c:v>178.89032031202501</c:v>
                </c:pt>
                <c:pt idx="11">
                  <c:v>175.148190329805</c:v>
                </c:pt>
                <c:pt idx="12">
                  <c:v>172.36877358276999</c:v>
                </c:pt>
                <c:pt idx="13">
                  <c:v>162.34834946079599</c:v>
                </c:pt>
                <c:pt idx="14">
                  <c:v>187.46318050491101</c:v>
                </c:pt>
                <c:pt idx="15">
                  <c:v>200.58000130687699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A9B-BC45-BA06-3AAA2EC52C2A}"/>
            </c:ext>
          </c:extLst>
        </c:ser>
        <c:ser>
          <c:idx val="8"/>
          <c:order val="8"/>
          <c:tx>
            <c:strRef>
              <c:f>SouthCone!$J$1:$J$2</c:f>
              <c:strCache>
                <c:ptCount val="2"/>
                <c:pt idx="0">
                  <c:v>South Cone</c:v>
                </c:pt>
              </c:strCache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SouthCone!$A$3:$A$18</c:f>
              <c:strCache>
                <c:ptCount val="16"/>
                <c:pt idx="0">
                  <c:v>AVERAGE of bf_avg</c:v>
                </c:pt>
                <c:pt idx="1">
                  <c:v>dep_yearmo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</c:strCache>
            </c:strRef>
          </c:cat>
          <c:val>
            <c:numRef>
              <c:f>SouthCone!$J$3:$J$18</c:f>
              <c:numCache>
                <c:formatCode>General</c:formatCode>
                <c:ptCount val="16"/>
                <c:pt idx="1">
                  <c:v>0</c:v>
                </c:pt>
                <c:pt idx="2">
                  <c:v>112.801981189901</c:v>
                </c:pt>
                <c:pt idx="3">
                  <c:v>107.6703614483</c:v>
                </c:pt>
                <c:pt idx="4">
                  <c:v>103.436478069293</c:v>
                </c:pt>
                <c:pt idx="5">
                  <c:v>109.91060072033</c:v>
                </c:pt>
                <c:pt idx="6">
                  <c:v>118.62173176469101</c:v>
                </c:pt>
                <c:pt idx="7">
                  <c:v>117.55215446944599</c:v>
                </c:pt>
                <c:pt idx="8">
                  <c:v>113.650645287439</c:v>
                </c:pt>
                <c:pt idx="9">
                  <c:v>103.796670971092</c:v>
                </c:pt>
                <c:pt idx="10">
                  <c:v>108.568714154684</c:v>
                </c:pt>
                <c:pt idx="11">
                  <c:v>107.831327985916</c:v>
                </c:pt>
                <c:pt idx="12">
                  <c:v>107.678133871488</c:v>
                </c:pt>
                <c:pt idx="13">
                  <c:v>95.622567687908301</c:v>
                </c:pt>
                <c:pt idx="14">
                  <c:v>94.874811899995606</c:v>
                </c:pt>
                <c:pt idx="15">
                  <c:v>105.699221013319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A9B-BC45-BA06-3AAA2EC52C2A}"/>
            </c:ext>
          </c:extLst>
        </c:ser>
        <c:ser>
          <c:idx val="9"/>
          <c:order val="9"/>
          <c:tx>
            <c:strRef>
              <c:f>SouthCone!$K$1:$K$2</c:f>
              <c:strCache>
                <c:ptCount val="2"/>
                <c:pt idx="0">
                  <c:v>South Cone</c:v>
                </c:pt>
              </c:strCache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SouthCone!$A$3:$A$18</c:f>
              <c:strCache>
                <c:ptCount val="16"/>
                <c:pt idx="0">
                  <c:v>AVERAGE of bf_avg</c:v>
                </c:pt>
                <c:pt idx="1">
                  <c:v>dep_yearmo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</c:strCache>
            </c:strRef>
          </c:cat>
          <c:val>
            <c:numRef>
              <c:f>SouthCone!$K$3:$K$18</c:f>
              <c:numCache>
                <c:formatCode>General</c:formatCode>
                <c:ptCount val="16"/>
                <c:pt idx="1">
                  <c:v>0</c:v>
                </c:pt>
                <c:pt idx="2">
                  <c:v>172.403719469636</c:v>
                </c:pt>
                <c:pt idx="3">
                  <c:v>150.74422729516101</c:v>
                </c:pt>
                <c:pt idx="4">
                  <c:v>140.712635335513</c:v>
                </c:pt>
                <c:pt idx="5">
                  <c:v>143.88338968446101</c:v>
                </c:pt>
                <c:pt idx="6">
                  <c:v>156.18415945218001</c:v>
                </c:pt>
                <c:pt idx="7">
                  <c:v>155.36411212342799</c:v>
                </c:pt>
                <c:pt idx="8">
                  <c:v>157.407186864366</c:v>
                </c:pt>
                <c:pt idx="9">
                  <c:v>172.66390139123601</c:v>
                </c:pt>
                <c:pt idx="10">
                  <c:v>162.69436427873799</c:v>
                </c:pt>
                <c:pt idx="11">
                  <c:v>159.216042944674</c:v>
                </c:pt>
                <c:pt idx="12">
                  <c:v>156.58611877041599</c:v>
                </c:pt>
                <c:pt idx="13">
                  <c:v>146.784052241056</c:v>
                </c:pt>
                <c:pt idx="14">
                  <c:v>171.413219024695</c:v>
                </c:pt>
                <c:pt idx="15">
                  <c:v>183.64712885544901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A9B-BC45-BA06-3AAA2EC52C2A}"/>
            </c:ext>
          </c:extLst>
        </c:ser>
        <c:ser>
          <c:idx val="10"/>
          <c:order val="10"/>
          <c:tx>
            <c:strRef>
              <c:f>SouthCone!$L$1:$L$2</c:f>
              <c:strCache>
                <c:ptCount val="2"/>
                <c:pt idx="0">
                  <c:v>South Cone</c:v>
                </c:pt>
              </c:strCache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strRef>
              <c:f>SouthCone!$A$3:$A$18</c:f>
              <c:strCache>
                <c:ptCount val="16"/>
                <c:pt idx="0">
                  <c:v>AVERAGE of bf_avg</c:v>
                </c:pt>
                <c:pt idx="1">
                  <c:v>dep_yearmo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</c:strCache>
            </c:strRef>
          </c:cat>
          <c:val>
            <c:numRef>
              <c:f>SouthCone!$L$3:$L$18</c:f>
              <c:numCache>
                <c:formatCode>General</c:formatCode>
                <c:ptCount val="16"/>
                <c:pt idx="1">
                  <c:v>0</c:v>
                </c:pt>
                <c:pt idx="2">
                  <c:v>211.49162812994399</c:v>
                </c:pt>
                <c:pt idx="3">
                  <c:v>189.14462465609199</c:v>
                </c:pt>
                <c:pt idx="4">
                  <c:v>175.16751093871099</c:v>
                </c:pt>
                <c:pt idx="5">
                  <c:v>179.39246368145601</c:v>
                </c:pt>
                <c:pt idx="6">
                  <c:v>193.557483343294</c:v>
                </c:pt>
                <c:pt idx="7">
                  <c:v>191.68260371895599</c:v>
                </c:pt>
                <c:pt idx="8">
                  <c:v>194.38031713026399</c:v>
                </c:pt>
                <c:pt idx="9">
                  <c:v>215.266524428515</c:v>
                </c:pt>
                <c:pt idx="10">
                  <c:v>197.417486086612</c:v>
                </c:pt>
                <c:pt idx="11">
                  <c:v>193.942563919023</c:v>
                </c:pt>
                <c:pt idx="12">
                  <c:v>191.23856853464301</c:v>
                </c:pt>
                <c:pt idx="13">
                  <c:v>180.734986536527</c:v>
                </c:pt>
                <c:pt idx="14">
                  <c:v>206.11037495672301</c:v>
                </c:pt>
                <c:pt idx="15">
                  <c:v>220.625016733135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A9B-BC45-BA06-3AAA2EC52C2A}"/>
            </c:ext>
          </c:extLst>
        </c:ser>
        <c:ser>
          <c:idx val="11"/>
          <c:order val="11"/>
          <c:tx>
            <c:strRef>
              <c:f>SouthCone!$M$1:$M$2</c:f>
              <c:strCache>
                <c:ptCount val="2"/>
                <c:pt idx="0">
                  <c:v>South Cone</c:v>
                </c:pt>
              </c:strCache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cat>
            <c:strRef>
              <c:f>SouthCone!$A$3:$A$18</c:f>
              <c:strCache>
                <c:ptCount val="16"/>
                <c:pt idx="0">
                  <c:v>AVERAGE of bf_avg</c:v>
                </c:pt>
                <c:pt idx="1">
                  <c:v>dep_yearmo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</c:strCache>
            </c:strRef>
          </c:cat>
          <c:val>
            <c:numRef>
              <c:f>SouthCone!$M$3:$M$18</c:f>
              <c:numCache>
                <c:formatCode>General</c:formatCode>
                <c:ptCount val="16"/>
                <c:pt idx="1">
                  <c:v>0</c:v>
                </c:pt>
                <c:pt idx="2">
                  <c:v>255.22311342675999</c:v>
                </c:pt>
                <c:pt idx="3">
                  <c:v>236.11987090641</c:v>
                </c:pt>
                <c:pt idx="4">
                  <c:v>222.46183162582</c:v>
                </c:pt>
                <c:pt idx="5">
                  <c:v>228.65575292549599</c:v>
                </c:pt>
                <c:pt idx="6">
                  <c:v>244.663393888256</c:v>
                </c:pt>
                <c:pt idx="7">
                  <c:v>243.69845021218799</c:v>
                </c:pt>
                <c:pt idx="8">
                  <c:v>247.05766860419101</c:v>
                </c:pt>
                <c:pt idx="9">
                  <c:v>271.44564672107902</c:v>
                </c:pt>
                <c:pt idx="10">
                  <c:v>250.41501863753399</c:v>
                </c:pt>
                <c:pt idx="11">
                  <c:v>246.663170791287</c:v>
                </c:pt>
                <c:pt idx="12">
                  <c:v>243.933982209997</c:v>
                </c:pt>
                <c:pt idx="13">
                  <c:v>232.67695187048199</c:v>
                </c:pt>
                <c:pt idx="14">
                  <c:v>260.97519017019999</c:v>
                </c:pt>
                <c:pt idx="15">
                  <c:v>278.23531186371599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A9B-BC45-BA06-3AAA2EC52C2A}"/>
            </c:ext>
          </c:extLst>
        </c:ser>
        <c:ser>
          <c:idx val="12"/>
          <c:order val="12"/>
          <c:tx>
            <c:strRef>
              <c:f>SouthCone!$N$1:$N$2</c:f>
              <c:strCache>
                <c:ptCount val="2"/>
                <c:pt idx="0">
                  <c:v>South Cone</c:v>
                </c:pt>
              </c:strCache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cat>
            <c:strRef>
              <c:f>SouthCone!$A$3:$A$18</c:f>
              <c:strCache>
                <c:ptCount val="16"/>
                <c:pt idx="0">
                  <c:v>AVERAGE of bf_avg</c:v>
                </c:pt>
                <c:pt idx="1">
                  <c:v>dep_yearmo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</c:strCache>
            </c:strRef>
          </c:cat>
          <c:val>
            <c:numRef>
              <c:f>SouthCone!$N$3:$N$18</c:f>
              <c:numCache>
                <c:formatCode>General</c:formatCode>
                <c:ptCount val="16"/>
                <c:pt idx="1">
                  <c:v>0</c:v>
                </c:pt>
                <c:pt idx="2">
                  <c:v>227.57572933089401</c:v>
                </c:pt>
                <c:pt idx="3">
                  <c:v>207.331410613835</c:v>
                </c:pt>
                <c:pt idx="4">
                  <c:v>194.51887903105199</c:v>
                </c:pt>
                <c:pt idx="5">
                  <c:v>200.01835251521601</c:v>
                </c:pt>
                <c:pt idx="6">
                  <c:v>215.36690876782501</c:v>
                </c:pt>
                <c:pt idx="7">
                  <c:v>214.05714025198</c:v>
                </c:pt>
                <c:pt idx="8">
                  <c:v>217.05306705400099</c:v>
                </c:pt>
                <c:pt idx="9">
                  <c:v>238.82772633760601</c:v>
                </c:pt>
                <c:pt idx="10">
                  <c:v>219.431937918823</c:v>
                </c:pt>
                <c:pt idx="11">
                  <c:v>216.48793162963401</c:v>
                </c:pt>
                <c:pt idx="12">
                  <c:v>214.140888185362</c:v>
                </c:pt>
                <c:pt idx="13">
                  <c:v>203.895265803472</c:v>
                </c:pt>
                <c:pt idx="14">
                  <c:v>230.291718822299</c:v>
                </c:pt>
                <c:pt idx="15">
                  <c:v>246.055843186023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A9B-BC45-BA06-3AAA2EC52C2A}"/>
            </c:ext>
          </c:extLst>
        </c:ser>
        <c:ser>
          <c:idx val="13"/>
          <c:order val="13"/>
          <c:tx>
            <c:strRef>
              <c:f>SouthCone!$O$1:$O$2</c:f>
              <c:strCache>
                <c:ptCount val="2"/>
                <c:pt idx="0">
                  <c:v>South Cone</c:v>
                </c:pt>
              </c:strCache>
            </c:strRef>
          </c:tx>
          <c:spPr>
            <a:ln cmpd="sng">
              <a:solidFill>
                <a:srgbClr val="F7B4AE"/>
              </a:solidFill>
            </a:ln>
          </c:spPr>
          <c:marker>
            <c:symbol val="none"/>
          </c:marker>
          <c:cat>
            <c:strRef>
              <c:f>SouthCone!$A$3:$A$18</c:f>
              <c:strCache>
                <c:ptCount val="16"/>
                <c:pt idx="0">
                  <c:v>AVERAGE of bf_avg</c:v>
                </c:pt>
                <c:pt idx="1">
                  <c:v>dep_yearmo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</c:strCache>
            </c:strRef>
          </c:cat>
          <c:val>
            <c:numRef>
              <c:f>SouthCone!$O$3:$O$18</c:f>
              <c:numCache>
                <c:formatCode>General</c:formatCode>
                <c:ptCount val="16"/>
                <c:pt idx="1">
                  <c:v>0</c:v>
                </c:pt>
                <c:pt idx="2">
                  <c:v>697.76344247078498</c:v>
                </c:pt>
                <c:pt idx="3">
                  <c:v>698.83867205545505</c:v>
                </c:pt>
                <c:pt idx="4">
                  <c:v>698.03355963271201</c:v>
                </c:pt>
                <c:pt idx="5">
                  <c:v>713.78969506702197</c:v>
                </c:pt>
                <c:pt idx="6">
                  <c:v>765.31831584798397</c:v>
                </c:pt>
                <c:pt idx="7">
                  <c:v>777.42753338643001</c:v>
                </c:pt>
                <c:pt idx="8">
                  <c:v>780.81449823100797</c:v>
                </c:pt>
                <c:pt idx="9">
                  <c:v>800.15201723287305</c:v>
                </c:pt>
                <c:pt idx="10">
                  <c:v>784.17792567844106</c:v>
                </c:pt>
                <c:pt idx="11">
                  <c:v>776.82800344059899</c:v>
                </c:pt>
                <c:pt idx="12">
                  <c:v>770.91225334540604</c:v>
                </c:pt>
                <c:pt idx="13">
                  <c:v>722.30571058676298</c:v>
                </c:pt>
                <c:pt idx="14">
                  <c:v>786.16203179380602</c:v>
                </c:pt>
                <c:pt idx="15">
                  <c:v>821.15446214271196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A9B-BC45-BA06-3AAA2EC52C2A}"/>
            </c:ext>
          </c:extLst>
        </c:ser>
        <c:ser>
          <c:idx val="14"/>
          <c:order val="14"/>
          <c:tx>
            <c:strRef>
              <c:f>SouthCone!$P$1:$P$2</c:f>
              <c:strCache>
                <c:ptCount val="2"/>
                <c:pt idx="0">
                  <c:v>South Cone</c:v>
                </c:pt>
              </c:strCache>
            </c:strRef>
          </c:tx>
          <c:spPr>
            <a:ln cmpd="sng">
              <a:solidFill>
                <a:srgbClr val="FDE49B"/>
              </a:solidFill>
            </a:ln>
          </c:spPr>
          <c:marker>
            <c:symbol val="none"/>
          </c:marker>
          <c:cat>
            <c:strRef>
              <c:f>SouthCone!$A$3:$A$18</c:f>
              <c:strCache>
                <c:ptCount val="16"/>
                <c:pt idx="0">
                  <c:v>AVERAGE of bf_avg</c:v>
                </c:pt>
                <c:pt idx="1">
                  <c:v>dep_yearmo</c:v>
                </c:pt>
                <c:pt idx="2">
                  <c:v>2021-12</c:v>
                </c:pt>
                <c:pt idx="3">
                  <c:v>2022-01</c:v>
                </c:pt>
                <c:pt idx="4">
                  <c:v>2022-02</c:v>
                </c:pt>
                <c:pt idx="5">
                  <c:v>2022-03</c:v>
                </c:pt>
                <c:pt idx="6">
                  <c:v>2022-04</c:v>
                </c:pt>
                <c:pt idx="7">
                  <c:v>2022-05</c:v>
                </c:pt>
                <c:pt idx="8">
                  <c:v>2022-06</c:v>
                </c:pt>
                <c:pt idx="9">
                  <c:v>2022-07</c:v>
                </c:pt>
                <c:pt idx="10">
                  <c:v>2022-08</c:v>
                </c:pt>
                <c:pt idx="11">
                  <c:v>2022-09</c:v>
                </c:pt>
                <c:pt idx="12">
                  <c:v>2022-10</c:v>
                </c:pt>
                <c:pt idx="13">
                  <c:v>2022-11</c:v>
                </c:pt>
                <c:pt idx="14">
                  <c:v>2022-12</c:v>
                </c:pt>
                <c:pt idx="15">
                  <c:v>2023-01</c:v>
                </c:pt>
              </c:strCache>
            </c:strRef>
          </c:cat>
          <c:val>
            <c:numRef>
              <c:f>SouthCone!$P$3:$P$18</c:f>
              <c:numCache>
                <c:formatCode>General</c:formatCode>
                <c:ptCount val="16"/>
                <c:pt idx="1">
                  <c:v>0</c:v>
                </c:pt>
                <c:pt idx="2">
                  <c:v>279.43874486723388</c:v>
                </c:pt>
                <c:pt idx="3">
                  <c:v>270.42778909554011</c:v>
                </c:pt>
                <c:pt idx="4">
                  <c:v>264.88569986586947</c:v>
                </c:pt>
                <c:pt idx="5">
                  <c:v>272.33222661409388</c:v>
                </c:pt>
                <c:pt idx="6">
                  <c:v>290.47769841334957</c:v>
                </c:pt>
                <c:pt idx="7">
                  <c:v>292.76224525434401</c:v>
                </c:pt>
                <c:pt idx="8">
                  <c:v>293.23484016107659</c:v>
                </c:pt>
                <c:pt idx="9">
                  <c:v>306.06971626013103</c:v>
                </c:pt>
                <c:pt idx="10">
                  <c:v>296.43981144717219</c:v>
                </c:pt>
                <c:pt idx="11">
                  <c:v>293.43042239782915</c:v>
                </c:pt>
                <c:pt idx="12">
                  <c:v>291.6608394117473</c:v>
                </c:pt>
                <c:pt idx="13">
                  <c:v>275.41395722220057</c:v>
                </c:pt>
                <c:pt idx="14">
                  <c:v>301.69876779038617</c:v>
                </c:pt>
                <c:pt idx="15">
                  <c:v>321.62899048232885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A9B-BC45-BA06-3AAA2EC52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4053676"/>
        <c:axId val="1800100629"/>
      </c:lineChart>
      <c:catAx>
        <c:axId val="5340536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0">
                    <a:solidFill>
                      <a:schemeClr val="dk1"/>
                    </a:solidFill>
                    <a:latin typeface="+mn-lt"/>
                  </a:defRPr>
                </a:pPr>
                <a:r>
                  <a:rPr lang="en-US" sz="1400" b="0">
                    <a:solidFill>
                      <a:schemeClr val="dk1"/>
                    </a:solidFill>
                    <a:latin typeface="+mn-lt"/>
                  </a:rPr>
                  <a:t>Departure Year 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4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00100629"/>
        <c:crosses val="autoZero"/>
        <c:auto val="1"/>
        <c:lblAlgn val="ctr"/>
        <c:lblOffset val="100"/>
        <c:noMultiLvlLbl val="1"/>
      </c:catAx>
      <c:valAx>
        <c:axId val="18001006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400"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3405367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1400"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</cx:chartData>
  <cx:chart>
    <cx:title pos="t" align="ctr" overlay="0">
      <cx:tx>
        <cx:txData>
          <cx:v>base fare comparison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base fare comparison</a:t>
          </a:r>
        </a:p>
      </cx:txPr>
    </cx:title>
    <cx:plotArea>
      <cx:plotAreaRegion>
        <cx:series layoutId="boxWhisker" uniqueId="{357E4206-D74C-FB4B-AE3D-DBA05817ED50}">
          <cx:tx>
            <cx:txData>
              <cx:f>_xlchart.v1.0</cx:f>
              <cx:v>bf_min</cx:v>
            </cx:txData>
          </cx:tx>
          <cx:dataId val="0"/>
          <cx:layoutPr>
            <cx:visibility meanLine="0" meanMarker="0" nonoutliers="0" outliers="1"/>
            <cx:statistics quartileMethod="exclusive"/>
          </cx:layoutPr>
        </cx:series>
        <cx:series layoutId="boxWhisker" uniqueId="{91E42ED2-33D4-CA40-A89F-DD479263E2D0}">
          <cx:tx>
            <cx:txData>
              <cx:f>_xlchart.v1.2</cx:f>
              <cx:v>bf_avg</cx:v>
            </cx:txData>
          </cx:tx>
          <cx:dataId val="1"/>
          <cx:layoutPr>
            <cx:visibility meanLine="0" meanMarker="0" nonoutliers="0" outliers="1"/>
            <cx:statistics quartileMethod="exclusive"/>
          </cx:layoutPr>
        </cx:series>
        <cx:series layoutId="boxWhisker" uniqueId="{E261E5F5-0BC4-0943-910C-B4513487AED7}">
          <cx:tx>
            <cx:txData>
              <cx:f>_xlchart.v1.4</cx:f>
              <cx:v>bf_max</cx:v>
            </cx:txData>
          </cx:tx>
          <cx:dataId val="2"/>
          <cx:layoutPr>
            <cx:visibility meanLine="0" meanMarker="0" nonoutliers="0" outliers="1"/>
            <cx:statistics quartileMethod="exclusive"/>
          </cx:layoutPr>
        </cx:series>
      </cx:plotAreaRegion>
      <cx:axis id="0">
        <cx:catScaling gapWidth="1.10000002"/>
        <cx:tickLabels/>
      </cx:axis>
      <cx:axis id="1">
        <cx:valScaling/>
        <cx:tickLabels/>
        <cx:numFmt formatCode="General" sourceLinked="0"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25000"/>
            <a:lumOff val="7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25000"/>
            <a:lumOff val="75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cap="all" spc="15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50800</xdr:colOff>
      <xdr:row>32</xdr:row>
      <xdr:rowOff>146050</xdr:rowOff>
    </xdr:from>
    <xdr:to>
      <xdr:col>9</xdr:col>
      <xdr:colOff>190500</xdr:colOff>
      <xdr:row>54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9D69F3-507C-9B4C-9DF2-CC6C2C7C35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736600</xdr:colOff>
      <xdr:row>32</xdr:row>
      <xdr:rowOff>6350</xdr:rowOff>
    </xdr:from>
    <xdr:to>
      <xdr:col>16</xdr:col>
      <xdr:colOff>165100</xdr:colOff>
      <xdr:row>52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29B79A-FC3F-DE42-B1A3-30B0AC8070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336826</xdr:colOff>
      <xdr:row>0</xdr:row>
      <xdr:rowOff>143426</xdr:rowOff>
    </xdr:from>
    <xdr:to>
      <xdr:col>15</xdr:col>
      <xdr:colOff>77304</xdr:colOff>
      <xdr:row>14</xdr:row>
      <xdr:rowOff>180974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8E1A109-CC90-4C45-8510-11049EB816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99869" y="143426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609600</xdr:colOff>
      <xdr:row>1</xdr:row>
      <xdr:rowOff>114300</xdr:rowOff>
    </xdr:from>
    <xdr:to>
      <xdr:col>16</xdr:col>
      <xdr:colOff>609600</xdr:colOff>
      <xdr:row>11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A823AA-2135-E342-90E7-2D18DF4DBE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177800</xdr:colOff>
      <xdr:row>18</xdr:row>
      <xdr:rowOff>88900</xdr:rowOff>
    </xdr:from>
    <xdr:to>
      <xdr:col>16</xdr:col>
      <xdr:colOff>177800</xdr:colOff>
      <xdr:row>28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39950F-4424-D04F-A395-6A09EC36F4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88900</xdr:colOff>
      <xdr:row>30</xdr:row>
      <xdr:rowOff>76200</xdr:rowOff>
    </xdr:from>
    <xdr:to>
      <xdr:col>16</xdr:col>
      <xdr:colOff>88900</xdr:colOff>
      <xdr:row>40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F500050-AEE6-8042-A080-259F80EB24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279400</xdr:colOff>
      <xdr:row>13</xdr:row>
      <xdr:rowOff>57150</xdr:rowOff>
    </xdr:from>
    <xdr:to>
      <xdr:col>6</xdr:col>
      <xdr:colOff>558800</xdr:colOff>
      <xdr:row>34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4C8538-FDBA-1E42-96D4-F3C3170CE7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276225</xdr:colOff>
      <xdr:row>22</xdr:row>
      <xdr:rowOff>95250</xdr:rowOff>
    </xdr:from>
    <xdr:ext cx="10963275" cy="67722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276225</xdr:colOff>
      <xdr:row>22</xdr:row>
      <xdr:rowOff>95250</xdr:rowOff>
    </xdr:from>
    <xdr:ext cx="10963275" cy="6772275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276225</xdr:colOff>
      <xdr:row>22</xdr:row>
      <xdr:rowOff>95250</xdr:rowOff>
    </xdr:from>
    <xdr:ext cx="10963275" cy="6772275"/>
    <xdr:graphicFrame macro="">
      <xdr:nvGraphicFramePr>
        <xdr:cNvPr id="3" name="Chart 3" title="Cha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276225</xdr:colOff>
      <xdr:row>22</xdr:row>
      <xdr:rowOff>95250</xdr:rowOff>
    </xdr:from>
    <xdr:ext cx="10963275" cy="6772275"/>
    <xdr:graphicFrame macro="">
      <xdr:nvGraphicFramePr>
        <xdr:cNvPr id="4" name="Chart 4" title="Chart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276225</xdr:colOff>
      <xdr:row>22</xdr:row>
      <xdr:rowOff>95250</xdr:rowOff>
    </xdr:from>
    <xdr:ext cx="10963275" cy="6772275"/>
    <xdr:graphicFrame macro="">
      <xdr:nvGraphicFramePr>
        <xdr:cNvPr id="5" name="Chart 5" title="Chart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4736.434656134261" createdVersion="7" refreshedVersion="7" minRefreshableVersion="3" recordCount="723" xr:uid="{193B81D4-DF02-3649-A76B-2BD898A2C2DB}">
  <cacheSource type="worksheet">
    <worksheetSource ref="A1:F724" sheet="data source"/>
  </cacheSource>
  <cacheFields count="6">
    <cacheField name="dep_yearmo" numFmtId="0">
      <sharedItems containsSemiMixedTypes="0" containsNonDate="0" containsDate="1" containsString="0" minDate="2021-12-01T00:00:00" maxDate="2023-03-02T00:00:00" count="16">
        <d v="2023-03-01T00:00:00"/>
        <d v="2022-09-01T00:00:00"/>
        <d v="2022-04-01T00:00:00"/>
        <d v="2022-06-01T00:00:00"/>
        <d v="2022-05-01T00:00:00"/>
        <d v="2022-03-01T00:00:00"/>
        <d v="2023-01-01T00:00:00"/>
        <d v="2022-12-01T00:00:00"/>
        <d v="2022-01-01T00:00:00"/>
        <d v="2022-07-01T00:00:00"/>
        <d v="2022-10-01T00:00:00"/>
        <d v="2021-12-01T00:00:00"/>
        <d v="2022-11-01T00:00:00"/>
        <d v="2022-02-01T00:00:00"/>
        <d v="2023-02-01T00:00:00"/>
        <d v="2022-08-01T00:00:00"/>
      </sharedItems>
    </cacheField>
    <cacheField name="region" numFmtId="0">
      <sharedItems count="5">
        <s v="Others"/>
        <s v="South Cone"/>
        <s v="North Cone"/>
        <s v="Long Haul"/>
        <s v="Domestic Brazil"/>
      </sharedItems>
    </cacheField>
    <cacheField name="booking_class" numFmtId="0">
      <sharedItems/>
    </cacheField>
    <cacheField name="bf_min" numFmtId="0">
      <sharedItems containsSemiMixedTypes="0" containsString="0" containsNumber="1" minValue="1" maxValue="216.24761962890599"/>
    </cacheField>
    <cacheField name="bf_avg" numFmtId="0">
      <sharedItems containsSemiMixedTypes="0" containsString="0" containsNumber="1" minValue="61.382259017974597" maxValue="833.76816607819899" count="151">
        <n v="547.52577971592802"/>
        <n v="812.49295312482695"/>
        <n v="428.890569284153"/>
        <n v="216.48793162963401"/>
        <n v="174.198605196925"/>
        <n v="194.38031713026399"/>
        <n v="80.622654574438599"/>
        <n v="544.87181109786002"/>
        <n v="247.05766860419101"/>
        <n v="381.44976043361299"/>
        <n v="389.51733800494901"/>
        <n v="516.69228013723705"/>
        <n v="157.407186864366"/>
        <n v="607.88058614859403"/>
        <n v="156.18415945218001"/>
        <n v="150.74422729516101"/>
        <n v="215.266524428515"/>
        <n v="103.130635270556"/>
        <n v="780.81449823100797"/>
        <n v="118.62173176469101"/>
        <n v="466.35683522453098"/>
        <n v="588.81133427065402"/>
        <n v="243.69845021218799"/>
        <n v="84.742477777688705"/>
        <n v="388.33786990491097"/>
        <n v="193.942563919023"/>
        <n v="75.906196455876398"/>
        <n v="89.076176927241704"/>
        <n v="174.79286917086301"/>
        <n v="557.30108303629004"/>
        <n v="211.49162812994399"/>
        <n v="527.881311823592"/>
        <n v="228.65575292549599"/>
        <n v="352.78548805864301"/>
        <n v="180.734986536527"/>
        <n v="157.21747193799899"/>
        <n v="162.34834946079599"/>
        <n v="588.46032726745398"/>
        <n v="304.60094109584998"/>
        <n v="462.55554496444699"/>
        <n v="280.77753396956803"/>
        <n v="698.03355963271201"/>
        <n v="159.216042944674"/>
        <n v="821.15446214271196"/>
        <n v="170.578919526807"/>
        <n v="75.095710935733194"/>
        <n v="83.089599197719593"/>
        <n v="486.08189006899102"/>
        <n v="786.16203179380602"/>
        <n v="175.16751093871099"/>
        <n v="245.531769078389"/>
        <n v="322.06384346956298"/>
        <n v="96.869516284826304"/>
        <n v="598.40872625146801"/>
        <n v="197.417486086612"/>
        <n v="179.39246368145601"/>
        <n v="200.01835251521601"/>
        <n v="784.17792567844106"/>
        <n v="311.709751163097"/>
        <n v="220.625016733135"/>
        <n v="350.80601629449302"/>
        <n v="319.28687939417603"/>
        <n v="109.91060072033"/>
        <n v="313.28424053660098"/>
        <n v="246.055843186023"/>
        <n v="464.40075954990402"/>
        <n v="325.85729168814601"/>
        <n v="227.57572933089401"/>
        <n v="77.598852266513603"/>
        <n v="593.41155534060101"/>
        <n v="191.68260371895599"/>
        <n v="61.382259017974597"/>
        <n v="108.568714154684"/>
        <n v="303.97195562621198"/>
        <n v="107.6703614483"/>
        <n v="143.88338968446101"/>
        <n v="255.22311342675999"/>
        <n v="218.13960382753299"/>
        <n v="591.44352256288198"/>
        <n v="330.00684920484002"/>
        <n v="420.85933472027801"/>
        <n v="82.441619359259306"/>
        <n v="156.58611877041599"/>
        <n v="95.622567687908301"/>
        <n v="219.431937918823"/>
        <n v="277.557165158185"/>
        <n v="469.98980034848603"/>
        <n v="99.796261462590707"/>
        <n v="369.53725910721698"/>
        <n v="215.36690876782501"/>
        <n v="432.41368559216602"/>
        <n v="191.23856853464301"/>
        <n v="444.51927250867101"/>
        <n v="405.827649143869"/>
        <n v="196.097834361087"/>
        <n v="327.01211970590401"/>
        <n v="579.73955840953204"/>
        <n v="189.14462465609199"/>
        <n v="390.89905913348599"/>
        <n v="488.59369590184798"/>
        <n v="387.611845909659"/>
        <n v="183.64712885544901"/>
        <n v="236.11987090641"/>
        <n v="294.610507146028"/>
        <n v="114.481683331882"/>
        <n v="72.104488620378405"/>
        <n v="246.663170791287"/>
        <n v="217.05306705400099"/>
        <n v="175.148190329805"/>
        <n v="360.45678907277102"/>
        <n v="117.55215446944599"/>
        <n v="197.900212835508"/>
        <n v="833.76816607819899"/>
        <n v="171.413219024695"/>
        <n v="206.11037495672301"/>
        <n v="260.97519017019999"/>
        <n v="180.40723950854701"/>
        <n v="344.68717840331999"/>
        <n v="172.36877358276999"/>
        <n v="327.66284999558599"/>
        <n v="698.83867205545505"/>
        <n v="278.23531186371599"/>
        <n v="458.00773657230002"/>
        <n v="347.564984658448"/>
        <n v="187.46318050491101"/>
        <n v="422.10263430159102"/>
        <n v="107.678133871488"/>
        <n v="103.436478069293"/>
        <n v="131.22857443211601"/>
        <n v="281.690124021381"/>
        <n v="93.268768655354293"/>
        <n v="214.05714025198"/>
        <n v="368.491174756536"/>
        <n v="770.91225334540604"/>
        <n v="272.25635728157999"/>
        <n v="193.557483343294"/>
        <n v="230.291718822299"/>
        <n v="160.770080908186"/>
        <n v="386.43882700420301"/>
        <n v="72.692728913508603"/>
        <n v="178.89032031202501"/>
        <n v="101.06040040875"/>
        <n v="92.720529280742895"/>
        <n v="318.76071629454901"/>
        <n v="103.796670971092"/>
        <n v="642.79243865175602"/>
        <n v="271.44564672107902"/>
        <n v="250.41501863753399"/>
        <n v="172.403719469636"/>
        <n v="394.82709553680399"/>
        <n v="112.801981189901"/>
      </sharedItems>
    </cacheField>
    <cacheField name="bf_max" numFmtId="0">
      <sharedItems containsSemiMixedTypes="0" containsString="0" containsNumber="1" minValue="528.14813232421795" maxValue="45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4736.568633333336" createdVersion="7" refreshedVersion="7" minRefreshableVersion="3" recordCount="99" xr:uid="{D09E94F6-2FC4-B449-AE60-719AFF2E6B0C}">
  <cacheSource type="worksheet">
    <worksheetSource ref="A1:G100" sheet="data source"/>
  </cacheSource>
  <cacheFields count="7">
    <cacheField name="dep_yearmo" numFmtId="0">
      <sharedItems containsSemiMixedTypes="0" containsNonDate="0" containsDate="1" containsString="0" minDate="2022-01-01T00:00:00" maxDate="2023-03-02T00:00:00" count="11">
        <d v="2023-03-01T00:00:00"/>
        <d v="2022-09-01T00:00:00"/>
        <d v="2022-04-01T00:00:00"/>
        <d v="2022-06-01T00:00:00"/>
        <d v="2022-05-01T00:00:00"/>
        <d v="2022-03-01T00:00:00"/>
        <d v="2023-01-01T00:00:00"/>
        <d v="2022-12-01T00:00:00"/>
        <d v="2022-01-01T00:00:00"/>
        <d v="2022-07-01T00:00:00"/>
        <d v="2022-10-01T00:00:00"/>
      </sharedItems>
    </cacheField>
    <cacheField name="region" numFmtId="0">
      <sharedItems count="5">
        <s v="Others"/>
        <s v="South Cone"/>
        <s v="North Cone"/>
        <s v="Long Haul"/>
        <s v="Domestic Brazil"/>
      </sharedItems>
    </cacheField>
    <cacheField name="booking_class" numFmtId="0">
      <sharedItems count="12">
        <s v="V"/>
        <s v="K"/>
        <s v="N"/>
        <s v="X"/>
        <s v="S"/>
        <s v="G"/>
        <s v="B"/>
        <s v="Q"/>
        <s v="H"/>
        <s v="A"/>
        <s v="Y"/>
        <s v="O"/>
      </sharedItems>
    </cacheField>
    <cacheField name="bf_min" numFmtId="0">
      <sharedItems containsSemiMixedTypes="0" containsString="0" containsNumber="1" minValue="4" maxValue="216.24761962890599"/>
    </cacheField>
    <cacheField name="bf_avg" numFmtId="0">
      <sharedItems containsSemiMixedTypes="0" containsString="0" containsNumber="1" minValue="80.622654574438599" maxValue="812.49295312482695"/>
    </cacheField>
    <cacheField name="bf_max" numFmtId="0">
      <sharedItems containsSemiMixedTypes="0" containsString="0" containsNumber="1" minValue="730.419677734375" maxValue="4503"/>
    </cacheField>
    <cacheField name="square(bf_avg)" numFmtId="0">
      <sharedItems containsSemiMixedTypes="0" containsString="0" containsNumber="1" minValue="8.979011892989039" maxValue="28.5042620168427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icrosoft Office User" refreshedDate="44737.549292361109" refreshedVersion="7" recordCount="1064" xr:uid="{00000000-000A-0000-FFFF-FFFF00000000}">
  <cacheSource type="worksheet">
    <worksheetSource ref="A1:F1065" sheet="data source"/>
  </cacheSource>
  <cacheFields count="6">
    <cacheField name="dep_yearmo" numFmtId="0">
      <sharedItems containsSemiMixedTypes="0" containsNonDate="0" containsDate="1" containsString="0" minDate="2021-12-01T00:00:00" maxDate="2023-03-02T00:00:00" count="16">
        <d v="2023-03-01T00:00:00"/>
        <d v="2022-09-01T00:00:00"/>
        <d v="2022-04-01T00:00:00"/>
        <d v="2022-06-01T00:00:00"/>
        <d v="2022-05-01T00:00:00"/>
        <d v="2022-03-01T00:00:00"/>
        <d v="2023-01-01T00:00:00"/>
        <d v="2022-12-01T00:00:00"/>
        <d v="2022-01-01T00:00:00"/>
        <d v="2022-07-01T00:00:00"/>
        <d v="2022-10-01T00:00:00"/>
        <d v="2021-12-01T00:00:00"/>
        <d v="2022-11-01T00:00:00"/>
        <d v="2022-02-01T00:00:00"/>
        <d v="2023-02-01T00:00:00"/>
        <d v="2022-08-01T00:00:00"/>
      </sharedItems>
    </cacheField>
    <cacheField name="region" numFmtId="0">
      <sharedItems count="5">
        <s v="Others"/>
        <s v="South Cone"/>
        <s v="North Cone"/>
        <s v="Long Haul"/>
        <s v="Domestic Brazil"/>
      </sharedItems>
    </cacheField>
    <cacheField name="booking_class" numFmtId="0">
      <sharedItems count="14">
        <s v="V"/>
        <s v="K"/>
        <s v="N"/>
        <s v="X"/>
        <s v="S"/>
        <s v="G"/>
        <s v="B"/>
        <s v="Q"/>
        <s v="H"/>
        <s v="A"/>
        <s v="Y"/>
        <s v="O"/>
        <s v="M"/>
        <s v="L"/>
      </sharedItems>
    </cacheField>
    <cacheField name="bf_min" numFmtId="0">
      <sharedItems containsSemiMixedTypes="0" containsString="0" containsNumber="1" minValue="1" maxValue="396.99191284179602"/>
    </cacheField>
    <cacheField name="bf_avg" numFmtId="0">
      <sharedItems containsSemiMixedTypes="0" containsString="0" containsNumber="1" minValue="61.382259017974597" maxValue="1865.64501773897"/>
    </cacheField>
    <cacheField name="bf_max" numFmtId="0">
      <sharedItems containsSemiMixedTypes="0" containsString="0" containsNumber="1" minValue="528.14813232421795" maxValue="456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3">
  <r>
    <x v="0"/>
    <x v="0"/>
    <s v="V"/>
    <n v="143.30439758300699"/>
    <x v="0"/>
    <n v="1072.81567382812"/>
  </r>
  <r>
    <x v="0"/>
    <x v="0"/>
    <s v="K"/>
    <n v="216.24761962890599"/>
    <x v="1"/>
    <n v="1374.87341308593"/>
  </r>
  <r>
    <x v="0"/>
    <x v="0"/>
    <s v="N"/>
    <n v="117.48377990722599"/>
    <x v="2"/>
    <n v="817.90411376953102"/>
  </r>
  <r>
    <x v="1"/>
    <x v="1"/>
    <s v="X"/>
    <n v="29"/>
    <x v="3"/>
    <n v="973.200927734375"/>
  </r>
  <r>
    <x v="1"/>
    <x v="0"/>
    <s v="X"/>
    <n v="29"/>
    <x v="3"/>
    <n v="973.200927734375"/>
  </r>
  <r>
    <x v="1"/>
    <x v="2"/>
    <s v="X"/>
    <n v="29"/>
    <x v="3"/>
    <n v="973.200927734375"/>
  </r>
  <r>
    <x v="1"/>
    <x v="3"/>
    <s v="X"/>
    <n v="29"/>
    <x v="3"/>
    <n v="973.200927734375"/>
  </r>
  <r>
    <x v="1"/>
    <x v="4"/>
    <s v="X"/>
    <n v="29"/>
    <x v="3"/>
    <n v="973.200927734375"/>
  </r>
  <r>
    <x v="2"/>
    <x v="3"/>
    <s v="N"/>
    <n v="20.6301956176757"/>
    <x v="4"/>
    <n v="1577.64282226562"/>
  </r>
  <r>
    <x v="2"/>
    <x v="0"/>
    <s v="N"/>
    <n v="20.6301956176757"/>
    <x v="4"/>
    <n v="1577.64282226562"/>
  </r>
  <r>
    <x v="2"/>
    <x v="2"/>
    <s v="N"/>
    <n v="20.6301956176757"/>
    <x v="4"/>
    <n v="1577.64282226562"/>
  </r>
  <r>
    <x v="2"/>
    <x v="1"/>
    <s v="N"/>
    <n v="20.6301956176757"/>
    <x v="4"/>
    <n v="1577.64282226562"/>
  </r>
  <r>
    <x v="2"/>
    <x v="4"/>
    <s v="N"/>
    <n v="20.6301956176757"/>
    <x v="4"/>
    <n v="1577.64282226562"/>
  </r>
  <r>
    <x v="3"/>
    <x v="0"/>
    <s v="S"/>
    <n v="25"/>
    <x v="5"/>
    <n v="1756.73498535156"/>
  </r>
  <r>
    <x v="3"/>
    <x v="2"/>
    <s v="S"/>
    <n v="25"/>
    <x v="5"/>
    <n v="1756.73498535156"/>
  </r>
  <r>
    <x v="3"/>
    <x v="4"/>
    <s v="S"/>
    <n v="25"/>
    <x v="5"/>
    <n v="1756.73498535156"/>
  </r>
  <r>
    <x v="3"/>
    <x v="3"/>
    <s v="S"/>
    <n v="25"/>
    <x v="5"/>
    <n v="1756.73498535156"/>
  </r>
  <r>
    <x v="3"/>
    <x v="1"/>
    <s v="S"/>
    <n v="25"/>
    <x v="5"/>
    <n v="1756.73498535156"/>
  </r>
  <r>
    <x v="4"/>
    <x v="2"/>
    <s v="G"/>
    <n v="6"/>
    <x v="6"/>
    <n v="925"/>
  </r>
  <r>
    <x v="4"/>
    <x v="4"/>
    <s v="G"/>
    <n v="6"/>
    <x v="6"/>
    <n v="925"/>
  </r>
  <r>
    <x v="4"/>
    <x v="0"/>
    <s v="G"/>
    <n v="6"/>
    <x v="6"/>
    <n v="925"/>
  </r>
  <r>
    <x v="4"/>
    <x v="3"/>
    <s v="G"/>
    <n v="6"/>
    <x v="6"/>
    <n v="925"/>
  </r>
  <r>
    <x v="4"/>
    <x v="1"/>
    <s v="G"/>
    <n v="6"/>
    <x v="6"/>
    <n v="925"/>
  </r>
  <r>
    <x v="5"/>
    <x v="2"/>
    <s v="B"/>
    <n v="58"/>
    <x v="7"/>
    <n v="2299"/>
  </r>
  <r>
    <x v="5"/>
    <x v="0"/>
    <s v="B"/>
    <n v="58"/>
    <x v="7"/>
    <n v="2299"/>
  </r>
  <r>
    <x v="5"/>
    <x v="1"/>
    <s v="B"/>
    <n v="58"/>
    <x v="7"/>
    <n v="2299"/>
  </r>
  <r>
    <x v="5"/>
    <x v="3"/>
    <s v="B"/>
    <n v="58"/>
    <x v="7"/>
    <n v="2299"/>
  </r>
  <r>
    <x v="5"/>
    <x v="4"/>
    <s v="B"/>
    <n v="58"/>
    <x v="7"/>
    <n v="2299"/>
  </r>
  <r>
    <x v="3"/>
    <x v="0"/>
    <s v="V"/>
    <n v="33"/>
    <x v="8"/>
    <n v="2194.56420898437"/>
  </r>
  <r>
    <x v="3"/>
    <x v="2"/>
    <s v="V"/>
    <n v="33"/>
    <x v="8"/>
    <n v="2194.56420898437"/>
  </r>
  <r>
    <x v="3"/>
    <x v="4"/>
    <s v="V"/>
    <n v="33"/>
    <x v="8"/>
    <n v="2194.56420898437"/>
  </r>
  <r>
    <x v="3"/>
    <x v="3"/>
    <s v="V"/>
    <n v="33"/>
    <x v="8"/>
    <n v="2194.56420898437"/>
  </r>
  <r>
    <x v="3"/>
    <x v="1"/>
    <s v="V"/>
    <n v="33"/>
    <x v="8"/>
    <n v="2194.56420898437"/>
  </r>
  <r>
    <x v="2"/>
    <x v="3"/>
    <s v="K"/>
    <n v="43.615669597278902"/>
    <x v="9"/>
    <n v="3018.64916992187"/>
  </r>
  <r>
    <x v="2"/>
    <x v="0"/>
    <s v="K"/>
    <n v="43.615669597278902"/>
    <x v="9"/>
    <n v="3018.64916992187"/>
  </r>
  <r>
    <x v="2"/>
    <x v="2"/>
    <s v="K"/>
    <n v="43.615669597278902"/>
    <x v="9"/>
    <n v="3018.64916992187"/>
  </r>
  <r>
    <x v="2"/>
    <x v="1"/>
    <s v="K"/>
    <n v="43.615669597278902"/>
    <x v="9"/>
    <n v="3018.64916992187"/>
  </r>
  <r>
    <x v="2"/>
    <x v="4"/>
    <s v="K"/>
    <n v="43.615669597278902"/>
    <x v="9"/>
    <n v="3018.64916992187"/>
  </r>
  <r>
    <x v="0"/>
    <x v="0"/>
    <s v="Q"/>
    <n v="106.51002502441401"/>
    <x v="10"/>
    <n v="730.419677734375"/>
  </r>
  <r>
    <x v="6"/>
    <x v="3"/>
    <s v="H"/>
    <n v="52"/>
    <x v="11"/>
    <n v="3760"/>
  </r>
  <r>
    <x v="6"/>
    <x v="1"/>
    <s v="H"/>
    <n v="52"/>
    <x v="11"/>
    <n v="3760"/>
  </r>
  <r>
    <x v="6"/>
    <x v="0"/>
    <s v="H"/>
    <n v="52"/>
    <x v="11"/>
    <n v="3760"/>
  </r>
  <r>
    <x v="6"/>
    <x v="4"/>
    <s v="H"/>
    <n v="52"/>
    <x v="11"/>
    <n v="3760"/>
  </r>
  <r>
    <x v="6"/>
    <x v="2"/>
    <s v="H"/>
    <n v="52"/>
    <x v="11"/>
    <n v="3760"/>
  </r>
  <r>
    <x v="3"/>
    <x v="0"/>
    <s v="Q"/>
    <n v="16.045707702636701"/>
    <x v="12"/>
    <n v="900"/>
  </r>
  <r>
    <x v="3"/>
    <x v="2"/>
    <s v="Q"/>
    <n v="16.045707702636701"/>
    <x v="12"/>
    <n v="900"/>
  </r>
  <r>
    <x v="3"/>
    <x v="4"/>
    <s v="Q"/>
    <n v="16.045707702636701"/>
    <x v="12"/>
    <n v="900"/>
  </r>
  <r>
    <x v="3"/>
    <x v="3"/>
    <s v="Q"/>
    <n v="16.045707702636701"/>
    <x v="12"/>
    <n v="900"/>
  </r>
  <r>
    <x v="3"/>
    <x v="1"/>
    <s v="Q"/>
    <n v="16.045707702636701"/>
    <x v="12"/>
    <n v="900"/>
  </r>
  <r>
    <x v="7"/>
    <x v="1"/>
    <s v="B"/>
    <n v="58"/>
    <x v="13"/>
    <n v="2699"/>
  </r>
  <r>
    <x v="7"/>
    <x v="4"/>
    <s v="B"/>
    <n v="58"/>
    <x v="13"/>
    <n v="2699"/>
  </r>
  <r>
    <x v="7"/>
    <x v="0"/>
    <s v="B"/>
    <n v="58"/>
    <x v="13"/>
    <n v="2699"/>
  </r>
  <r>
    <x v="7"/>
    <x v="3"/>
    <s v="B"/>
    <n v="58"/>
    <x v="13"/>
    <n v="2699"/>
  </r>
  <r>
    <x v="7"/>
    <x v="2"/>
    <s v="B"/>
    <n v="58"/>
    <x v="13"/>
    <n v="2699"/>
  </r>
  <r>
    <x v="2"/>
    <x v="3"/>
    <s v="Q"/>
    <n v="16.045707702636701"/>
    <x v="14"/>
    <n v="1183.7857142857099"/>
  </r>
  <r>
    <x v="2"/>
    <x v="0"/>
    <s v="Q"/>
    <n v="16.045707702636701"/>
    <x v="14"/>
    <n v="1183.7857142857099"/>
  </r>
  <r>
    <x v="2"/>
    <x v="2"/>
    <s v="Q"/>
    <n v="16.045707702636701"/>
    <x v="14"/>
    <n v="1183.7857142857099"/>
  </r>
  <r>
    <x v="2"/>
    <x v="1"/>
    <s v="Q"/>
    <n v="16.045707702636701"/>
    <x v="14"/>
    <n v="1183.7857142857099"/>
  </r>
  <r>
    <x v="2"/>
    <x v="4"/>
    <s v="Q"/>
    <n v="16.045707702636701"/>
    <x v="14"/>
    <n v="1183.7857142857099"/>
  </r>
  <r>
    <x v="8"/>
    <x v="4"/>
    <s v="Q"/>
    <n v="16.045707702636701"/>
    <x v="15"/>
    <n v="1215"/>
  </r>
  <r>
    <x v="8"/>
    <x v="0"/>
    <s v="Q"/>
    <n v="16.045707702636701"/>
    <x v="15"/>
    <n v="1215"/>
  </r>
  <r>
    <x v="8"/>
    <x v="3"/>
    <s v="Q"/>
    <n v="16.045707702636701"/>
    <x v="15"/>
    <n v="1215"/>
  </r>
  <r>
    <x v="8"/>
    <x v="1"/>
    <s v="Q"/>
    <n v="16.045707702636701"/>
    <x v="15"/>
    <n v="1215"/>
  </r>
  <r>
    <x v="8"/>
    <x v="2"/>
    <s v="Q"/>
    <n v="16.045707702636701"/>
    <x v="15"/>
    <n v="1215"/>
  </r>
  <r>
    <x v="9"/>
    <x v="1"/>
    <s v="S"/>
    <n v="25"/>
    <x v="16"/>
    <n v="1756.73498535156"/>
  </r>
  <r>
    <x v="9"/>
    <x v="4"/>
    <s v="S"/>
    <n v="25"/>
    <x v="16"/>
    <n v="1756.73498535156"/>
  </r>
  <r>
    <x v="9"/>
    <x v="0"/>
    <s v="S"/>
    <n v="25"/>
    <x v="16"/>
    <n v="1756.73498535156"/>
  </r>
  <r>
    <x v="9"/>
    <x v="3"/>
    <s v="S"/>
    <n v="25"/>
    <x v="16"/>
    <n v="1756.73498535156"/>
  </r>
  <r>
    <x v="9"/>
    <x v="2"/>
    <s v="S"/>
    <n v="25"/>
    <x v="16"/>
    <n v="1756.73498535156"/>
  </r>
  <r>
    <x v="10"/>
    <x v="2"/>
    <s v="A"/>
    <n v="4"/>
    <x v="17"/>
    <n v="895"/>
  </r>
  <r>
    <x v="10"/>
    <x v="0"/>
    <s v="A"/>
    <n v="4"/>
    <x v="17"/>
    <n v="895"/>
  </r>
  <r>
    <x v="10"/>
    <x v="3"/>
    <s v="A"/>
    <n v="4"/>
    <x v="17"/>
    <n v="895"/>
  </r>
  <r>
    <x v="10"/>
    <x v="4"/>
    <s v="A"/>
    <n v="4"/>
    <x v="17"/>
    <n v="895"/>
  </r>
  <r>
    <x v="10"/>
    <x v="1"/>
    <s v="A"/>
    <n v="4"/>
    <x v="17"/>
    <n v="895"/>
  </r>
  <r>
    <x v="3"/>
    <x v="0"/>
    <s v="Y"/>
    <n v="64"/>
    <x v="18"/>
    <n v="4503"/>
  </r>
  <r>
    <x v="3"/>
    <x v="2"/>
    <s v="Y"/>
    <n v="64"/>
    <x v="18"/>
    <n v="4503"/>
  </r>
  <r>
    <x v="3"/>
    <x v="4"/>
    <s v="Y"/>
    <n v="64"/>
    <x v="18"/>
    <n v="4503"/>
  </r>
  <r>
    <x v="3"/>
    <x v="3"/>
    <s v="Y"/>
    <n v="64"/>
    <x v="18"/>
    <n v="4503"/>
  </r>
  <r>
    <x v="3"/>
    <x v="1"/>
    <s v="Y"/>
    <n v="64"/>
    <x v="18"/>
    <n v="4503"/>
  </r>
  <r>
    <x v="2"/>
    <x v="3"/>
    <s v="O"/>
    <n v="8"/>
    <x v="19"/>
    <n v="1175"/>
  </r>
  <r>
    <x v="2"/>
    <x v="0"/>
    <s v="O"/>
    <n v="8"/>
    <x v="19"/>
    <n v="1175"/>
  </r>
  <r>
    <x v="2"/>
    <x v="2"/>
    <s v="O"/>
    <n v="8"/>
    <x v="19"/>
    <n v="1175"/>
  </r>
  <r>
    <x v="2"/>
    <x v="1"/>
    <s v="O"/>
    <n v="8"/>
    <x v="19"/>
    <n v="1175"/>
  </r>
  <r>
    <x v="2"/>
    <x v="4"/>
    <s v="O"/>
    <n v="8"/>
    <x v="19"/>
    <n v="1175"/>
  </r>
  <r>
    <x v="10"/>
    <x v="2"/>
    <s v="H"/>
    <n v="52"/>
    <x v="20"/>
    <n v="1846.5"/>
  </r>
  <r>
    <x v="10"/>
    <x v="0"/>
    <s v="H"/>
    <n v="52"/>
    <x v="20"/>
    <n v="1846.5"/>
  </r>
  <r>
    <x v="10"/>
    <x v="3"/>
    <s v="H"/>
    <n v="52"/>
    <x v="20"/>
    <n v="1846.5"/>
  </r>
  <r>
    <x v="10"/>
    <x v="4"/>
    <s v="H"/>
    <n v="52"/>
    <x v="20"/>
    <n v="1846.5"/>
  </r>
  <r>
    <x v="10"/>
    <x v="1"/>
    <s v="H"/>
    <n v="52"/>
    <x v="20"/>
    <n v="1846.5"/>
  </r>
  <r>
    <x v="10"/>
    <x v="2"/>
    <s v="B"/>
    <n v="57.25"/>
    <x v="21"/>
    <n v="2540"/>
  </r>
  <r>
    <x v="10"/>
    <x v="0"/>
    <s v="B"/>
    <n v="57.25"/>
    <x v="21"/>
    <n v="2540"/>
  </r>
  <r>
    <x v="10"/>
    <x v="3"/>
    <s v="B"/>
    <n v="57.25"/>
    <x v="21"/>
    <n v="2540"/>
  </r>
  <r>
    <x v="10"/>
    <x v="4"/>
    <s v="B"/>
    <n v="57.25"/>
    <x v="21"/>
    <n v="2540"/>
  </r>
  <r>
    <x v="10"/>
    <x v="1"/>
    <s v="B"/>
    <n v="57.25"/>
    <x v="21"/>
    <n v="2540"/>
  </r>
  <r>
    <x v="4"/>
    <x v="2"/>
    <s v="V"/>
    <n v="33"/>
    <x v="22"/>
    <n v="2181.83984375"/>
  </r>
  <r>
    <x v="4"/>
    <x v="4"/>
    <s v="V"/>
    <n v="33"/>
    <x v="22"/>
    <n v="2181.83984375"/>
  </r>
  <r>
    <x v="4"/>
    <x v="0"/>
    <s v="V"/>
    <n v="33"/>
    <x v="22"/>
    <n v="2181.83984375"/>
  </r>
  <r>
    <x v="4"/>
    <x v="3"/>
    <s v="V"/>
    <n v="33"/>
    <x v="22"/>
    <n v="2181.83984375"/>
  </r>
  <r>
    <x v="4"/>
    <x v="1"/>
    <s v="V"/>
    <n v="33"/>
    <x v="22"/>
    <n v="2181.83984375"/>
  </r>
  <r>
    <x v="11"/>
    <x v="4"/>
    <s v="A"/>
    <n v="5.7248792648315403"/>
    <x v="23"/>
    <n v="838.27273559570301"/>
  </r>
  <r>
    <x v="11"/>
    <x v="0"/>
    <s v="A"/>
    <n v="5.7248792648315403"/>
    <x v="23"/>
    <n v="838.27273559570301"/>
  </r>
  <r>
    <x v="11"/>
    <x v="1"/>
    <s v="A"/>
    <n v="5.7248792648315403"/>
    <x v="23"/>
    <n v="838.27273559570301"/>
  </r>
  <r>
    <x v="11"/>
    <x v="2"/>
    <s v="A"/>
    <n v="5.7248792648315403"/>
    <x v="23"/>
    <n v="838.27273559570301"/>
  </r>
  <r>
    <x v="11"/>
    <x v="3"/>
    <s v="A"/>
    <n v="5.7248792648315403"/>
    <x v="23"/>
    <n v="838.27273559570301"/>
  </r>
  <r>
    <x v="3"/>
    <x v="0"/>
    <s v="K"/>
    <n v="46"/>
    <x v="24"/>
    <n v="1697.5"/>
  </r>
  <r>
    <x v="3"/>
    <x v="2"/>
    <s v="K"/>
    <n v="46"/>
    <x v="24"/>
    <n v="1697.5"/>
  </r>
  <r>
    <x v="3"/>
    <x v="4"/>
    <s v="K"/>
    <n v="46"/>
    <x v="24"/>
    <n v="1697.5"/>
  </r>
  <r>
    <x v="3"/>
    <x v="3"/>
    <s v="K"/>
    <n v="46"/>
    <x v="24"/>
    <n v="1697.5"/>
  </r>
  <r>
    <x v="3"/>
    <x v="1"/>
    <s v="K"/>
    <n v="46"/>
    <x v="24"/>
    <n v="1697.5"/>
  </r>
  <r>
    <x v="1"/>
    <x v="1"/>
    <s v="S"/>
    <n v="25"/>
    <x v="25"/>
    <n v="887.48645019531205"/>
  </r>
  <r>
    <x v="1"/>
    <x v="0"/>
    <s v="S"/>
    <n v="25"/>
    <x v="25"/>
    <n v="887.48645019531205"/>
  </r>
  <r>
    <x v="1"/>
    <x v="2"/>
    <s v="S"/>
    <n v="25"/>
    <x v="25"/>
    <n v="887.48645019531205"/>
  </r>
  <r>
    <x v="1"/>
    <x v="3"/>
    <s v="S"/>
    <n v="25"/>
    <x v="25"/>
    <n v="887.48645019531205"/>
  </r>
  <r>
    <x v="1"/>
    <x v="4"/>
    <s v="S"/>
    <n v="25"/>
    <x v="25"/>
    <n v="887.48645019531205"/>
  </r>
  <r>
    <x v="9"/>
    <x v="1"/>
    <s v="A"/>
    <n v="3"/>
    <x v="26"/>
    <n v="991"/>
  </r>
  <r>
    <x v="9"/>
    <x v="4"/>
    <s v="A"/>
    <n v="3"/>
    <x v="26"/>
    <n v="991"/>
  </r>
  <r>
    <x v="9"/>
    <x v="0"/>
    <s v="A"/>
    <n v="3"/>
    <x v="26"/>
    <n v="991"/>
  </r>
  <r>
    <x v="9"/>
    <x v="3"/>
    <s v="A"/>
    <n v="3"/>
    <x v="26"/>
    <n v="991"/>
  </r>
  <r>
    <x v="9"/>
    <x v="2"/>
    <s v="A"/>
    <n v="3"/>
    <x v="26"/>
    <n v="991"/>
  </r>
  <r>
    <x v="3"/>
    <x v="0"/>
    <s v="A"/>
    <n v="1"/>
    <x v="27"/>
    <n v="895"/>
  </r>
  <r>
    <x v="3"/>
    <x v="2"/>
    <s v="A"/>
    <n v="1"/>
    <x v="27"/>
    <n v="895"/>
  </r>
  <r>
    <x v="3"/>
    <x v="4"/>
    <s v="A"/>
    <n v="1"/>
    <x v="27"/>
    <n v="895"/>
  </r>
  <r>
    <x v="3"/>
    <x v="3"/>
    <s v="A"/>
    <n v="1"/>
    <x v="27"/>
    <n v="895"/>
  </r>
  <r>
    <x v="3"/>
    <x v="1"/>
    <s v="A"/>
    <n v="1"/>
    <x v="27"/>
    <n v="895"/>
  </r>
  <r>
    <x v="3"/>
    <x v="0"/>
    <s v="N"/>
    <n v="20.6301956176757"/>
    <x v="28"/>
    <n v="1577.64282226562"/>
  </r>
  <r>
    <x v="3"/>
    <x v="2"/>
    <s v="N"/>
    <n v="20.6301956176757"/>
    <x v="28"/>
    <n v="1577.64282226562"/>
  </r>
  <r>
    <x v="3"/>
    <x v="4"/>
    <s v="N"/>
    <n v="20.6301956176757"/>
    <x v="28"/>
    <n v="1577.64282226562"/>
  </r>
  <r>
    <x v="3"/>
    <x v="3"/>
    <s v="N"/>
    <n v="20.6301956176757"/>
    <x v="28"/>
    <n v="1577.64282226562"/>
  </r>
  <r>
    <x v="3"/>
    <x v="1"/>
    <s v="N"/>
    <n v="20.6301956176757"/>
    <x v="28"/>
    <n v="1577.64282226562"/>
  </r>
  <r>
    <x v="12"/>
    <x v="3"/>
    <s v="B"/>
    <n v="58"/>
    <x v="29"/>
    <n v="2444.5"/>
  </r>
  <r>
    <x v="12"/>
    <x v="2"/>
    <s v="B"/>
    <n v="58"/>
    <x v="29"/>
    <n v="2444.5"/>
  </r>
  <r>
    <x v="12"/>
    <x v="0"/>
    <s v="B"/>
    <n v="58"/>
    <x v="29"/>
    <n v="2444.5"/>
  </r>
  <r>
    <x v="12"/>
    <x v="1"/>
    <s v="B"/>
    <n v="58"/>
    <x v="29"/>
    <n v="2444.5"/>
  </r>
  <r>
    <x v="12"/>
    <x v="4"/>
    <s v="B"/>
    <n v="58"/>
    <x v="29"/>
    <n v="2444.5"/>
  </r>
  <r>
    <x v="11"/>
    <x v="4"/>
    <s v="S"/>
    <n v="25.776283264160099"/>
    <x v="30"/>
    <n v="1339.9375"/>
  </r>
  <r>
    <x v="11"/>
    <x v="0"/>
    <s v="S"/>
    <n v="25.776283264160099"/>
    <x v="30"/>
    <n v="1339.9375"/>
  </r>
  <r>
    <x v="11"/>
    <x v="1"/>
    <s v="S"/>
    <n v="25.776283264160099"/>
    <x v="30"/>
    <n v="1339.9375"/>
  </r>
  <r>
    <x v="11"/>
    <x v="2"/>
    <s v="S"/>
    <n v="25.776283264160099"/>
    <x v="30"/>
    <n v="1339.9375"/>
  </r>
  <r>
    <x v="11"/>
    <x v="3"/>
    <s v="S"/>
    <n v="25.776283264160099"/>
    <x v="30"/>
    <n v="1339.9375"/>
  </r>
  <r>
    <x v="11"/>
    <x v="4"/>
    <s v="B"/>
    <n v="68.985083770751899"/>
    <x v="31"/>
    <n v="2299"/>
  </r>
  <r>
    <x v="11"/>
    <x v="0"/>
    <s v="B"/>
    <n v="68.985083770751899"/>
    <x v="31"/>
    <n v="2299"/>
  </r>
  <r>
    <x v="11"/>
    <x v="1"/>
    <s v="B"/>
    <n v="68.985083770751899"/>
    <x v="31"/>
    <n v="2299"/>
  </r>
  <r>
    <x v="11"/>
    <x v="2"/>
    <s v="B"/>
    <n v="68.985083770751899"/>
    <x v="31"/>
    <n v="2299"/>
  </r>
  <r>
    <x v="11"/>
    <x v="3"/>
    <s v="B"/>
    <n v="68.985083770751899"/>
    <x v="31"/>
    <n v="2299"/>
  </r>
  <r>
    <x v="5"/>
    <x v="2"/>
    <s v="V"/>
    <n v="33"/>
    <x v="32"/>
    <n v="2009.12426757812"/>
  </r>
  <r>
    <x v="5"/>
    <x v="0"/>
    <s v="V"/>
    <n v="33"/>
    <x v="32"/>
    <n v="2009.12426757812"/>
  </r>
  <r>
    <x v="5"/>
    <x v="1"/>
    <s v="V"/>
    <n v="33"/>
    <x v="32"/>
    <n v="2009.12426757812"/>
  </r>
  <r>
    <x v="5"/>
    <x v="3"/>
    <s v="V"/>
    <n v="33"/>
    <x v="32"/>
    <n v="2009.12426757812"/>
  </r>
  <r>
    <x v="5"/>
    <x v="4"/>
    <s v="V"/>
    <n v="33"/>
    <x v="32"/>
    <n v="2009.12426757812"/>
  </r>
  <r>
    <x v="11"/>
    <x v="4"/>
    <s v="K"/>
    <n v="61"/>
    <x v="33"/>
    <n v="1429"/>
  </r>
  <r>
    <x v="11"/>
    <x v="0"/>
    <s v="K"/>
    <n v="61"/>
    <x v="33"/>
    <n v="1429"/>
  </r>
  <r>
    <x v="11"/>
    <x v="1"/>
    <s v="K"/>
    <n v="61"/>
    <x v="33"/>
    <n v="1429"/>
  </r>
  <r>
    <x v="11"/>
    <x v="2"/>
    <s v="K"/>
    <n v="61"/>
    <x v="33"/>
    <n v="1429"/>
  </r>
  <r>
    <x v="11"/>
    <x v="3"/>
    <s v="K"/>
    <n v="61"/>
    <x v="33"/>
    <n v="1429"/>
  </r>
  <r>
    <x v="12"/>
    <x v="3"/>
    <s v="S"/>
    <n v="25"/>
    <x v="34"/>
    <n v="1164"/>
  </r>
  <r>
    <x v="12"/>
    <x v="2"/>
    <s v="S"/>
    <n v="25"/>
    <x v="34"/>
    <n v="1164"/>
  </r>
  <r>
    <x v="12"/>
    <x v="0"/>
    <s v="S"/>
    <n v="25"/>
    <x v="34"/>
    <n v="1164"/>
  </r>
  <r>
    <x v="12"/>
    <x v="1"/>
    <s v="S"/>
    <n v="25"/>
    <x v="34"/>
    <n v="1164"/>
  </r>
  <r>
    <x v="12"/>
    <x v="4"/>
    <s v="S"/>
    <n v="25"/>
    <x v="34"/>
    <n v="1164"/>
  </r>
  <r>
    <x v="13"/>
    <x v="1"/>
    <s v="N"/>
    <n v="20.6301956176757"/>
    <x v="35"/>
    <n v="1604"/>
  </r>
  <r>
    <x v="13"/>
    <x v="0"/>
    <s v="N"/>
    <n v="20.6301956176757"/>
    <x v="35"/>
    <n v="1604"/>
  </r>
  <r>
    <x v="13"/>
    <x v="2"/>
    <s v="N"/>
    <n v="20.6301956176757"/>
    <x v="35"/>
    <n v="1604"/>
  </r>
  <r>
    <x v="13"/>
    <x v="4"/>
    <s v="N"/>
    <n v="20.6301956176757"/>
    <x v="35"/>
    <n v="1604"/>
  </r>
  <r>
    <x v="13"/>
    <x v="3"/>
    <s v="N"/>
    <n v="20.6301956176757"/>
    <x v="35"/>
    <n v="1604"/>
  </r>
  <r>
    <x v="12"/>
    <x v="3"/>
    <s v="N"/>
    <n v="20.6301956176757"/>
    <x v="36"/>
    <n v="1164"/>
  </r>
  <r>
    <x v="12"/>
    <x v="2"/>
    <s v="N"/>
    <n v="20.6301956176757"/>
    <x v="36"/>
    <n v="1164"/>
  </r>
  <r>
    <x v="12"/>
    <x v="0"/>
    <s v="N"/>
    <n v="20.6301956176757"/>
    <x v="36"/>
    <n v="1164"/>
  </r>
  <r>
    <x v="12"/>
    <x v="1"/>
    <s v="N"/>
    <n v="20.6301956176757"/>
    <x v="36"/>
    <n v="1164"/>
  </r>
  <r>
    <x v="12"/>
    <x v="4"/>
    <s v="N"/>
    <n v="20.6301956176757"/>
    <x v="36"/>
    <n v="1164"/>
  </r>
  <r>
    <x v="4"/>
    <x v="2"/>
    <s v="B"/>
    <n v="58"/>
    <x v="37"/>
    <n v="2299"/>
  </r>
  <r>
    <x v="4"/>
    <x v="4"/>
    <s v="B"/>
    <n v="58"/>
    <x v="37"/>
    <n v="2299"/>
  </r>
  <r>
    <x v="4"/>
    <x v="0"/>
    <s v="B"/>
    <n v="58"/>
    <x v="37"/>
    <n v="2299"/>
  </r>
  <r>
    <x v="4"/>
    <x v="3"/>
    <s v="B"/>
    <n v="58"/>
    <x v="37"/>
    <n v="2299"/>
  </r>
  <r>
    <x v="4"/>
    <x v="1"/>
    <s v="B"/>
    <n v="58"/>
    <x v="37"/>
    <n v="2299"/>
  </r>
  <r>
    <x v="11"/>
    <x v="4"/>
    <s v="M"/>
    <n v="52"/>
    <x v="38"/>
    <n v="1420"/>
  </r>
  <r>
    <x v="11"/>
    <x v="0"/>
    <s v="M"/>
    <n v="52"/>
    <x v="38"/>
    <n v="1420"/>
  </r>
  <r>
    <x v="11"/>
    <x v="1"/>
    <s v="M"/>
    <n v="52"/>
    <x v="38"/>
    <n v="1420"/>
  </r>
  <r>
    <x v="11"/>
    <x v="2"/>
    <s v="M"/>
    <n v="52"/>
    <x v="38"/>
    <n v="1420"/>
  </r>
  <r>
    <x v="11"/>
    <x v="3"/>
    <s v="M"/>
    <n v="52"/>
    <x v="38"/>
    <n v="1420"/>
  </r>
  <r>
    <x v="0"/>
    <x v="0"/>
    <s v="S"/>
    <n v="123.93893432617099"/>
    <x v="39"/>
    <n v="905.011474609375"/>
  </r>
  <r>
    <x v="10"/>
    <x v="2"/>
    <s v="L"/>
    <n v="37"/>
    <x v="40"/>
    <n v="1143.4921875"/>
  </r>
  <r>
    <x v="10"/>
    <x v="0"/>
    <s v="L"/>
    <n v="37"/>
    <x v="40"/>
    <n v="1143.4921875"/>
  </r>
  <r>
    <x v="10"/>
    <x v="3"/>
    <s v="L"/>
    <n v="37"/>
    <x v="40"/>
    <n v="1143.4921875"/>
  </r>
  <r>
    <x v="10"/>
    <x v="4"/>
    <s v="L"/>
    <n v="37"/>
    <x v="40"/>
    <n v="1143.4921875"/>
  </r>
  <r>
    <x v="10"/>
    <x v="1"/>
    <s v="L"/>
    <n v="37"/>
    <x v="40"/>
    <n v="1143.4921875"/>
  </r>
  <r>
    <x v="13"/>
    <x v="1"/>
    <s v="Y"/>
    <n v="64"/>
    <x v="41"/>
    <n v="3078"/>
  </r>
  <r>
    <x v="13"/>
    <x v="0"/>
    <s v="Y"/>
    <n v="64"/>
    <x v="41"/>
    <n v="3078"/>
  </r>
  <r>
    <x v="13"/>
    <x v="2"/>
    <s v="Y"/>
    <n v="64"/>
    <x v="41"/>
    <n v="3078"/>
  </r>
  <r>
    <x v="13"/>
    <x v="4"/>
    <s v="Y"/>
    <n v="64"/>
    <x v="41"/>
    <n v="3078"/>
  </r>
  <r>
    <x v="13"/>
    <x v="3"/>
    <s v="Y"/>
    <n v="64"/>
    <x v="41"/>
    <n v="3078"/>
  </r>
  <r>
    <x v="1"/>
    <x v="1"/>
    <s v="Q"/>
    <n v="16.045707702636701"/>
    <x v="42"/>
    <n v="765"/>
  </r>
  <r>
    <x v="1"/>
    <x v="0"/>
    <s v="Q"/>
    <n v="16.045707702636701"/>
    <x v="42"/>
    <n v="765"/>
  </r>
  <r>
    <x v="1"/>
    <x v="2"/>
    <s v="Q"/>
    <n v="16.045707702636701"/>
    <x v="42"/>
    <n v="765"/>
  </r>
  <r>
    <x v="1"/>
    <x v="3"/>
    <s v="Q"/>
    <n v="16.045707702636701"/>
    <x v="42"/>
    <n v="765"/>
  </r>
  <r>
    <x v="1"/>
    <x v="4"/>
    <s v="Q"/>
    <n v="16.045707702636701"/>
    <x v="42"/>
    <n v="765"/>
  </r>
  <r>
    <x v="6"/>
    <x v="3"/>
    <s v="Y"/>
    <n v="64"/>
    <x v="43"/>
    <n v="4568"/>
  </r>
  <r>
    <x v="6"/>
    <x v="1"/>
    <s v="Y"/>
    <n v="64"/>
    <x v="43"/>
    <n v="4568"/>
  </r>
  <r>
    <x v="6"/>
    <x v="0"/>
    <s v="Y"/>
    <n v="64"/>
    <x v="43"/>
    <n v="4568"/>
  </r>
  <r>
    <x v="6"/>
    <x v="4"/>
    <s v="Y"/>
    <n v="64"/>
    <x v="43"/>
    <n v="4568"/>
  </r>
  <r>
    <x v="6"/>
    <x v="2"/>
    <s v="Y"/>
    <n v="64"/>
    <x v="43"/>
    <n v="4568"/>
  </r>
  <r>
    <x v="8"/>
    <x v="4"/>
    <s v="N"/>
    <n v="20.6301956176757"/>
    <x v="44"/>
    <n v="1255"/>
  </r>
  <r>
    <x v="8"/>
    <x v="0"/>
    <s v="N"/>
    <n v="20.6301956176757"/>
    <x v="44"/>
    <n v="1255"/>
  </r>
  <r>
    <x v="8"/>
    <x v="3"/>
    <s v="N"/>
    <n v="20.6301956176757"/>
    <x v="44"/>
    <n v="1255"/>
  </r>
  <r>
    <x v="8"/>
    <x v="1"/>
    <s v="N"/>
    <n v="20.6301956176757"/>
    <x v="44"/>
    <n v="1255"/>
  </r>
  <r>
    <x v="8"/>
    <x v="2"/>
    <s v="N"/>
    <n v="20.6301956176757"/>
    <x v="44"/>
    <n v="1255"/>
  </r>
  <r>
    <x v="3"/>
    <x v="0"/>
    <s v="G"/>
    <n v="6"/>
    <x v="45"/>
    <n v="925"/>
  </r>
  <r>
    <x v="3"/>
    <x v="2"/>
    <s v="G"/>
    <n v="6"/>
    <x v="45"/>
    <n v="925"/>
  </r>
  <r>
    <x v="3"/>
    <x v="4"/>
    <s v="G"/>
    <n v="6"/>
    <x v="45"/>
    <n v="925"/>
  </r>
  <r>
    <x v="3"/>
    <x v="3"/>
    <s v="G"/>
    <n v="6"/>
    <x v="45"/>
    <n v="925"/>
  </r>
  <r>
    <x v="3"/>
    <x v="1"/>
    <s v="G"/>
    <n v="6"/>
    <x v="45"/>
    <n v="925"/>
  </r>
  <r>
    <x v="2"/>
    <x v="3"/>
    <s v="G"/>
    <n v="6"/>
    <x v="46"/>
    <n v="1025"/>
  </r>
  <r>
    <x v="2"/>
    <x v="0"/>
    <s v="G"/>
    <n v="6"/>
    <x v="46"/>
    <n v="1025"/>
  </r>
  <r>
    <x v="2"/>
    <x v="2"/>
    <s v="G"/>
    <n v="6"/>
    <x v="46"/>
    <n v="1025"/>
  </r>
  <r>
    <x v="2"/>
    <x v="1"/>
    <s v="G"/>
    <n v="6"/>
    <x v="46"/>
    <n v="1025"/>
  </r>
  <r>
    <x v="2"/>
    <x v="4"/>
    <s v="G"/>
    <n v="6"/>
    <x v="46"/>
    <n v="1025"/>
  </r>
  <r>
    <x v="9"/>
    <x v="1"/>
    <s v="H"/>
    <n v="52"/>
    <x v="47"/>
    <n v="2080"/>
  </r>
  <r>
    <x v="9"/>
    <x v="4"/>
    <s v="H"/>
    <n v="52"/>
    <x v="47"/>
    <n v="2080"/>
  </r>
  <r>
    <x v="9"/>
    <x v="0"/>
    <s v="H"/>
    <n v="52"/>
    <x v="47"/>
    <n v="2080"/>
  </r>
  <r>
    <x v="9"/>
    <x v="3"/>
    <s v="H"/>
    <n v="52"/>
    <x v="47"/>
    <n v="2080"/>
  </r>
  <r>
    <x v="9"/>
    <x v="2"/>
    <s v="H"/>
    <n v="52"/>
    <x v="47"/>
    <n v="2080"/>
  </r>
  <r>
    <x v="7"/>
    <x v="1"/>
    <s v="Y"/>
    <n v="64"/>
    <x v="48"/>
    <n v="4568"/>
  </r>
  <r>
    <x v="7"/>
    <x v="4"/>
    <s v="Y"/>
    <n v="64"/>
    <x v="48"/>
    <n v="4568"/>
  </r>
  <r>
    <x v="7"/>
    <x v="0"/>
    <s v="Y"/>
    <n v="64"/>
    <x v="48"/>
    <n v="4568"/>
  </r>
  <r>
    <x v="7"/>
    <x v="3"/>
    <s v="Y"/>
    <n v="64"/>
    <x v="48"/>
    <n v="4568"/>
  </r>
  <r>
    <x v="7"/>
    <x v="2"/>
    <s v="Y"/>
    <n v="64"/>
    <x v="48"/>
    <n v="4568"/>
  </r>
  <r>
    <x v="13"/>
    <x v="1"/>
    <s v="S"/>
    <n v="24.869464397430399"/>
    <x v="49"/>
    <n v="1604"/>
  </r>
  <r>
    <x v="13"/>
    <x v="0"/>
    <s v="S"/>
    <n v="24.869464397430399"/>
    <x v="49"/>
    <n v="1604"/>
  </r>
  <r>
    <x v="13"/>
    <x v="2"/>
    <s v="S"/>
    <n v="24.869464397430399"/>
    <x v="49"/>
    <n v="1604"/>
  </r>
  <r>
    <x v="13"/>
    <x v="4"/>
    <s v="S"/>
    <n v="24.869464397430399"/>
    <x v="49"/>
    <n v="1604"/>
  </r>
  <r>
    <x v="13"/>
    <x v="3"/>
    <s v="S"/>
    <n v="24.869464397430399"/>
    <x v="49"/>
    <n v="1604"/>
  </r>
  <r>
    <x v="14"/>
    <x v="1"/>
    <s v="X"/>
    <n v="33.772739410400298"/>
    <x v="50"/>
    <n v="1820"/>
  </r>
  <r>
    <x v="14"/>
    <x v="4"/>
    <s v="X"/>
    <n v="33.772739410400298"/>
    <x v="50"/>
    <n v="1820"/>
  </r>
  <r>
    <x v="14"/>
    <x v="2"/>
    <s v="X"/>
    <n v="33.772739410400298"/>
    <x v="50"/>
    <n v="1820"/>
  </r>
  <r>
    <x v="14"/>
    <x v="0"/>
    <s v="X"/>
    <n v="33.772739410400298"/>
    <x v="50"/>
    <n v="1820"/>
  </r>
  <r>
    <x v="14"/>
    <x v="3"/>
    <s v="X"/>
    <n v="33.772739410400298"/>
    <x v="50"/>
    <n v="1820"/>
  </r>
  <r>
    <x v="2"/>
    <x v="3"/>
    <s v="M"/>
    <n v="41"/>
    <x v="51"/>
    <n v="2713.99658203125"/>
  </r>
  <r>
    <x v="2"/>
    <x v="0"/>
    <s v="M"/>
    <n v="41"/>
    <x v="51"/>
    <n v="2713.99658203125"/>
  </r>
  <r>
    <x v="2"/>
    <x v="2"/>
    <s v="M"/>
    <n v="41"/>
    <x v="51"/>
    <n v="2713.99658203125"/>
  </r>
  <r>
    <x v="2"/>
    <x v="1"/>
    <s v="M"/>
    <n v="41"/>
    <x v="51"/>
    <n v="2713.99658203125"/>
  </r>
  <r>
    <x v="2"/>
    <x v="4"/>
    <s v="M"/>
    <n v="41"/>
    <x v="51"/>
    <n v="2713.99658203125"/>
  </r>
  <r>
    <x v="2"/>
    <x v="3"/>
    <s v="A"/>
    <n v="1"/>
    <x v="52"/>
    <n v="895"/>
  </r>
  <r>
    <x v="2"/>
    <x v="0"/>
    <s v="A"/>
    <n v="1"/>
    <x v="52"/>
    <n v="895"/>
  </r>
  <r>
    <x v="2"/>
    <x v="2"/>
    <s v="A"/>
    <n v="1"/>
    <x v="52"/>
    <n v="895"/>
  </r>
  <r>
    <x v="2"/>
    <x v="1"/>
    <s v="A"/>
    <n v="1"/>
    <x v="52"/>
    <n v="895"/>
  </r>
  <r>
    <x v="2"/>
    <x v="4"/>
    <s v="A"/>
    <n v="1"/>
    <x v="52"/>
    <n v="895"/>
  </r>
  <r>
    <x v="15"/>
    <x v="3"/>
    <s v="B"/>
    <n v="57.25"/>
    <x v="53"/>
    <n v="2617"/>
  </r>
  <r>
    <x v="15"/>
    <x v="1"/>
    <s v="B"/>
    <n v="57.25"/>
    <x v="53"/>
    <n v="2617"/>
  </r>
  <r>
    <x v="15"/>
    <x v="4"/>
    <s v="B"/>
    <n v="57.25"/>
    <x v="53"/>
    <n v="2617"/>
  </r>
  <r>
    <x v="15"/>
    <x v="0"/>
    <s v="B"/>
    <n v="57.25"/>
    <x v="53"/>
    <n v="2617"/>
  </r>
  <r>
    <x v="15"/>
    <x v="2"/>
    <s v="B"/>
    <n v="57.25"/>
    <x v="53"/>
    <n v="2617"/>
  </r>
  <r>
    <x v="15"/>
    <x v="3"/>
    <s v="S"/>
    <n v="25"/>
    <x v="54"/>
    <n v="1756.73498535156"/>
  </r>
  <r>
    <x v="15"/>
    <x v="1"/>
    <s v="S"/>
    <n v="25"/>
    <x v="54"/>
    <n v="1756.73498535156"/>
  </r>
  <r>
    <x v="15"/>
    <x v="4"/>
    <s v="S"/>
    <n v="25"/>
    <x v="54"/>
    <n v="1756.73498535156"/>
  </r>
  <r>
    <x v="15"/>
    <x v="0"/>
    <s v="S"/>
    <n v="25"/>
    <x v="54"/>
    <n v="1756.73498535156"/>
  </r>
  <r>
    <x v="15"/>
    <x v="2"/>
    <s v="S"/>
    <n v="25"/>
    <x v="54"/>
    <n v="1756.73498535156"/>
  </r>
  <r>
    <x v="5"/>
    <x v="2"/>
    <s v="S"/>
    <n v="25"/>
    <x v="55"/>
    <n v="1295"/>
  </r>
  <r>
    <x v="5"/>
    <x v="0"/>
    <s v="S"/>
    <n v="25"/>
    <x v="55"/>
    <n v="1295"/>
  </r>
  <r>
    <x v="5"/>
    <x v="1"/>
    <s v="S"/>
    <n v="25"/>
    <x v="55"/>
    <n v="1295"/>
  </r>
  <r>
    <x v="5"/>
    <x v="3"/>
    <s v="S"/>
    <n v="25"/>
    <x v="55"/>
    <n v="1295"/>
  </r>
  <r>
    <x v="5"/>
    <x v="4"/>
    <s v="S"/>
    <n v="25"/>
    <x v="55"/>
    <n v="1295"/>
  </r>
  <r>
    <x v="5"/>
    <x v="2"/>
    <s v="X"/>
    <n v="29"/>
    <x v="56"/>
    <n v="1784.912109375"/>
  </r>
  <r>
    <x v="5"/>
    <x v="0"/>
    <s v="X"/>
    <n v="29"/>
    <x v="56"/>
    <n v="1784.912109375"/>
  </r>
  <r>
    <x v="5"/>
    <x v="1"/>
    <s v="X"/>
    <n v="29"/>
    <x v="56"/>
    <n v="1784.912109375"/>
  </r>
  <r>
    <x v="5"/>
    <x v="3"/>
    <s v="X"/>
    <n v="29"/>
    <x v="56"/>
    <n v="1784.912109375"/>
  </r>
  <r>
    <x v="5"/>
    <x v="4"/>
    <s v="X"/>
    <n v="29"/>
    <x v="56"/>
    <n v="1784.912109375"/>
  </r>
  <r>
    <x v="15"/>
    <x v="3"/>
    <s v="Y"/>
    <n v="59.5"/>
    <x v="57"/>
    <n v="4503"/>
  </r>
  <r>
    <x v="15"/>
    <x v="1"/>
    <s v="Y"/>
    <n v="59.5"/>
    <x v="57"/>
    <n v="4503"/>
  </r>
  <r>
    <x v="15"/>
    <x v="4"/>
    <s v="Y"/>
    <n v="59.5"/>
    <x v="57"/>
    <n v="4503"/>
  </r>
  <r>
    <x v="15"/>
    <x v="0"/>
    <s v="Y"/>
    <n v="59.5"/>
    <x v="57"/>
    <n v="4503"/>
  </r>
  <r>
    <x v="15"/>
    <x v="2"/>
    <s v="Y"/>
    <n v="59.5"/>
    <x v="57"/>
    <n v="4503"/>
  </r>
  <r>
    <x v="0"/>
    <x v="0"/>
    <s v="A"/>
    <n v="53.255012512207003"/>
    <x v="58"/>
    <n v="528.14813232421795"/>
  </r>
  <r>
    <x v="6"/>
    <x v="3"/>
    <s v="S"/>
    <n v="25"/>
    <x v="59"/>
    <n v="3760"/>
  </r>
  <r>
    <x v="6"/>
    <x v="1"/>
    <s v="S"/>
    <n v="25"/>
    <x v="59"/>
    <n v="3760"/>
  </r>
  <r>
    <x v="6"/>
    <x v="0"/>
    <s v="S"/>
    <n v="25"/>
    <x v="59"/>
    <n v="3760"/>
  </r>
  <r>
    <x v="6"/>
    <x v="4"/>
    <s v="S"/>
    <n v="25"/>
    <x v="59"/>
    <n v="3760"/>
  </r>
  <r>
    <x v="6"/>
    <x v="2"/>
    <s v="S"/>
    <n v="25"/>
    <x v="59"/>
    <n v="3760"/>
  </r>
  <r>
    <x v="8"/>
    <x v="4"/>
    <s v="K"/>
    <n v="58.517463684082003"/>
    <x v="60"/>
    <n v="1563.5"/>
  </r>
  <r>
    <x v="8"/>
    <x v="0"/>
    <s v="K"/>
    <n v="58.517463684082003"/>
    <x v="60"/>
    <n v="1563.5"/>
  </r>
  <r>
    <x v="8"/>
    <x v="3"/>
    <s v="K"/>
    <n v="58.517463684082003"/>
    <x v="60"/>
    <n v="1563.5"/>
  </r>
  <r>
    <x v="8"/>
    <x v="1"/>
    <s v="K"/>
    <n v="58.517463684082003"/>
    <x v="60"/>
    <n v="1563.5"/>
  </r>
  <r>
    <x v="8"/>
    <x v="2"/>
    <s v="K"/>
    <n v="58.517463684082003"/>
    <x v="60"/>
    <n v="1563.5"/>
  </r>
  <r>
    <x v="6"/>
    <x v="3"/>
    <s v="L"/>
    <n v="37"/>
    <x v="61"/>
    <n v="3760"/>
  </r>
  <r>
    <x v="6"/>
    <x v="1"/>
    <s v="L"/>
    <n v="37"/>
    <x v="61"/>
    <n v="3760"/>
  </r>
  <r>
    <x v="6"/>
    <x v="0"/>
    <s v="L"/>
    <n v="37"/>
    <x v="61"/>
    <n v="3760"/>
  </r>
  <r>
    <x v="6"/>
    <x v="4"/>
    <s v="L"/>
    <n v="37"/>
    <x v="61"/>
    <n v="3760"/>
  </r>
  <r>
    <x v="6"/>
    <x v="2"/>
    <s v="L"/>
    <n v="37"/>
    <x v="61"/>
    <n v="3760"/>
  </r>
  <r>
    <x v="5"/>
    <x v="2"/>
    <s v="O"/>
    <n v="13.168941497802701"/>
    <x v="62"/>
    <n v="1175"/>
  </r>
  <r>
    <x v="5"/>
    <x v="0"/>
    <s v="O"/>
    <n v="13.168941497802701"/>
    <x v="62"/>
    <n v="1175"/>
  </r>
  <r>
    <x v="5"/>
    <x v="1"/>
    <s v="O"/>
    <n v="13.168941497802701"/>
    <x v="62"/>
    <n v="1175"/>
  </r>
  <r>
    <x v="5"/>
    <x v="3"/>
    <s v="O"/>
    <n v="13.168941497802701"/>
    <x v="62"/>
    <n v="1175"/>
  </r>
  <r>
    <x v="5"/>
    <x v="4"/>
    <s v="O"/>
    <n v="13.168941497802701"/>
    <x v="62"/>
    <n v="1175"/>
  </r>
  <r>
    <x v="12"/>
    <x v="3"/>
    <s v="M"/>
    <n v="41"/>
    <x v="63"/>
    <n v="1410"/>
  </r>
  <r>
    <x v="12"/>
    <x v="2"/>
    <s v="M"/>
    <n v="41"/>
    <x v="63"/>
    <n v="1410"/>
  </r>
  <r>
    <x v="12"/>
    <x v="0"/>
    <s v="M"/>
    <n v="41"/>
    <x v="63"/>
    <n v="1410"/>
  </r>
  <r>
    <x v="12"/>
    <x v="1"/>
    <s v="M"/>
    <n v="41"/>
    <x v="63"/>
    <n v="1410"/>
  </r>
  <r>
    <x v="12"/>
    <x v="4"/>
    <s v="M"/>
    <n v="41"/>
    <x v="63"/>
    <n v="1410"/>
  </r>
  <r>
    <x v="6"/>
    <x v="3"/>
    <s v="X"/>
    <n v="29"/>
    <x v="64"/>
    <n v="3760"/>
  </r>
  <r>
    <x v="6"/>
    <x v="1"/>
    <s v="X"/>
    <n v="29"/>
    <x v="64"/>
    <n v="3760"/>
  </r>
  <r>
    <x v="6"/>
    <x v="0"/>
    <s v="X"/>
    <n v="29"/>
    <x v="64"/>
    <n v="3760"/>
  </r>
  <r>
    <x v="6"/>
    <x v="4"/>
    <s v="X"/>
    <n v="29"/>
    <x v="64"/>
    <n v="3760"/>
  </r>
  <r>
    <x v="6"/>
    <x v="2"/>
    <s v="X"/>
    <n v="29"/>
    <x v="64"/>
    <n v="3760"/>
  </r>
  <r>
    <x v="4"/>
    <x v="2"/>
    <s v="H"/>
    <n v="52"/>
    <x v="65"/>
    <n v="3129.58837890625"/>
  </r>
  <r>
    <x v="4"/>
    <x v="4"/>
    <s v="H"/>
    <n v="52"/>
    <x v="65"/>
    <n v="3129.58837890625"/>
  </r>
  <r>
    <x v="4"/>
    <x v="0"/>
    <s v="H"/>
    <n v="52"/>
    <x v="65"/>
    <n v="3129.58837890625"/>
  </r>
  <r>
    <x v="4"/>
    <x v="3"/>
    <s v="H"/>
    <n v="52"/>
    <x v="65"/>
    <n v="3129.58837890625"/>
  </r>
  <r>
    <x v="4"/>
    <x v="1"/>
    <s v="H"/>
    <n v="52"/>
    <x v="65"/>
    <n v="3129.58837890625"/>
  </r>
  <r>
    <x v="4"/>
    <x v="2"/>
    <s v="M"/>
    <n v="41"/>
    <x v="66"/>
    <n v="2698.20166015625"/>
  </r>
  <r>
    <x v="4"/>
    <x v="4"/>
    <s v="M"/>
    <n v="41"/>
    <x v="66"/>
    <n v="2698.20166015625"/>
  </r>
  <r>
    <x v="4"/>
    <x v="0"/>
    <s v="M"/>
    <n v="41"/>
    <x v="66"/>
    <n v="2698.20166015625"/>
  </r>
  <r>
    <x v="4"/>
    <x v="3"/>
    <s v="M"/>
    <n v="41"/>
    <x v="66"/>
    <n v="2698.20166015625"/>
  </r>
  <r>
    <x v="4"/>
    <x v="1"/>
    <s v="M"/>
    <n v="41"/>
    <x v="66"/>
    <n v="2698.20166015625"/>
  </r>
  <r>
    <x v="11"/>
    <x v="4"/>
    <s v="X"/>
    <n v="31.506893157958899"/>
    <x v="67"/>
    <n v="1357.75"/>
  </r>
  <r>
    <x v="11"/>
    <x v="0"/>
    <s v="X"/>
    <n v="31.506893157958899"/>
    <x v="67"/>
    <n v="1357.75"/>
  </r>
  <r>
    <x v="11"/>
    <x v="1"/>
    <s v="X"/>
    <n v="31.506893157958899"/>
    <x v="67"/>
    <n v="1357.75"/>
  </r>
  <r>
    <x v="11"/>
    <x v="2"/>
    <s v="X"/>
    <n v="31.506893157958899"/>
    <x v="67"/>
    <n v="1357.75"/>
  </r>
  <r>
    <x v="11"/>
    <x v="3"/>
    <s v="X"/>
    <n v="31.506893157958899"/>
    <x v="67"/>
    <n v="1357.75"/>
  </r>
  <r>
    <x v="11"/>
    <x v="4"/>
    <s v="G"/>
    <n v="11.449758529663001"/>
    <x v="68"/>
    <n v="1137.0909118652301"/>
  </r>
  <r>
    <x v="11"/>
    <x v="0"/>
    <s v="G"/>
    <n v="11.449758529663001"/>
    <x v="68"/>
    <n v="1137.0909118652301"/>
  </r>
  <r>
    <x v="11"/>
    <x v="1"/>
    <s v="G"/>
    <n v="11.449758529663001"/>
    <x v="68"/>
    <n v="1137.0909118652301"/>
  </r>
  <r>
    <x v="11"/>
    <x v="2"/>
    <s v="G"/>
    <n v="11.449758529663001"/>
    <x v="68"/>
    <n v="1137.0909118652301"/>
  </r>
  <r>
    <x v="11"/>
    <x v="3"/>
    <s v="G"/>
    <n v="11.449758529663001"/>
    <x v="68"/>
    <n v="1137.0909118652301"/>
  </r>
  <r>
    <x v="1"/>
    <x v="1"/>
    <s v="B"/>
    <n v="57.25"/>
    <x v="69"/>
    <n v="2617"/>
  </r>
  <r>
    <x v="1"/>
    <x v="0"/>
    <s v="B"/>
    <n v="57.25"/>
    <x v="69"/>
    <n v="2617"/>
  </r>
  <r>
    <x v="1"/>
    <x v="2"/>
    <s v="B"/>
    <n v="57.25"/>
    <x v="69"/>
    <n v="2617"/>
  </r>
  <r>
    <x v="1"/>
    <x v="3"/>
    <s v="B"/>
    <n v="57.25"/>
    <x v="69"/>
    <n v="2617"/>
  </r>
  <r>
    <x v="1"/>
    <x v="4"/>
    <s v="B"/>
    <n v="57.25"/>
    <x v="69"/>
    <n v="2617"/>
  </r>
  <r>
    <x v="4"/>
    <x v="2"/>
    <s v="S"/>
    <n v="25"/>
    <x v="70"/>
    <n v="1756.73498535156"/>
  </r>
  <r>
    <x v="4"/>
    <x v="4"/>
    <s v="S"/>
    <n v="25"/>
    <x v="70"/>
    <n v="1756.73498535156"/>
  </r>
  <r>
    <x v="4"/>
    <x v="0"/>
    <s v="S"/>
    <n v="25"/>
    <x v="70"/>
    <n v="1756.73498535156"/>
  </r>
  <r>
    <x v="4"/>
    <x v="3"/>
    <s v="S"/>
    <n v="25"/>
    <x v="70"/>
    <n v="1756.73498535156"/>
  </r>
  <r>
    <x v="4"/>
    <x v="1"/>
    <s v="S"/>
    <n v="25"/>
    <x v="70"/>
    <n v="1756.73498535156"/>
  </r>
  <r>
    <x v="7"/>
    <x v="1"/>
    <s v="G"/>
    <n v="11.7281799316406"/>
    <x v="71"/>
    <n v="2039.04309082031"/>
  </r>
  <r>
    <x v="7"/>
    <x v="4"/>
    <s v="G"/>
    <n v="11.7281799316406"/>
    <x v="71"/>
    <n v="2039.04309082031"/>
  </r>
  <r>
    <x v="7"/>
    <x v="0"/>
    <s v="G"/>
    <n v="11.7281799316406"/>
    <x v="71"/>
    <n v="2039.04309082031"/>
  </r>
  <r>
    <x v="7"/>
    <x v="3"/>
    <s v="G"/>
    <n v="11.7281799316406"/>
    <x v="71"/>
    <n v="2039.04309082031"/>
  </r>
  <r>
    <x v="7"/>
    <x v="2"/>
    <s v="G"/>
    <n v="11.7281799316406"/>
    <x v="71"/>
    <n v="2039.04309082031"/>
  </r>
  <r>
    <x v="15"/>
    <x v="3"/>
    <s v="O"/>
    <n v="8"/>
    <x v="72"/>
    <n v="838.5"/>
  </r>
  <r>
    <x v="15"/>
    <x v="1"/>
    <s v="O"/>
    <n v="8"/>
    <x v="72"/>
    <n v="838.5"/>
  </r>
  <r>
    <x v="15"/>
    <x v="4"/>
    <s v="O"/>
    <n v="8"/>
    <x v="72"/>
    <n v="838.5"/>
  </r>
  <r>
    <x v="15"/>
    <x v="0"/>
    <s v="O"/>
    <n v="8"/>
    <x v="72"/>
    <n v="838.5"/>
  </r>
  <r>
    <x v="15"/>
    <x v="2"/>
    <s v="O"/>
    <n v="8"/>
    <x v="72"/>
    <n v="838.5"/>
  </r>
  <r>
    <x v="5"/>
    <x v="2"/>
    <s v="M"/>
    <n v="41"/>
    <x v="73"/>
    <n v="2629.4423828125"/>
  </r>
  <r>
    <x v="5"/>
    <x v="0"/>
    <s v="M"/>
    <n v="41"/>
    <x v="73"/>
    <n v="2629.4423828125"/>
  </r>
  <r>
    <x v="5"/>
    <x v="1"/>
    <s v="M"/>
    <n v="41"/>
    <x v="73"/>
    <n v="2629.4423828125"/>
  </r>
  <r>
    <x v="5"/>
    <x v="3"/>
    <s v="M"/>
    <n v="41"/>
    <x v="73"/>
    <n v="2629.4423828125"/>
  </r>
  <r>
    <x v="5"/>
    <x v="4"/>
    <s v="M"/>
    <n v="41"/>
    <x v="73"/>
    <n v="2629.4423828125"/>
  </r>
  <r>
    <x v="8"/>
    <x v="4"/>
    <s v="O"/>
    <n v="13.168941497802701"/>
    <x v="74"/>
    <n v="1175"/>
  </r>
  <r>
    <x v="8"/>
    <x v="0"/>
    <s v="O"/>
    <n v="13.168941497802701"/>
    <x v="74"/>
    <n v="1175"/>
  </r>
  <r>
    <x v="8"/>
    <x v="3"/>
    <s v="O"/>
    <n v="13.168941497802701"/>
    <x v="74"/>
    <n v="1175"/>
  </r>
  <r>
    <x v="8"/>
    <x v="1"/>
    <s v="O"/>
    <n v="13.168941497802701"/>
    <x v="74"/>
    <n v="1175"/>
  </r>
  <r>
    <x v="8"/>
    <x v="2"/>
    <s v="O"/>
    <n v="13.168941497802701"/>
    <x v="74"/>
    <n v="1175"/>
  </r>
  <r>
    <x v="5"/>
    <x v="2"/>
    <s v="Q"/>
    <n v="16.045707702636701"/>
    <x v="75"/>
    <n v="1215"/>
  </r>
  <r>
    <x v="5"/>
    <x v="0"/>
    <s v="Q"/>
    <n v="16.045707702636701"/>
    <x v="75"/>
    <n v="1215"/>
  </r>
  <r>
    <x v="5"/>
    <x v="1"/>
    <s v="Q"/>
    <n v="16.045707702636701"/>
    <x v="75"/>
    <n v="1215"/>
  </r>
  <r>
    <x v="5"/>
    <x v="3"/>
    <s v="Q"/>
    <n v="16.045707702636701"/>
    <x v="75"/>
    <n v="1215"/>
  </r>
  <r>
    <x v="5"/>
    <x v="4"/>
    <s v="Q"/>
    <n v="16.045707702636701"/>
    <x v="75"/>
    <n v="1215"/>
  </r>
  <r>
    <x v="11"/>
    <x v="4"/>
    <s v="V"/>
    <n v="36.260005950927699"/>
    <x v="76"/>
    <n v="1375.5625"/>
  </r>
  <r>
    <x v="11"/>
    <x v="0"/>
    <s v="V"/>
    <n v="36.260005950927699"/>
    <x v="76"/>
    <n v="1375.5625"/>
  </r>
  <r>
    <x v="11"/>
    <x v="1"/>
    <s v="V"/>
    <n v="36.260005950927699"/>
    <x v="76"/>
    <n v="1375.5625"/>
  </r>
  <r>
    <x v="11"/>
    <x v="2"/>
    <s v="V"/>
    <n v="36.260005950927699"/>
    <x v="76"/>
    <n v="1375.5625"/>
  </r>
  <r>
    <x v="11"/>
    <x v="3"/>
    <s v="V"/>
    <n v="36.260005950927699"/>
    <x v="76"/>
    <n v="1375.5625"/>
  </r>
  <r>
    <x v="14"/>
    <x v="1"/>
    <s v="S"/>
    <n v="25"/>
    <x v="77"/>
    <n v="1820"/>
  </r>
  <r>
    <x v="14"/>
    <x v="4"/>
    <s v="S"/>
    <n v="25"/>
    <x v="77"/>
    <n v="1820"/>
  </r>
  <r>
    <x v="14"/>
    <x v="2"/>
    <s v="S"/>
    <n v="25"/>
    <x v="77"/>
    <n v="1820"/>
  </r>
  <r>
    <x v="14"/>
    <x v="0"/>
    <s v="S"/>
    <n v="25"/>
    <x v="77"/>
    <n v="1820"/>
  </r>
  <r>
    <x v="14"/>
    <x v="3"/>
    <s v="S"/>
    <n v="25"/>
    <x v="77"/>
    <n v="1820"/>
  </r>
  <r>
    <x v="3"/>
    <x v="0"/>
    <s v="B"/>
    <n v="58"/>
    <x v="78"/>
    <n v="2550.5"/>
  </r>
  <r>
    <x v="3"/>
    <x v="2"/>
    <s v="B"/>
    <n v="58"/>
    <x v="78"/>
    <n v="2550.5"/>
  </r>
  <r>
    <x v="3"/>
    <x v="4"/>
    <s v="B"/>
    <n v="58"/>
    <x v="78"/>
    <n v="2550.5"/>
  </r>
  <r>
    <x v="3"/>
    <x v="3"/>
    <s v="B"/>
    <n v="58"/>
    <x v="78"/>
    <n v="2550.5"/>
  </r>
  <r>
    <x v="3"/>
    <x v="1"/>
    <s v="B"/>
    <n v="58"/>
    <x v="78"/>
    <n v="2550.5"/>
  </r>
  <r>
    <x v="1"/>
    <x v="1"/>
    <s v="M"/>
    <n v="41"/>
    <x v="79"/>
    <n v="1403.5"/>
  </r>
  <r>
    <x v="1"/>
    <x v="0"/>
    <s v="M"/>
    <n v="41"/>
    <x v="79"/>
    <n v="1403.5"/>
  </r>
  <r>
    <x v="1"/>
    <x v="2"/>
    <s v="M"/>
    <n v="41"/>
    <x v="79"/>
    <n v="1403.5"/>
  </r>
  <r>
    <x v="1"/>
    <x v="3"/>
    <s v="M"/>
    <n v="41"/>
    <x v="79"/>
    <n v="1403.5"/>
  </r>
  <r>
    <x v="1"/>
    <x v="4"/>
    <s v="M"/>
    <n v="41"/>
    <x v="79"/>
    <n v="1403.5"/>
  </r>
  <r>
    <x v="13"/>
    <x v="1"/>
    <s v="H"/>
    <n v="52"/>
    <x v="80"/>
    <n v="1736.5"/>
  </r>
  <r>
    <x v="13"/>
    <x v="0"/>
    <s v="H"/>
    <n v="52"/>
    <x v="80"/>
    <n v="1736.5"/>
  </r>
  <r>
    <x v="13"/>
    <x v="2"/>
    <s v="H"/>
    <n v="52"/>
    <x v="80"/>
    <n v="1736.5"/>
  </r>
  <r>
    <x v="13"/>
    <x v="4"/>
    <s v="H"/>
    <n v="52"/>
    <x v="80"/>
    <n v="1736.5"/>
  </r>
  <r>
    <x v="13"/>
    <x v="3"/>
    <s v="H"/>
    <n v="52"/>
    <x v="80"/>
    <n v="1736.5"/>
  </r>
  <r>
    <x v="14"/>
    <x v="1"/>
    <s v="G"/>
    <n v="13.5487470626831"/>
    <x v="81"/>
    <n v="1820"/>
  </r>
  <r>
    <x v="14"/>
    <x v="4"/>
    <s v="G"/>
    <n v="13.5487470626831"/>
    <x v="81"/>
    <n v="1820"/>
  </r>
  <r>
    <x v="14"/>
    <x v="2"/>
    <s v="G"/>
    <n v="13.5487470626831"/>
    <x v="81"/>
    <n v="1820"/>
  </r>
  <r>
    <x v="14"/>
    <x v="0"/>
    <s v="G"/>
    <n v="13.5487470626831"/>
    <x v="81"/>
    <n v="1820"/>
  </r>
  <r>
    <x v="14"/>
    <x v="3"/>
    <s v="G"/>
    <n v="13.5487470626831"/>
    <x v="81"/>
    <n v="1820"/>
  </r>
  <r>
    <x v="10"/>
    <x v="2"/>
    <s v="Q"/>
    <n v="16.045707702636701"/>
    <x v="82"/>
    <n v="765"/>
  </r>
  <r>
    <x v="10"/>
    <x v="0"/>
    <s v="Q"/>
    <n v="16.045707702636701"/>
    <x v="82"/>
    <n v="765"/>
  </r>
  <r>
    <x v="10"/>
    <x v="3"/>
    <s v="Q"/>
    <n v="16.045707702636701"/>
    <x v="82"/>
    <n v="765"/>
  </r>
  <r>
    <x v="10"/>
    <x v="4"/>
    <s v="Q"/>
    <n v="16.045707702636701"/>
    <x v="82"/>
    <n v="765"/>
  </r>
  <r>
    <x v="10"/>
    <x v="1"/>
    <s v="Q"/>
    <n v="16.045707702636701"/>
    <x v="82"/>
    <n v="765"/>
  </r>
  <r>
    <x v="12"/>
    <x v="3"/>
    <s v="O"/>
    <n v="13.168941497802701"/>
    <x v="83"/>
    <n v="1164"/>
  </r>
  <r>
    <x v="12"/>
    <x v="2"/>
    <s v="O"/>
    <n v="13.168941497802701"/>
    <x v="83"/>
    <n v="1164"/>
  </r>
  <r>
    <x v="12"/>
    <x v="0"/>
    <s v="O"/>
    <n v="13.168941497802701"/>
    <x v="83"/>
    <n v="1164"/>
  </r>
  <r>
    <x v="12"/>
    <x v="1"/>
    <s v="O"/>
    <n v="13.168941497802701"/>
    <x v="83"/>
    <n v="1164"/>
  </r>
  <r>
    <x v="12"/>
    <x v="4"/>
    <s v="O"/>
    <n v="13.168941497802701"/>
    <x v="83"/>
    <n v="1164"/>
  </r>
  <r>
    <x v="15"/>
    <x v="3"/>
    <s v="X"/>
    <n v="29"/>
    <x v="84"/>
    <n v="1972.16784667968"/>
  </r>
  <r>
    <x v="15"/>
    <x v="1"/>
    <s v="X"/>
    <n v="29"/>
    <x v="84"/>
    <n v="1972.16784667968"/>
  </r>
  <r>
    <x v="15"/>
    <x v="4"/>
    <s v="X"/>
    <n v="29"/>
    <x v="84"/>
    <n v="1972.16784667968"/>
  </r>
  <r>
    <x v="15"/>
    <x v="0"/>
    <s v="X"/>
    <n v="29"/>
    <x v="84"/>
    <n v="1972.16784667968"/>
  </r>
  <r>
    <x v="15"/>
    <x v="2"/>
    <s v="X"/>
    <n v="29"/>
    <x v="84"/>
    <n v="1972.16784667968"/>
  </r>
  <r>
    <x v="2"/>
    <x v="3"/>
    <s v="L"/>
    <n v="37"/>
    <x v="85"/>
    <n v="2440.46215820312"/>
  </r>
  <r>
    <x v="2"/>
    <x v="0"/>
    <s v="L"/>
    <n v="37"/>
    <x v="85"/>
    <n v="2440.46215820312"/>
  </r>
  <r>
    <x v="2"/>
    <x v="2"/>
    <s v="L"/>
    <n v="37"/>
    <x v="85"/>
    <n v="2440.46215820312"/>
  </r>
  <r>
    <x v="2"/>
    <x v="1"/>
    <s v="L"/>
    <n v="37"/>
    <x v="85"/>
    <n v="2440.46215820312"/>
  </r>
  <r>
    <x v="2"/>
    <x v="4"/>
    <s v="L"/>
    <n v="37"/>
    <x v="85"/>
    <n v="2440.46215820312"/>
  </r>
  <r>
    <x v="1"/>
    <x v="1"/>
    <s v="H"/>
    <n v="52"/>
    <x v="86"/>
    <n v="2080"/>
  </r>
  <r>
    <x v="1"/>
    <x v="0"/>
    <s v="H"/>
    <n v="52"/>
    <x v="86"/>
    <n v="2080"/>
  </r>
  <r>
    <x v="1"/>
    <x v="2"/>
    <s v="H"/>
    <n v="52"/>
    <x v="86"/>
    <n v="2080"/>
  </r>
  <r>
    <x v="1"/>
    <x v="3"/>
    <s v="H"/>
    <n v="52"/>
    <x v="86"/>
    <n v="2080"/>
  </r>
  <r>
    <x v="1"/>
    <x v="4"/>
    <s v="H"/>
    <n v="52"/>
    <x v="86"/>
    <n v="2080"/>
  </r>
  <r>
    <x v="6"/>
    <x v="3"/>
    <s v="A"/>
    <n v="4.9567809104919398"/>
    <x v="87"/>
    <n v="3760"/>
  </r>
  <r>
    <x v="6"/>
    <x v="1"/>
    <s v="A"/>
    <n v="4.9567809104919398"/>
    <x v="87"/>
    <n v="3760"/>
  </r>
  <r>
    <x v="6"/>
    <x v="0"/>
    <s v="A"/>
    <n v="4.9567809104919398"/>
    <x v="87"/>
    <n v="3760"/>
  </r>
  <r>
    <x v="6"/>
    <x v="4"/>
    <s v="A"/>
    <n v="4.9567809104919398"/>
    <x v="87"/>
    <n v="3760"/>
  </r>
  <r>
    <x v="6"/>
    <x v="2"/>
    <s v="A"/>
    <n v="4.9567809104919398"/>
    <x v="87"/>
    <n v="3760"/>
  </r>
  <r>
    <x v="6"/>
    <x v="3"/>
    <s v="M"/>
    <n v="41"/>
    <x v="88"/>
    <n v="3760"/>
  </r>
  <r>
    <x v="6"/>
    <x v="1"/>
    <s v="M"/>
    <n v="41"/>
    <x v="88"/>
    <n v="3760"/>
  </r>
  <r>
    <x v="6"/>
    <x v="0"/>
    <s v="M"/>
    <n v="41"/>
    <x v="88"/>
    <n v="3760"/>
  </r>
  <r>
    <x v="6"/>
    <x v="4"/>
    <s v="M"/>
    <n v="41"/>
    <x v="88"/>
    <n v="3760"/>
  </r>
  <r>
    <x v="6"/>
    <x v="2"/>
    <s v="M"/>
    <n v="41"/>
    <x v="88"/>
    <n v="3760"/>
  </r>
  <r>
    <x v="2"/>
    <x v="3"/>
    <s v="X"/>
    <n v="29"/>
    <x v="89"/>
    <n v="1972.16784667968"/>
  </r>
  <r>
    <x v="2"/>
    <x v="0"/>
    <s v="X"/>
    <n v="29"/>
    <x v="89"/>
    <n v="1972.16784667968"/>
  </r>
  <r>
    <x v="2"/>
    <x v="2"/>
    <s v="X"/>
    <n v="29"/>
    <x v="89"/>
    <n v="1972.16784667968"/>
  </r>
  <r>
    <x v="2"/>
    <x v="1"/>
    <s v="X"/>
    <n v="29"/>
    <x v="89"/>
    <n v="1972.16784667968"/>
  </r>
  <r>
    <x v="2"/>
    <x v="4"/>
    <s v="X"/>
    <n v="29"/>
    <x v="89"/>
    <n v="1972.16784667968"/>
  </r>
  <r>
    <x v="14"/>
    <x v="1"/>
    <s v="K"/>
    <n v="62.069156646728501"/>
    <x v="90"/>
    <n v="2626"/>
  </r>
  <r>
    <x v="14"/>
    <x v="4"/>
    <s v="K"/>
    <n v="62.069156646728501"/>
    <x v="90"/>
    <n v="2626"/>
  </r>
  <r>
    <x v="14"/>
    <x v="2"/>
    <s v="K"/>
    <n v="62.069156646728501"/>
    <x v="90"/>
    <n v="2626"/>
  </r>
  <r>
    <x v="14"/>
    <x v="0"/>
    <s v="K"/>
    <n v="62.069156646728501"/>
    <x v="90"/>
    <n v="2626"/>
  </r>
  <r>
    <x v="14"/>
    <x v="3"/>
    <s v="K"/>
    <n v="62.069156646728501"/>
    <x v="90"/>
    <n v="2626"/>
  </r>
  <r>
    <x v="10"/>
    <x v="2"/>
    <s v="S"/>
    <n v="25"/>
    <x v="91"/>
    <n v="887.48645019531205"/>
  </r>
  <r>
    <x v="10"/>
    <x v="0"/>
    <s v="S"/>
    <n v="25"/>
    <x v="91"/>
    <n v="887.48645019531205"/>
  </r>
  <r>
    <x v="10"/>
    <x v="3"/>
    <s v="S"/>
    <n v="25"/>
    <x v="91"/>
    <n v="887.48645019531205"/>
  </r>
  <r>
    <x v="10"/>
    <x v="4"/>
    <s v="S"/>
    <n v="25"/>
    <x v="91"/>
    <n v="887.48645019531205"/>
  </r>
  <r>
    <x v="10"/>
    <x v="1"/>
    <s v="S"/>
    <n v="25"/>
    <x v="91"/>
    <n v="887.48645019531205"/>
  </r>
  <r>
    <x v="12"/>
    <x v="3"/>
    <s v="H"/>
    <n v="52"/>
    <x v="92"/>
    <n v="1954.5"/>
  </r>
  <r>
    <x v="12"/>
    <x v="2"/>
    <s v="H"/>
    <n v="52"/>
    <x v="92"/>
    <n v="1954.5"/>
  </r>
  <r>
    <x v="12"/>
    <x v="0"/>
    <s v="H"/>
    <n v="52"/>
    <x v="92"/>
    <n v="1954.5"/>
  </r>
  <r>
    <x v="12"/>
    <x v="1"/>
    <s v="H"/>
    <n v="52"/>
    <x v="92"/>
    <n v="1954.5"/>
  </r>
  <r>
    <x v="12"/>
    <x v="4"/>
    <s v="H"/>
    <n v="52"/>
    <x v="92"/>
    <n v="1954.5"/>
  </r>
  <r>
    <x v="9"/>
    <x v="1"/>
    <s v="K"/>
    <n v="46"/>
    <x v="93"/>
    <n v="1697.5"/>
  </r>
  <r>
    <x v="9"/>
    <x v="4"/>
    <s v="K"/>
    <n v="46"/>
    <x v="93"/>
    <n v="1697.5"/>
  </r>
  <r>
    <x v="9"/>
    <x v="0"/>
    <s v="K"/>
    <n v="46"/>
    <x v="93"/>
    <n v="1697.5"/>
  </r>
  <r>
    <x v="9"/>
    <x v="3"/>
    <s v="K"/>
    <n v="46"/>
    <x v="93"/>
    <n v="1697.5"/>
  </r>
  <r>
    <x v="9"/>
    <x v="2"/>
    <s v="K"/>
    <n v="46"/>
    <x v="93"/>
    <n v="1697.5"/>
  </r>
  <r>
    <x v="9"/>
    <x v="1"/>
    <s v="N"/>
    <n v="20.6301956176757"/>
    <x v="94"/>
    <n v="1577.64282226562"/>
  </r>
  <r>
    <x v="9"/>
    <x v="4"/>
    <s v="N"/>
    <n v="20.6301956176757"/>
    <x v="94"/>
    <n v="1577.64282226562"/>
  </r>
  <r>
    <x v="9"/>
    <x v="0"/>
    <s v="N"/>
    <n v="20.6301956176757"/>
    <x v="94"/>
    <n v="1577.64282226562"/>
  </r>
  <r>
    <x v="9"/>
    <x v="3"/>
    <s v="N"/>
    <n v="20.6301956176757"/>
    <x v="94"/>
    <n v="1577.64282226562"/>
  </r>
  <r>
    <x v="9"/>
    <x v="2"/>
    <s v="N"/>
    <n v="20.6301956176757"/>
    <x v="94"/>
    <n v="1577.64282226562"/>
  </r>
  <r>
    <x v="10"/>
    <x v="2"/>
    <s v="M"/>
    <n v="41"/>
    <x v="95"/>
    <n v="1295.5"/>
  </r>
  <r>
    <x v="10"/>
    <x v="0"/>
    <s v="M"/>
    <n v="41"/>
    <x v="95"/>
    <n v="1295.5"/>
  </r>
  <r>
    <x v="10"/>
    <x v="3"/>
    <s v="M"/>
    <n v="41"/>
    <x v="95"/>
    <n v="1295.5"/>
  </r>
  <r>
    <x v="10"/>
    <x v="4"/>
    <s v="M"/>
    <n v="41"/>
    <x v="95"/>
    <n v="1295.5"/>
  </r>
  <r>
    <x v="10"/>
    <x v="1"/>
    <s v="M"/>
    <n v="41"/>
    <x v="95"/>
    <n v="1295.5"/>
  </r>
  <r>
    <x v="2"/>
    <x v="3"/>
    <s v="B"/>
    <n v="43.654424147172399"/>
    <x v="96"/>
    <n v="2540"/>
  </r>
  <r>
    <x v="2"/>
    <x v="0"/>
    <s v="B"/>
    <n v="43.654424147172399"/>
    <x v="96"/>
    <n v="2540"/>
  </r>
  <r>
    <x v="2"/>
    <x v="2"/>
    <s v="B"/>
    <n v="43.654424147172399"/>
    <x v="96"/>
    <n v="2540"/>
  </r>
  <r>
    <x v="2"/>
    <x v="1"/>
    <s v="B"/>
    <n v="43.654424147172399"/>
    <x v="96"/>
    <n v="2540"/>
  </r>
  <r>
    <x v="2"/>
    <x v="4"/>
    <s v="B"/>
    <n v="43.654424147172399"/>
    <x v="96"/>
    <n v="2540"/>
  </r>
  <r>
    <x v="8"/>
    <x v="4"/>
    <s v="S"/>
    <n v="24.869464397430399"/>
    <x v="97"/>
    <n v="1295"/>
  </r>
  <r>
    <x v="8"/>
    <x v="0"/>
    <s v="S"/>
    <n v="24.869464397430399"/>
    <x v="97"/>
    <n v="1295"/>
  </r>
  <r>
    <x v="8"/>
    <x v="3"/>
    <s v="S"/>
    <n v="24.869464397430399"/>
    <x v="97"/>
    <n v="1295"/>
  </r>
  <r>
    <x v="8"/>
    <x v="1"/>
    <s v="S"/>
    <n v="24.869464397430399"/>
    <x v="97"/>
    <n v="1295"/>
  </r>
  <r>
    <x v="8"/>
    <x v="2"/>
    <s v="S"/>
    <n v="24.869464397430399"/>
    <x v="97"/>
    <n v="1295"/>
  </r>
  <r>
    <x v="1"/>
    <x v="1"/>
    <s v="K"/>
    <n v="46"/>
    <x v="98"/>
    <n v="1697.5"/>
  </r>
  <r>
    <x v="1"/>
    <x v="0"/>
    <s v="K"/>
    <n v="46"/>
    <x v="98"/>
    <n v="1697.5"/>
  </r>
  <r>
    <x v="1"/>
    <x v="2"/>
    <s v="K"/>
    <n v="46"/>
    <x v="98"/>
    <n v="1697.5"/>
  </r>
  <r>
    <x v="1"/>
    <x v="3"/>
    <s v="K"/>
    <n v="46"/>
    <x v="98"/>
    <n v="1697.5"/>
  </r>
  <r>
    <x v="1"/>
    <x v="4"/>
    <s v="K"/>
    <n v="46"/>
    <x v="98"/>
    <n v="1697.5"/>
  </r>
  <r>
    <x v="7"/>
    <x v="1"/>
    <s v="H"/>
    <n v="52"/>
    <x v="99"/>
    <n v="2302.5"/>
  </r>
  <r>
    <x v="7"/>
    <x v="4"/>
    <s v="H"/>
    <n v="52"/>
    <x v="99"/>
    <n v="2302.5"/>
  </r>
  <r>
    <x v="7"/>
    <x v="0"/>
    <s v="H"/>
    <n v="52"/>
    <x v="99"/>
    <n v="2302.5"/>
  </r>
  <r>
    <x v="7"/>
    <x v="3"/>
    <s v="H"/>
    <n v="52"/>
    <x v="99"/>
    <n v="2302.5"/>
  </r>
  <r>
    <x v="7"/>
    <x v="2"/>
    <s v="H"/>
    <n v="52"/>
    <x v="99"/>
    <n v="2302.5"/>
  </r>
  <r>
    <x v="10"/>
    <x v="2"/>
    <s v="K"/>
    <n v="46"/>
    <x v="100"/>
    <n v="1521"/>
  </r>
  <r>
    <x v="10"/>
    <x v="0"/>
    <s v="K"/>
    <n v="46"/>
    <x v="100"/>
    <n v="1521"/>
  </r>
  <r>
    <x v="10"/>
    <x v="3"/>
    <s v="K"/>
    <n v="46"/>
    <x v="100"/>
    <n v="1521"/>
  </r>
  <r>
    <x v="10"/>
    <x v="4"/>
    <s v="K"/>
    <n v="46"/>
    <x v="100"/>
    <n v="1521"/>
  </r>
  <r>
    <x v="10"/>
    <x v="1"/>
    <s v="K"/>
    <n v="46"/>
    <x v="100"/>
    <n v="1521"/>
  </r>
  <r>
    <x v="6"/>
    <x v="3"/>
    <s v="Q"/>
    <n v="16.886674880981399"/>
    <x v="101"/>
    <n v="3760"/>
  </r>
  <r>
    <x v="6"/>
    <x v="1"/>
    <s v="Q"/>
    <n v="16.886674880981399"/>
    <x v="101"/>
    <n v="3760"/>
  </r>
  <r>
    <x v="6"/>
    <x v="0"/>
    <s v="Q"/>
    <n v="16.886674880981399"/>
    <x v="101"/>
    <n v="3760"/>
  </r>
  <r>
    <x v="6"/>
    <x v="4"/>
    <s v="Q"/>
    <n v="16.886674880981399"/>
    <x v="101"/>
    <n v="3760"/>
  </r>
  <r>
    <x v="6"/>
    <x v="2"/>
    <s v="Q"/>
    <n v="16.886674880981399"/>
    <x v="101"/>
    <n v="3760"/>
  </r>
  <r>
    <x v="8"/>
    <x v="4"/>
    <s v="V"/>
    <n v="36.260005950927699"/>
    <x v="102"/>
    <n v="1375"/>
  </r>
  <r>
    <x v="8"/>
    <x v="0"/>
    <s v="V"/>
    <n v="36.260005950927699"/>
    <x v="102"/>
    <n v="1375"/>
  </r>
  <r>
    <x v="8"/>
    <x v="3"/>
    <s v="V"/>
    <n v="36.260005950927699"/>
    <x v="102"/>
    <n v="1375"/>
  </r>
  <r>
    <x v="8"/>
    <x v="1"/>
    <s v="V"/>
    <n v="36.260005950927699"/>
    <x v="102"/>
    <n v="1375"/>
  </r>
  <r>
    <x v="8"/>
    <x v="2"/>
    <s v="V"/>
    <n v="36.260005950927699"/>
    <x v="102"/>
    <n v="1375"/>
  </r>
  <r>
    <x v="13"/>
    <x v="1"/>
    <s v="M"/>
    <n v="41"/>
    <x v="103"/>
    <n v="1604"/>
  </r>
  <r>
    <x v="13"/>
    <x v="0"/>
    <s v="M"/>
    <n v="41"/>
    <x v="103"/>
    <n v="1604"/>
  </r>
  <r>
    <x v="13"/>
    <x v="2"/>
    <s v="M"/>
    <n v="41"/>
    <x v="103"/>
    <n v="1604"/>
  </r>
  <r>
    <x v="13"/>
    <x v="4"/>
    <s v="M"/>
    <n v="41"/>
    <x v="103"/>
    <n v="1604"/>
  </r>
  <r>
    <x v="13"/>
    <x v="3"/>
    <s v="M"/>
    <n v="41"/>
    <x v="103"/>
    <n v="1604"/>
  </r>
  <r>
    <x v="14"/>
    <x v="1"/>
    <s v="O"/>
    <n v="15.3979845046997"/>
    <x v="104"/>
    <n v="1820"/>
  </r>
  <r>
    <x v="14"/>
    <x v="4"/>
    <s v="O"/>
    <n v="15.3979845046997"/>
    <x v="104"/>
    <n v="1820"/>
  </r>
  <r>
    <x v="14"/>
    <x v="2"/>
    <s v="O"/>
    <n v="15.3979845046997"/>
    <x v="104"/>
    <n v="1820"/>
  </r>
  <r>
    <x v="14"/>
    <x v="0"/>
    <s v="O"/>
    <n v="15.3979845046997"/>
    <x v="104"/>
    <n v="1820"/>
  </r>
  <r>
    <x v="14"/>
    <x v="3"/>
    <s v="O"/>
    <n v="15.3979845046997"/>
    <x v="104"/>
    <n v="1820"/>
  </r>
  <r>
    <x v="15"/>
    <x v="3"/>
    <s v="G"/>
    <n v="6"/>
    <x v="105"/>
    <n v="925"/>
  </r>
  <r>
    <x v="15"/>
    <x v="1"/>
    <s v="G"/>
    <n v="6"/>
    <x v="105"/>
    <n v="925"/>
  </r>
  <r>
    <x v="15"/>
    <x v="4"/>
    <s v="G"/>
    <n v="6"/>
    <x v="105"/>
    <n v="925"/>
  </r>
  <r>
    <x v="15"/>
    <x v="0"/>
    <s v="G"/>
    <n v="6"/>
    <x v="105"/>
    <n v="925"/>
  </r>
  <r>
    <x v="15"/>
    <x v="2"/>
    <s v="G"/>
    <n v="6"/>
    <x v="105"/>
    <n v="925"/>
  </r>
  <r>
    <x v="1"/>
    <x v="1"/>
    <s v="V"/>
    <n v="33"/>
    <x v="106"/>
    <n v="1056.26062011718"/>
  </r>
  <r>
    <x v="1"/>
    <x v="0"/>
    <s v="V"/>
    <n v="33"/>
    <x v="106"/>
    <n v="1056.26062011718"/>
  </r>
  <r>
    <x v="1"/>
    <x v="2"/>
    <s v="V"/>
    <n v="33"/>
    <x v="106"/>
    <n v="1056.26062011718"/>
  </r>
  <r>
    <x v="1"/>
    <x v="3"/>
    <s v="V"/>
    <n v="33"/>
    <x v="106"/>
    <n v="1056.26062011718"/>
  </r>
  <r>
    <x v="1"/>
    <x v="4"/>
    <s v="V"/>
    <n v="33"/>
    <x v="106"/>
    <n v="1056.26062011718"/>
  </r>
  <r>
    <x v="3"/>
    <x v="0"/>
    <s v="X"/>
    <n v="29"/>
    <x v="107"/>
    <n v="1972.16784667968"/>
  </r>
  <r>
    <x v="3"/>
    <x v="2"/>
    <s v="X"/>
    <n v="29"/>
    <x v="107"/>
    <n v="1972.16784667968"/>
  </r>
  <r>
    <x v="3"/>
    <x v="4"/>
    <s v="X"/>
    <n v="29"/>
    <x v="107"/>
    <n v="1972.16784667968"/>
  </r>
  <r>
    <x v="3"/>
    <x v="3"/>
    <s v="X"/>
    <n v="29"/>
    <x v="107"/>
    <n v="1972.16784667968"/>
  </r>
  <r>
    <x v="3"/>
    <x v="1"/>
    <s v="X"/>
    <n v="29"/>
    <x v="107"/>
    <n v="1972.16784667968"/>
  </r>
  <r>
    <x v="1"/>
    <x v="1"/>
    <s v="N"/>
    <n v="20.6301956176757"/>
    <x v="108"/>
    <n v="799.87561035156205"/>
  </r>
  <r>
    <x v="1"/>
    <x v="0"/>
    <s v="N"/>
    <n v="20.6301956176757"/>
    <x v="108"/>
    <n v="799.87561035156205"/>
  </r>
  <r>
    <x v="1"/>
    <x v="2"/>
    <s v="N"/>
    <n v="20.6301956176757"/>
    <x v="108"/>
    <n v="799.87561035156205"/>
  </r>
  <r>
    <x v="1"/>
    <x v="3"/>
    <s v="N"/>
    <n v="20.6301956176757"/>
    <x v="108"/>
    <n v="799.87561035156205"/>
  </r>
  <r>
    <x v="1"/>
    <x v="4"/>
    <s v="N"/>
    <n v="20.6301956176757"/>
    <x v="108"/>
    <n v="799.87561035156205"/>
  </r>
  <r>
    <x v="5"/>
    <x v="2"/>
    <s v="K"/>
    <n v="46"/>
    <x v="109"/>
    <n v="2927.54931640625"/>
  </r>
  <r>
    <x v="5"/>
    <x v="0"/>
    <s v="K"/>
    <n v="46"/>
    <x v="109"/>
    <n v="2927.54931640625"/>
  </r>
  <r>
    <x v="5"/>
    <x v="1"/>
    <s v="K"/>
    <n v="46"/>
    <x v="109"/>
    <n v="2927.54931640625"/>
  </r>
  <r>
    <x v="5"/>
    <x v="3"/>
    <s v="K"/>
    <n v="46"/>
    <x v="109"/>
    <n v="2927.54931640625"/>
  </r>
  <r>
    <x v="5"/>
    <x v="4"/>
    <s v="K"/>
    <n v="46"/>
    <x v="109"/>
    <n v="2927.54931640625"/>
  </r>
  <r>
    <x v="4"/>
    <x v="2"/>
    <s v="O"/>
    <n v="8"/>
    <x v="110"/>
    <n v="1020.5640258789"/>
  </r>
  <r>
    <x v="4"/>
    <x v="4"/>
    <s v="O"/>
    <n v="8"/>
    <x v="110"/>
    <n v="1020.5640258789"/>
  </r>
  <r>
    <x v="4"/>
    <x v="0"/>
    <s v="O"/>
    <n v="8"/>
    <x v="110"/>
    <n v="1020.5640258789"/>
  </r>
  <r>
    <x v="4"/>
    <x v="3"/>
    <s v="O"/>
    <n v="8"/>
    <x v="110"/>
    <n v="1020.5640258789"/>
  </r>
  <r>
    <x v="4"/>
    <x v="1"/>
    <s v="O"/>
    <n v="8"/>
    <x v="110"/>
    <n v="1020.5640258789"/>
  </r>
  <r>
    <x v="14"/>
    <x v="1"/>
    <s v="N"/>
    <n v="23.533229827880799"/>
    <x v="111"/>
    <n v="1820"/>
  </r>
  <r>
    <x v="14"/>
    <x v="4"/>
    <s v="N"/>
    <n v="23.533229827880799"/>
    <x v="111"/>
    <n v="1820"/>
  </r>
  <r>
    <x v="14"/>
    <x v="2"/>
    <s v="N"/>
    <n v="23.533229827880799"/>
    <x v="111"/>
    <n v="1820"/>
  </r>
  <r>
    <x v="14"/>
    <x v="0"/>
    <s v="N"/>
    <n v="23.533229827880799"/>
    <x v="111"/>
    <n v="1820"/>
  </r>
  <r>
    <x v="14"/>
    <x v="3"/>
    <s v="N"/>
    <n v="23.533229827880799"/>
    <x v="111"/>
    <n v="1820"/>
  </r>
  <r>
    <x v="14"/>
    <x v="1"/>
    <s v="Y"/>
    <n v="75.711982727050696"/>
    <x v="112"/>
    <n v="4568"/>
  </r>
  <r>
    <x v="14"/>
    <x v="4"/>
    <s v="Y"/>
    <n v="75.711982727050696"/>
    <x v="112"/>
    <n v="4568"/>
  </r>
  <r>
    <x v="14"/>
    <x v="2"/>
    <s v="Y"/>
    <n v="75.711982727050696"/>
    <x v="112"/>
    <n v="4568"/>
  </r>
  <r>
    <x v="14"/>
    <x v="0"/>
    <s v="Y"/>
    <n v="75.711982727050696"/>
    <x v="112"/>
    <n v="4568"/>
  </r>
  <r>
    <x v="14"/>
    <x v="3"/>
    <s v="Y"/>
    <n v="75.711982727050696"/>
    <x v="112"/>
    <n v="4568"/>
  </r>
  <r>
    <x v="7"/>
    <x v="1"/>
    <s v="Q"/>
    <n v="16.435888290405199"/>
    <x v="113"/>
    <n v="2039.04309082031"/>
  </r>
  <r>
    <x v="7"/>
    <x v="4"/>
    <s v="Q"/>
    <n v="16.435888290405199"/>
    <x v="113"/>
    <n v="2039.04309082031"/>
  </r>
  <r>
    <x v="7"/>
    <x v="0"/>
    <s v="Q"/>
    <n v="16.435888290405199"/>
    <x v="113"/>
    <n v="2039.04309082031"/>
  </r>
  <r>
    <x v="7"/>
    <x v="3"/>
    <s v="Q"/>
    <n v="16.435888290405199"/>
    <x v="113"/>
    <n v="2039.04309082031"/>
  </r>
  <r>
    <x v="7"/>
    <x v="2"/>
    <s v="Q"/>
    <n v="16.435888290405199"/>
    <x v="113"/>
    <n v="2039.04309082031"/>
  </r>
  <r>
    <x v="7"/>
    <x v="1"/>
    <s v="S"/>
    <n v="25"/>
    <x v="114"/>
    <n v="2039.04309082031"/>
  </r>
  <r>
    <x v="7"/>
    <x v="4"/>
    <s v="S"/>
    <n v="25"/>
    <x v="114"/>
    <n v="2039.04309082031"/>
  </r>
  <r>
    <x v="7"/>
    <x v="0"/>
    <s v="S"/>
    <n v="25"/>
    <x v="114"/>
    <n v="2039.04309082031"/>
  </r>
  <r>
    <x v="7"/>
    <x v="3"/>
    <s v="S"/>
    <n v="25"/>
    <x v="114"/>
    <n v="2039.04309082031"/>
  </r>
  <r>
    <x v="7"/>
    <x v="2"/>
    <s v="S"/>
    <n v="25"/>
    <x v="114"/>
    <n v="2039.04309082031"/>
  </r>
  <r>
    <x v="7"/>
    <x v="1"/>
    <s v="V"/>
    <n v="33"/>
    <x v="115"/>
    <n v="2039.04309082031"/>
  </r>
  <r>
    <x v="7"/>
    <x v="4"/>
    <s v="V"/>
    <n v="33"/>
    <x v="115"/>
    <n v="2039.04309082031"/>
  </r>
  <r>
    <x v="7"/>
    <x v="0"/>
    <s v="V"/>
    <n v="33"/>
    <x v="115"/>
    <n v="2039.04309082031"/>
  </r>
  <r>
    <x v="7"/>
    <x v="3"/>
    <s v="V"/>
    <n v="33"/>
    <x v="115"/>
    <n v="2039.04309082031"/>
  </r>
  <r>
    <x v="7"/>
    <x v="2"/>
    <s v="V"/>
    <n v="33"/>
    <x v="115"/>
    <n v="2039.04309082031"/>
  </r>
  <r>
    <x v="14"/>
    <x v="1"/>
    <s v="Q"/>
    <n v="18.578865051269499"/>
    <x v="116"/>
    <n v="1820"/>
  </r>
  <r>
    <x v="14"/>
    <x v="4"/>
    <s v="Q"/>
    <n v="18.578865051269499"/>
    <x v="116"/>
    <n v="1820"/>
  </r>
  <r>
    <x v="14"/>
    <x v="2"/>
    <s v="Q"/>
    <n v="18.578865051269499"/>
    <x v="116"/>
    <n v="1820"/>
  </r>
  <r>
    <x v="14"/>
    <x v="0"/>
    <s v="Q"/>
    <n v="18.578865051269499"/>
    <x v="116"/>
    <n v="1820"/>
  </r>
  <r>
    <x v="14"/>
    <x v="3"/>
    <s v="Q"/>
    <n v="18.578865051269499"/>
    <x v="116"/>
    <n v="1820"/>
  </r>
  <r>
    <x v="0"/>
    <x v="0"/>
    <s v="O"/>
    <n v="93.196271896362305"/>
    <x v="117"/>
    <n v="639.11721801757801"/>
  </r>
  <r>
    <x v="10"/>
    <x v="2"/>
    <s v="N"/>
    <n v="20.6301956176757"/>
    <x v="118"/>
    <n v="799.87561035156205"/>
  </r>
  <r>
    <x v="10"/>
    <x v="0"/>
    <s v="N"/>
    <n v="20.6301956176757"/>
    <x v="118"/>
    <n v="799.87561035156205"/>
  </r>
  <r>
    <x v="10"/>
    <x v="3"/>
    <s v="N"/>
    <n v="20.6301956176757"/>
    <x v="118"/>
    <n v="799.87561035156205"/>
  </r>
  <r>
    <x v="10"/>
    <x v="4"/>
    <s v="N"/>
    <n v="20.6301956176757"/>
    <x v="118"/>
    <n v="799.87561035156205"/>
  </r>
  <r>
    <x v="10"/>
    <x v="1"/>
    <s v="N"/>
    <n v="20.6301956176757"/>
    <x v="118"/>
    <n v="799.87561035156205"/>
  </r>
  <r>
    <x v="3"/>
    <x v="0"/>
    <s v="M"/>
    <n v="41"/>
    <x v="119"/>
    <n v="1488.5"/>
  </r>
  <r>
    <x v="3"/>
    <x v="2"/>
    <s v="M"/>
    <n v="41"/>
    <x v="119"/>
    <n v="1488.5"/>
  </r>
  <r>
    <x v="3"/>
    <x v="4"/>
    <s v="M"/>
    <n v="41"/>
    <x v="119"/>
    <n v="1488.5"/>
  </r>
  <r>
    <x v="3"/>
    <x v="3"/>
    <s v="M"/>
    <n v="41"/>
    <x v="119"/>
    <n v="1488.5"/>
  </r>
  <r>
    <x v="3"/>
    <x v="1"/>
    <s v="M"/>
    <n v="41"/>
    <x v="119"/>
    <n v="1488.5"/>
  </r>
  <r>
    <x v="8"/>
    <x v="4"/>
    <s v="Y"/>
    <n v="71.048103332519503"/>
    <x v="120"/>
    <n v="3112.5"/>
  </r>
  <r>
    <x v="8"/>
    <x v="0"/>
    <s v="Y"/>
    <n v="71.048103332519503"/>
    <x v="120"/>
    <n v="3112.5"/>
  </r>
  <r>
    <x v="8"/>
    <x v="3"/>
    <s v="Y"/>
    <n v="71.048103332519503"/>
    <x v="120"/>
    <n v="3112.5"/>
  </r>
  <r>
    <x v="8"/>
    <x v="1"/>
    <s v="Y"/>
    <n v="71.048103332519503"/>
    <x v="120"/>
    <n v="3112.5"/>
  </r>
  <r>
    <x v="8"/>
    <x v="2"/>
    <s v="Y"/>
    <n v="71.048103332519503"/>
    <x v="120"/>
    <n v="3112.5"/>
  </r>
  <r>
    <x v="6"/>
    <x v="3"/>
    <s v="V"/>
    <n v="33"/>
    <x v="121"/>
    <n v="3760"/>
  </r>
  <r>
    <x v="6"/>
    <x v="1"/>
    <s v="V"/>
    <n v="33"/>
    <x v="121"/>
    <n v="3760"/>
  </r>
  <r>
    <x v="6"/>
    <x v="0"/>
    <s v="V"/>
    <n v="33"/>
    <x v="121"/>
    <n v="3760"/>
  </r>
  <r>
    <x v="6"/>
    <x v="4"/>
    <s v="V"/>
    <n v="33"/>
    <x v="121"/>
    <n v="3760"/>
  </r>
  <r>
    <x v="6"/>
    <x v="2"/>
    <s v="V"/>
    <n v="33"/>
    <x v="121"/>
    <n v="3760"/>
  </r>
  <r>
    <x v="2"/>
    <x v="3"/>
    <s v="H"/>
    <n v="43.635046872225601"/>
    <x v="122"/>
    <n v="3147.90869140625"/>
  </r>
  <r>
    <x v="2"/>
    <x v="0"/>
    <s v="H"/>
    <n v="43.635046872225601"/>
    <x v="122"/>
    <n v="3147.90869140625"/>
  </r>
  <r>
    <x v="2"/>
    <x v="2"/>
    <s v="H"/>
    <n v="43.635046872225601"/>
    <x v="122"/>
    <n v="3147.90869140625"/>
  </r>
  <r>
    <x v="2"/>
    <x v="1"/>
    <s v="H"/>
    <n v="43.635046872225601"/>
    <x v="122"/>
    <n v="3147.90869140625"/>
  </r>
  <r>
    <x v="2"/>
    <x v="4"/>
    <s v="H"/>
    <n v="43.635046872225601"/>
    <x v="122"/>
    <n v="3147.90869140625"/>
  </r>
  <r>
    <x v="7"/>
    <x v="1"/>
    <s v="M"/>
    <n v="41"/>
    <x v="123"/>
    <n v="2039.04309082031"/>
  </r>
  <r>
    <x v="7"/>
    <x v="4"/>
    <s v="M"/>
    <n v="41"/>
    <x v="123"/>
    <n v="2039.04309082031"/>
  </r>
  <r>
    <x v="7"/>
    <x v="0"/>
    <s v="M"/>
    <n v="41"/>
    <x v="123"/>
    <n v="2039.04309082031"/>
  </r>
  <r>
    <x v="7"/>
    <x v="3"/>
    <s v="M"/>
    <n v="41"/>
    <x v="123"/>
    <n v="2039.04309082031"/>
  </r>
  <r>
    <x v="7"/>
    <x v="2"/>
    <s v="M"/>
    <n v="41"/>
    <x v="123"/>
    <n v="2039.04309082031"/>
  </r>
  <r>
    <x v="7"/>
    <x v="1"/>
    <s v="N"/>
    <n v="21.131856918334901"/>
    <x v="124"/>
    <n v="2039.04309082031"/>
  </r>
  <r>
    <x v="7"/>
    <x v="4"/>
    <s v="N"/>
    <n v="21.131856918334901"/>
    <x v="124"/>
    <n v="2039.04309082031"/>
  </r>
  <r>
    <x v="7"/>
    <x v="0"/>
    <s v="N"/>
    <n v="21.131856918334901"/>
    <x v="124"/>
    <n v="2039.04309082031"/>
  </r>
  <r>
    <x v="7"/>
    <x v="3"/>
    <s v="N"/>
    <n v="21.131856918334901"/>
    <x v="124"/>
    <n v="2039.04309082031"/>
  </r>
  <r>
    <x v="7"/>
    <x v="2"/>
    <s v="N"/>
    <n v="21.131856918334901"/>
    <x v="124"/>
    <n v="2039.04309082031"/>
  </r>
  <r>
    <x v="8"/>
    <x v="4"/>
    <s v="H"/>
    <n v="66.922064208984295"/>
    <x v="125"/>
    <n v="1879.5"/>
  </r>
  <r>
    <x v="8"/>
    <x v="0"/>
    <s v="H"/>
    <n v="66.922064208984295"/>
    <x v="125"/>
    <n v="1879.5"/>
  </r>
  <r>
    <x v="8"/>
    <x v="3"/>
    <s v="H"/>
    <n v="66.922064208984295"/>
    <x v="125"/>
    <n v="1879.5"/>
  </r>
  <r>
    <x v="8"/>
    <x v="1"/>
    <s v="H"/>
    <n v="66.922064208984295"/>
    <x v="125"/>
    <n v="1879.5"/>
  </r>
  <r>
    <x v="8"/>
    <x v="2"/>
    <s v="H"/>
    <n v="66.922064208984295"/>
    <x v="125"/>
    <n v="1879.5"/>
  </r>
  <r>
    <x v="10"/>
    <x v="2"/>
    <s v="O"/>
    <n v="8"/>
    <x v="126"/>
    <n v="838.5"/>
  </r>
  <r>
    <x v="10"/>
    <x v="0"/>
    <s v="O"/>
    <n v="8"/>
    <x v="126"/>
    <n v="838.5"/>
  </r>
  <r>
    <x v="10"/>
    <x v="3"/>
    <s v="O"/>
    <n v="8"/>
    <x v="126"/>
    <n v="838.5"/>
  </r>
  <r>
    <x v="10"/>
    <x v="4"/>
    <s v="O"/>
    <n v="8"/>
    <x v="126"/>
    <n v="838.5"/>
  </r>
  <r>
    <x v="10"/>
    <x v="1"/>
    <s v="O"/>
    <n v="8"/>
    <x v="126"/>
    <n v="838.5"/>
  </r>
  <r>
    <x v="13"/>
    <x v="1"/>
    <s v="O"/>
    <n v="13.168941497802701"/>
    <x v="127"/>
    <n v="1604"/>
  </r>
  <r>
    <x v="13"/>
    <x v="0"/>
    <s v="O"/>
    <n v="13.168941497802701"/>
    <x v="127"/>
    <n v="1604"/>
  </r>
  <r>
    <x v="13"/>
    <x v="2"/>
    <s v="O"/>
    <n v="13.168941497802701"/>
    <x v="127"/>
    <n v="1604"/>
  </r>
  <r>
    <x v="13"/>
    <x v="4"/>
    <s v="O"/>
    <n v="13.168941497802701"/>
    <x v="127"/>
    <n v="1604"/>
  </r>
  <r>
    <x v="13"/>
    <x v="3"/>
    <s v="O"/>
    <n v="13.168941497802701"/>
    <x v="127"/>
    <n v="1604"/>
  </r>
  <r>
    <x v="14"/>
    <x v="1"/>
    <s v="A"/>
    <n v="6.7743735313415501"/>
    <x v="128"/>
    <n v="1820"/>
  </r>
  <r>
    <x v="14"/>
    <x v="4"/>
    <s v="A"/>
    <n v="6.7743735313415501"/>
    <x v="128"/>
    <n v="1820"/>
  </r>
  <r>
    <x v="14"/>
    <x v="2"/>
    <s v="A"/>
    <n v="6.7743735313415501"/>
    <x v="128"/>
    <n v="1820"/>
  </r>
  <r>
    <x v="14"/>
    <x v="0"/>
    <s v="A"/>
    <n v="6.7743735313415501"/>
    <x v="128"/>
    <n v="1820"/>
  </r>
  <r>
    <x v="14"/>
    <x v="3"/>
    <s v="A"/>
    <n v="6.7743735313415501"/>
    <x v="128"/>
    <n v="1820"/>
  </r>
  <r>
    <x v="3"/>
    <x v="0"/>
    <s v="L"/>
    <n v="37"/>
    <x v="129"/>
    <n v="1352.5"/>
  </r>
  <r>
    <x v="3"/>
    <x v="2"/>
    <s v="L"/>
    <n v="37"/>
    <x v="129"/>
    <n v="1352.5"/>
  </r>
  <r>
    <x v="3"/>
    <x v="4"/>
    <s v="L"/>
    <n v="37"/>
    <x v="129"/>
    <n v="1352.5"/>
  </r>
  <r>
    <x v="3"/>
    <x v="3"/>
    <s v="L"/>
    <n v="37"/>
    <x v="129"/>
    <n v="1352.5"/>
  </r>
  <r>
    <x v="3"/>
    <x v="1"/>
    <s v="L"/>
    <n v="37"/>
    <x v="129"/>
    <n v="1352.5"/>
  </r>
  <r>
    <x v="1"/>
    <x v="1"/>
    <s v="A"/>
    <n v="4"/>
    <x v="130"/>
    <n v="895"/>
  </r>
  <r>
    <x v="1"/>
    <x v="0"/>
    <s v="A"/>
    <n v="4"/>
    <x v="130"/>
    <n v="895"/>
  </r>
  <r>
    <x v="1"/>
    <x v="2"/>
    <s v="A"/>
    <n v="4"/>
    <x v="130"/>
    <n v="895"/>
  </r>
  <r>
    <x v="1"/>
    <x v="3"/>
    <s v="A"/>
    <n v="4"/>
    <x v="130"/>
    <n v="895"/>
  </r>
  <r>
    <x v="1"/>
    <x v="4"/>
    <s v="A"/>
    <n v="4"/>
    <x v="130"/>
    <n v="895"/>
  </r>
  <r>
    <x v="4"/>
    <x v="2"/>
    <s v="X"/>
    <n v="29"/>
    <x v="131"/>
    <n v="1972.16784667968"/>
  </r>
  <r>
    <x v="4"/>
    <x v="4"/>
    <s v="X"/>
    <n v="29"/>
    <x v="131"/>
    <n v="1972.16784667968"/>
  </r>
  <r>
    <x v="4"/>
    <x v="0"/>
    <s v="X"/>
    <n v="29"/>
    <x v="131"/>
    <n v="1972.16784667968"/>
  </r>
  <r>
    <x v="4"/>
    <x v="3"/>
    <s v="X"/>
    <n v="29"/>
    <x v="131"/>
    <n v="1972.16784667968"/>
  </r>
  <r>
    <x v="4"/>
    <x v="1"/>
    <s v="X"/>
    <n v="29"/>
    <x v="131"/>
    <n v="1972.16784667968"/>
  </r>
  <r>
    <x v="14"/>
    <x v="1"/>
    <s v="M"/>
    <n v="53.047428131103501"/>
    <x v="132"/>
    <n v="1982.21118164062"/>
  </r>
  <r>
    <x v="14"/>
    <x v="4"/>
    <s v="M"/>
    <n v="53.047428131103501"/>
    <x v="132"/>
    <n v="1982.21118164062"/>
  </r>
  <r>
    <x v="14"/>
    <x v="2"/>
    <s v="M"/>
    <n v="53.047428131103501"/>
    <x v="132"/>
    <n v="1982.21118164062"/>
  </r>
  <r>
    <x v="14"/>
    <x v="0"/>
    <s v="M"/>
    <n v="53.047428131103501"/>
    <x v="132"/>
    <n v="1982.21118164062"/>
  </r>
  <r>
    <x v="14"/>
    <x v="3"/>
    <s v="M"/>
    <n v="53.047428131103501"/>
    <x v="132"/>
    <n v="1982.21118164062"/>
  </r>
  <r>
    <x v="10"/>
    <x v="2"/>
    <s v="Y"/>
    <n v="59.5"/>
    <x v="133"/>
    <n v="4503"/>
  </r>
  <r>
    <x v="10"/>
    <x v="0"/>
    <s v="Y"/>
    <n v="59.5"/>
    <x v="133"/>
    <n v="4503"/>
  </r>
  <r>
    <x v="10"/>
    <x v="3"/>
    <s v="Y"/>
    <n v="59.5"/>
    <x v="133"/>
    <n v="4503"/>
  </r>
  <r>
    <x v="10"/>
    <x v="4"/>
    <s v="Y"/>
    <n v="59.5"/>
    <x v="133"/>
    <n v="4503"/>
  </r>
  <r>
    <x v="10"/>
    <x v="1"/>
    <s v="Y"/>
    <n v="59.5"/>
    <x v="133"/>
    <n v="4503"/>
  </r>
  <r>
    <x v="11"/>
    <x v="4"/>
    <s v="L"/>
    <n v="45"/>
    <x v="134"/>
    <n v="1393.375"/>
  </r>
  <r>
    <x v="11"/>
    <x v="0"/>
    <s v="L"/>
    <n v="45"/>
    <x v="134"/>
    <n v="1393.375"/>
  </r>
  <r>
    <x v="11"/>
    <x v="1"/>
    <s v="L"/>
    <n v="45"/>
    <x v="134"/>
    <n v="1393.375"/>
  </r>
  <r>
    <x v="11"/>
    <x v="2"/>
    <s v="L"/>
    <n v="45"/>
    <x v="134"/>
    <n v="1393.375"/>
  </r>
  <r>
    <x v="11"/>
    <x v="3"/>
    <s v="L"/>
    <n v="45"/>
    <x v="134"/>
    <n v="1393.375"/>
  </r>
  <r>
    <x v="2"/>
    <x v="3"/>
    <s v="S"/>
    <n v="25"/>
    <x v="135"/>
    <n v="1756.73498535156"/>
  </r>
  <r>
    <x v="2"/>
    <x v="0"/>
    <s v="S"/>
    <n v="25"/>
    <x v="135"/>
    <n v="1756.73498535156"/>
  </r>
  <r>
    <x v="2"/>
    <x v="2"/>
    <s v="S"/>
    <n v="25"/>
    <x v="135"/>
    <n v="1756.73498535156"/>
  </r>
  <r>
    <x v="2"/>
    <x v="1"/>
    <s v="S"/>
    <n v="25"/>
    <x v="135"/>
    <n v="1756.73498535156"/>
  </r>
  <r>
    <x v="2"/>
    <x v="4"/>
    <s v="S"/>
    <n v="25"/>
    <x v="135"/>
    <n v="1756.73498535156"/>
  </r>
  <r>
    <x v="7"/>
    <x v="1"/>
    <s v="X"/>
    <n v="29"/>
    <x v="136"/>
    <n v="2039.04309082031"/>
  </r>
  <r>
    <x v="7"/>
    <x v="4"/>
    <s v="X"/>
    <n v="29"/>
    <x v="136"/>
    <n v="2039.04309082031"/>
  </r>
  <r>
    <x v="7"/>
    <x v="0"/>
    <s v="X"/>
    <n v="29"/>
    <x v="136"/>
    <n v="2039.04309082031"/>
  </r>
  <r>
    <x v="7"/>
    <x v="3"/>
    <s v="X"/>
    <n v="29"/>
    <x v="136"/>
    <n v="2039.04309082031"/>
  </r>
  <r>
    <x v="7"/>
    <x v="2"/>
    <s v="X"/>
    <n v="29"/>
    <x v="136"/>
    <n v="2039.04309082031"/>
  </r>
  <r>
    <x v="5"/>
    <x v="2"/>
    <s v="N"/>
    <n v="20.6301956176757"/>
    <x v="137"/>
    <n v="1255"/>
  </r>
  <r>
    <x v="5"/>
    <x v="0"/>
    <s v="N"/>
    <n v="20.6301956176757"/>
    <x v="137"/>
    <n v="1255"/>
  </r>
  <r>
    <x v="5"/>
    <x v="1"/>
    <s v="N"/>
    <n v="20.6301956176757"/>
    <x v="137"/>
    <n v="1255"/>
  </r>
  <r>
    <x v="5"/>
    <x v="3"/>
    <s v="N"/>
    <n v="20.6301956176757"/>
    <x v="137"/>
    <n v="1255"/>
  </r>
  <r>
    <x v="5"/>
    <x v="4"/>
    <s v="N"/>
    <n v="20.6301956176757"/>
    <x v="137"/>
    <n v="1255"/>
  </r>
  <r>
    <x v="4"/>
    <x v="2"/>
    <s v="K"/>
    <n v="46"/>
    <x v="138"/>
    <n v="3001.0810546875"/>
  </r>
  <r>
    <x v="4"/>
    <x v="4"/>
    <s v="K"/>
    <n v="46"/>
    <x v="138"/>
    <n v="3001.0810546875"/>
  </r>
  <r>
    <x v="4"/>
    <x v="0"/>
    <s v="K"/>
    <n v="46"/>
    <x v="138"/>
    <n v="3001.0810546875"/>
  </r>
  <r>
    <x v="4"/>
    <x v="3"/>
    <s v="K"/>
    <n v="46"/>
    <x v="138"/>
    <n v="3001.0810546875"/>
  </r>
  <r>
    <x v="4"/>
    <x v="1"/>
    <s v="K"/>
    <n v="46"/>
    <x v="138"/>
    <n v="3001.0810546875"/>
  </r>
  <r>
    <x v="10"/>
    <x v="2"/>
    <s v="G"/>
    <n v="6.6666666666666599"/>
    <x v="139"/>
    <n v="925"/>
  </r>
  <r>
    <x v="10"/>
    <x v="0"/>
    <s v="G"/>
    <n v="6.6666666666666599"/>
    <x v="139"/>
    <n v="925"/>
  </r>
  <r>
    <x v="10"/>
    <x v="3"/>
    <s v="G"/>
    <n v="6.6666666666666599"/>
    <x v="139"/>
    <n v="925"/>
  </r>
  <r>
    <x v="10"/>
    <x v="4"/>
    <s v="G"/>
    <n v="6.6666666666666599"/>
    <x v="139"/>
    <n v="925"/>
  </r>
  <r>
    <x v="10"/>
    <x v="1"/>
    <s v="G"/>
    <n v="6.6666666666666599"/>
    <x v="139"/>
    <n v="925"/>
  </r>
  <r>
    <x v="15"/>
    <x v="3"/>
    <s v="N"/>
    <n v="20.6301956176757"/>
    <x v="140"/>
    <n v="1577.64282226562"/>
  </r>
  <r>
    <x v="15"/>
    <x v="1"/>
    <s v="N"/>
    <n v="20.6301956176757"/>
    <x v="140"/>
    <n v="1577.64282226562"/>
  </r>
  <r>
    <x v="15"/>
    <x v="4"/>
    <s v="N"/>
    <n v="20.6301956176757"/>
    <x v="140"/>
    <n v="1577.64282226562"/>
  </r>
  <r>
    <x v="15"/>
    <x v="0"/>
    <s v="N"/>
    <n v="20.6301956176757"/>
    <x v="140"/>
    <n v="1577.64282226562"/>
  </r>
  <r>
    <x v="15"/>
    <x v="2"/>
    <s v="N"/>
    <n v="20.6301956176757"/>
    <x v="140"/>
    <n v="1577.64282226562"/>
  </r>
  <r>
    <x v="4"/>
    <x v="2"/>
    <s v="A"/>
    <n v="1"/>
    <x v="141"/>
    <n v="895"/>
  </r>
  <r>
    <x v="4"/>
    <x v="4"/>
    <s v="A"/>
    <n v="1"/>
    <x v="141"/>
    <n v="895"/>
  </r>
  <r>
    <x v="4"/>
    <x v="0"/>
    <s v="A"/>
    <n v="1"/>
    <x v="141"/>
    <n v="895"/>
  </r>
  <r>
    <x v="4"/>
    <x v="3"/>
    <s v="A"/>
    <n v="1"/>
    <x v="141"/>
    <n v="895"/>
  </r>
  <r>
    <x v="4"/>
    <x v="1"/>
    <s v="A"/>
    <n v="1"/>
    <x v="141"/>
    <n v="895"/>
  </r>
  <r>
    <x v="12"/>
    <x v="3"/>
    <s v="A"/>
    <n v="4.9567809104919398"/>
    <x v="142"/>
    <n v="1164"/>
  </r>
  <r>
    <x v="12"/>
    <x v="2"/>
    <s v="A"/>
    <n v="4.9567809104919398"/>
    <x v="142"/>
    <n v="1164"/>
  </r>
  <r>
    <x v="12"/>
    <x v="0"/>
    <s v="A"/>
    <n v="4.9567809104919398"/>
    <x v="142"/>
    <n v="1164"/>
  </r>
  <r>
    <x v="12"/>
    <x v="1"/>
    <s v="A"/>
    <n v="4.9567809104919398"/>
    <x v="142"/>
    <n v="1164"/>
  </r>
  <r>
    <x v="12"/>
    <x v="4"/>
    <s v="A"/>
    <n v="4.9567809104919398"/>
    <x v="142"/>
    <n v="1164"/>
  </r>
  <r>
    <x v="14"/>
    <x v="1"/>
    <s v="L"/>
    <n v="44.7572021484375"/>
    <x v="143"/>
    <n v="1820"/>
  </r>
  <r>
    <x v="14"/>
    <x v="4"/>
    <s v="L"/>
    <n v="44.7572021484375"/>
    <x v="143"/>
    <n v="1820"/>
  </r>
  <r>
    <x v="14"/>
    <x v="2"/>
    <s v="L"/>
    <n v="44.7572021484375"/>
    <x v="143"/>
    <n v="1820"/>
  </r>
  <r>
    <x v="14"/>
    <x v="0"/>
    <s v="L"/>
    <n v="44.7572021484375"/>
    <x v="143"/>
    <n v="1820"/>
  </r>
  <r>
    <x v="14"/>
    <x v="3"/>
    <s v="L"/>
    <n v="44.7572021484375"/>
    <x v="143"/>
    <n v="1820"/>
  </r>
  <r>
    <x v="9"/>
    <x v="1"/>
    <s v="O"/>
    <n v="8"/>
    <x v="144"/>
    <n v="991"/>
  </r>
  <r>
    <x v="9"/>
    <x v="4"/>
    <s v="O"/>
    <n v="8"/>
    <x v="144"/>
    <n v="991"/>
  </r>
  <r>
    <x v="9"/>
    <x v="0"/>
    <s v="O"/>
    <n v="8"/>
    <x v="144"/>
    <n v="991"/>
  </r>
  <r>
    <x v="9"/>
    <x v="3"/>
    <s v="O"/>
    <n v="8"/>
    <x v="144"/>
    <n v="991"/>
  </r>
  <r>
    <x v="9"/>
    <x v="2"/>
    <s v="O"/>
    <n v="8"/>
    <x v="144"/>
    <n v="991"/>
  </r>
  <r>
    <x v="14"/>
    <x v="1"/>
    <s v="B"/>
    <n v="74.779998779296804"/>
    <x v="145"/>
    <n v="2699.12036132812"/>
  </r>
  <r>
    <x v="14"/>
    <x v="4"/>
    <s v="B"/>
    <n v="74.779998779296804"/>
    <x v="145"/>
    <n v="2699.12036132812"/>
  </r>
  <r>
    <x v="14"/>
    <x v="2"/>
    <s v="B"/>
    <n v="74.779998779296804"/>
    <x v="145"/>
    <n v="2699.12036132812"/>
  </r>
  <r>
    <x v="14"/>
    <x v="0"/>
    <s v="B"/>
    <n v="74.779998779296804"/>
    <x v="145"/>
    <n v="2699.12036132812"/>
  </r>
  <r>
    <x v="14"/>
    <x v="3"/>
    <s v="B"/>
    <n v="74.779998779296804"/>
    <x v="145"/>
    <n v="2699.12036132812"/>
  </r>
  <r>
    <x v="9"/>
    <x v="1"/>
    <s v="V"/>
    <n v="33"/>
    <x v="146"/>
    <n v="2194.56420898437"/>
  </r>
  <r>
    <x v="9"/>
    <x v="4"/>
    <s v="V"/>
    <n v="33"/>
    <x v="146"/>
    <n v="2194.56420898437"/>
  </r>
  <r>
    <x v="9"/>
    <x v="0"/>
    <s v="V"/>
    <n v="33"/>
    <x v="146"/>
    <n v="2194.56420898437"/>
  </r>
  <r>
    <x v="9"/>
    <x v="3"/>
    <s v="V"/>
    <n v="33"/>
    <x v="146"/>
    <n v="2194.56420898437"/>
  </r>
  <r>
    <x v="9"/>
    <x v="2"/>
    <s v="V"/>
    <n v="33"/>
    <x v="146"/>
    <n v="2194.56420898437"/>
  </r>
  <r>
    <x v="15"/>
    <x v="3"/>
    <s v="V"/>
    <n v="33"/>
    <x v="147"/>
    <n v="2194.56420898437"/>
  </r>
  <r>
    <x v="15"/>
    <x v="1"/>
    <s v="V"/>
    <n v="33"/>
    <x v="147"/>
    <n v="2194.56420898437"/>
  </r>
  <r>
    <x v="15"/>
    <x v="4"/>
    <s v="V"/>
    <n v="33"/>
    <x v="147"/>
    <n v="2194.56420898437"/>
  </r>
  <r>
    <x v="15"/>
    <x v="0"/>
    <s v="V"/>
    <n v="33"/>
    <x v="147"/>
    <n v="2194.56420898437"/>
  </r>
  <r>
    <x v="15"/>
    <x v="2"/>
    <s v="V"/>
    <n v="33"/>
    <x v="147"/>
    <n v="2194.56420898437"/>
  </r>
  <r>
    <x v="11"/>
    <x v="4"/>
    <s v="Q"/>
    <n v="16.045707702636701"/>
    <x v="148"/>
    <n v="1304.3125"/>
  </r>
  <r>
    <x v="11"/>
    <x v="0"/>
    <s v="Q"/>
    <n v="16.045707702636701"/>
    <x v="148"/>
    <n v="1304.3125"/>
  </r>
  <r>
    <x v="11"/>
    <x v="1"/>
    <s v="Q"/>
    <n v="16.045707702636701"/>
    <x v="148"/>
    <n v="1304.3125"/>
  </r>
  <r>
    <x v="11"/>
    <x v="2"/>
    <s v="Q"/>
    <n v="16.045707702636701"/>
    <x v="148"/>
    <n v="1304.3125"/>
  </r>
  <r>
    <x v="11"/>
    <x v="3"/>
    <s v="Q"/>
    <n v="16.045707702636701"/>
    <x v="148"/>
    <n v="1304.3125"/>
  </r>
  <r>
    <x v="15"/>
    <x v="3"/>
    <s v="K"/>
    <n v="46"/>
    <x v="149"/>
    <n v="1697.5"/>
  </r>
  <r>
    <x v="15"/>
    <x v="1"/>
    <s v="K"/>
    <n v="46"/>
    <x v="149"/>
    <n v="1697.5"/>
  </r>
  <r>
    <x v="15"/>
    <x v="4"/>
    <s v="K"/>
    <n v="46"/>
    <x v="149"/>
    <n v="1697.5"/>
  </r>
  <r>
    <x v="15"/>
    <x v="0"/>
    <s v="K"/>
    <n v="46"/>
    <x v="149"/>
    <n v="1697.5"/>
  </r>
  <r>
    <x v="15"/>
    <x v="2"/>
    <s v="K"/>
    <n v="46"/>
    <x v="149"/>
    <n v="1697.5"/>
  </r>
  <r>
    <x v="11"/>
    <x v="4"/>
    <s v="O"/>
    <n v="13.168941497802701"/>
    <x v="150"/>
    <n v="1286.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x v="0"/>
    <x v="0"/>
    <x v="0"/>
    <n v="143.30439758300699"/>
    <n v="547.52577971592802"/>
    <n v="1072.81567382812"/>
    <n v="23.399268785924232"/>
  </r>
  <r>
    <x v="0"/>
    <x v="0"/>
    <x v="1"/>
    <n v="216.24761962890599"/>
    <n v="812.49295312482695"/>
    <n v="1374.87341308593"/>
    <n v="28.504262016842794"/>
  </r>
  <r>
    <x v="0"/>
    <x v="0"/>
    <x v="2"/>
    <n v="117.48377990722599"/>
    <n v="428.890569284153"/>
    <n v="817.90411376953102"/>
    <n v="20.70967332635049"/>
  </r>
  <r>
    <x v="1"/>
    <x v="1"/>
    <x v="3"/>
    <n v="29"/>
    <n v="216.48793162963401"/>
    <n v="973.200927734375"/>
    <n v="14.713528863927715"/>
  </r>
  <r>
    <x v="1"/>
    <x v="0"/>
    <x v="3"/>
    <n v="29"/>
    <n v="216.48793162963401"/>
    <n v="973.200927734375"/>
    <n v="14.713528863927715"/>
  </r>
  <r>
    <x v="1"/>
    <x v="2"/>
    <x v="3"/>
    <n v="29"/>
    <n v="216.48793162963401"/>
    <n v="973.200927734375"/>
    <n v="14.713528863927715"/>
  </r>
  <r>
    <x v="1"/>
    <x v="3"/>
    <x v="3"/>
    <n v="29"/>
    <n v="216.48793162963401"/>
    <n v="973.200927734375"/>
    <n v="14.713528863927715"/>
  </r>
  <r>
    <x v="1"/>
    <x v="4"/>
    <x v="3"/>
    <n v="29"/>
    <n v="216.48793162963401"/>
    <n v="973.200927734375"/>
    <n v="14.713528863927715"/>
  </r>
  <r>
    <x v="2"/>
    <x v="3"/>
    <x v="2"/>
    <n v="20.6301956176757"/>
    <n v="174.198605196925"/>
    <n v="1577.64282226562"/>
    <n v="13.198431921896063"/>
  </r>
  <r>
    <x v="2"/>
    <x v="0"/>
    <x v="2"/>
    <n v="20.6301956176757"/>
    <n v="174.198605196925"/>
    <n v="1577.64282226562"/>
    <n v="13.198431921896063"/>
  </r>
  <r>
    <x v="2"/>
    <x v="2"/>
    <x v="2"/>
    <n v="20.6301956176757"/>
    <n v="174.198605196925"/>
    <n v="1577.64282226562"/>
    <n v="13.198431921896063"/>
  </r>
  <r>
    <x v="2"/>
    <x v="1"/>
    <x v="2"/>
    <n v="20.6301956176757"/>
    <n v="174.198605196925"/>
    <n v="1577.64282226562"/>
    <n v="13.198431921896063"/>
  </r>
  <r>
    <x v="2"/>
    <x v="4"/>
    <x v="2"/>
    <n v="20.6301956176757"/>
    <n v="174.198605196925"/>
    <n v="1577.64282226562"/>
    <n v="13.198431921896063"/>
  </r>
  <r>
    <x v="3"/>
    <x v="0"/>
    <x v="4"/>
    <n v="25"/>
    <n v="194.38031713026399"/>
    <n v="1756.73498535156"/>
    <n v="13.942034181935719"/>
  </r>
  <r>
    <x v="3"/>
    <x v="2"/>
    <x v="4"/>
    <n v="25"/>
    <n v="194.38031713026399"/>
    <n v="1756.73498535156"/>
    <n v="13.942034181935719"/>
  </r>
  <r>
    <x v="3"/>
    <x v="4"/>
    <x v="4"/>
    <n v="25"/>
    <n v="194.38031713026399"/>
    <n v="1756.73498535156"/>
    <n v="13.942034181935719"/>
  </r>
  <r>
    <x v="3"/>
    <x v="3"/>
    <x v="4"/>
    <n v="25"/>
    <n v="194.38031713026399"/>
    <n v="1756.73498535156"/>
    <n v="13.942034181935719"/>
  </r>
  <r>
    <x v="3"/>
    <x v="1"/>
    <x v="4"/>
    <n v="25"/>
    <n v="194.38031713026399"/>
    <n v="1756.73498535156"/>
    <n v="13.942034181935719"/>
  </r>
  <r>
    <x v="4"/>
    <x v="2"/>
    <x v="5"/>
    <n v="6"/>
    <n v="80.622654574438599"/>
    <n v="925"/>
    <n v="8.979011892989039"/>
  </r>
  <r>
    <x v="4"/>
    <x v="4"/>
    <x v="5"/>
    <n v="6"/>
    <n v="80.622654574438599"/>
    <n v="925"/>
    <n v="8.979011892989039"/>
  </r>
  <r>
    <x v="4"/>
    <x v="0"/>
    <x v="5"/>
    <n v="6"/>
    <n v="80.622654574438599"/>
    <n v="925"/>
    <n v="8.979011892989039"/>
  </r>
  <r>
    <x v="4"/>
    <x v="3"/>
    <x v="5"/>
    <n v="6"/>
    <n v="80.622654574438599"/>
    <n v="925"/>
    <n v="8.979011892989039"/>
  </r>
  <r>
    <x v="4"/>
    <x v="1"/>
    <x v="5"/>
    <n v="6"/>
    <n v="80.622654574438599"/>
    <n v="925"/>
    <n v="8.979011892989039"/>
  </r>
  <r>
    <x v="5"/>
    <x v="2"/>
    <x v="6"/>
    <n v="58"/>
    <n v="544.87181109786002"/>
    <n v="2299"/>
    <n v="23.342489393761326"/>
  </r>
  <r>
    <x v="5"/>
    <x v="0"/>
    <x v="6"/>
    <n v="58"/>
    <n v="544.87181109786002"/>
    <n v="2299"/>
    <n v="23.342489393761326"/>
  </r>
  <r>
    <x v="5"/>
    <x v="1"/>
    <x v="6"/>
    <n v="58"/>
    <n v="544.87181109786002"/>
    <n v="2299"/>
    <n v="23.342489393761326"/>
  </r>
  <r>
    <x v="5"/>
    <x v="3"/>
    <x v="6"/>
    <n v="58"/>
    <n v="544.87181109786002"/>
    <n v="2299"/>
    <n v="23.342489393761326"/>
  </r>
  <r>
    <x v="5"/>
    <x v="4"/>
    <x v="6"/>
    <n v="58"/>
    <n v="544.87181109786002"/>
    <n v="2299"/>
    <n v="23.342489393761326"/>
  </r>
  <r>
    <x v="3"/>
    <x v="0"/>
    <x v="0"/>
    <n v="33"/>
    <n v="247.05766860419101"/>
    <n v="2194.56420898437"/>
    <n v="15.718068221132997"/>
  </r>
  <r>
    <x v="3"/>
    <x v="2"/>
    <x v="0"/>
    <n v="33"/>
    <n v="247.05766860419101"/>
    <n v="2194.56420898437"/>
    <n v="15.718068221132997"/>
  </r>
  <r>
    <x v="3"/>
    <x v="4"/>
    <x v="0"/>
    <n v="33"/>
    <n v="247.05766860419101"/>
    <n v="2194.56420898437"/>
    <n v="15.718068221132997"/>
  </r>
  <r>
    <x v="3"/>
    <x v="3"/>
    <x v="0"/>
    <n v="33"/>
    <n v="247.05766860419101"/>
    <n v="2194.56420898437"/>
    <n v="15.718068221132997"/>
  </r>
  <r>
    <x v="3"/>
    <x v="1"/>
    <x v="0"/>
    <n v="33"/>
    <n v="247.05766860419101"/>
    <n v="2194.56420898437"/>
    <n v="15.718068221132997"/>
  </r>
  <r>
    <x v="2"/>
    <x v="3"/>
    <x v="1"/>
    <n v="43.615669597278902"/>
    <n v="381.44976043361299"/>
    <n v="3018.64916992187"/>
    <n v="19.530738860412143"/>
  </r>
  <r>
    <x v="2"/>
    <x v="0"/>
    <x v="1"/>
    <n v="43.615669597278902"/>
    <n v="381.44976043361299"/>
    <n v="3018.64916992187"/>
    <n v="19.530738860412143"/>
  </r>
  <r>
    <x v="2"/>
    <x v="2"/>
    <x v="1"/>
    <n v="43.615669597278902"/>
    <n v="381.44976043361299"/>
    <n v="3018.64916992187"/>
    <n v="19.530738860412143"/>
  </r>
  <r>
    <x v="2"/>
    <x v="1"/>
    <x v="1"/>
    <n v="43.615669597278902"/>
    <n v="381.44976043361299"/>
    <n v="3018.64916992187"/>
    <n v="19.530738860412143"/>
  </r>
  <r>
    <x v="2"/>
    <x v="4"/>
    <x v="1"/>
    <n v="43.615669597278902"/>
    <n v="381.44976043361299"/>
    <n v="3018.64916992187"/>
    <n v="19.530738860412143"/>
  </r>
  <r>
    <x v="0"/>
    <x v="0"/>
    <x v="7"/>
    <n v="106.51002502441401"/>
    <n v="389.51733800494901"/>
    <n v="730.419677734375"/>
    <n v="19.736193604769614"/>
  </r>
  <r>
    <x v="6"/>
    <x v="3"/>
    <x v="8"/>
    <n v="52"/>
    <n v="516.69228013723705"/>
    <n v="3760"/>
    <n v="22.730866242561831"/>
  </r>
  <r>
    <x v="6"/>
    <x v="1"/>
    <x v="8"/>
    <n v="52"/>
    <n v="516.69228013723705"/>
    <n v="3760"/>
    <n v="22.730866242561831"/>
  </r>
  <r>
    <x v="6"/>
    <x v="0"/>
    <x v="8"/>
    <n v="52"/>
    <n v="516.69228013723705"/>
    <n v="3760"/>
    <n v="22.730866242561831"/>
  </r>
  <r>
    <x v="6"/>
    <x v="4"/>
    <x v="8"/>
    <n v="52"/>
    <n v="516.69228013723705"/>
    <n v="3760"/>
    <n v="22.730866242561831"/>
  </r>
  <r>
    <x v="6"/>
    <x v="2"/>
    <x v="8"/>
    <n v="52"/>
    <n v="516.69228013723705"/>
    <n v="3760"/>
    <n v="22.730866242561831"/>
  </r>
  <r>
    <x v="3"/>
    <x v="0"/>
    <x v="7"/>
    <n v="16.045707702636701"/>
    <n v="157.407186864366"/>
    <n v="900"/>
    <n v="12.546202089252589"/>
  </r>
  <r>
    <x v="3"/>
    <x v="2"/>
    <x v="7"/>
    <n v="16.045707702636701"/>
    <n v="157.407186864366"/>
    <n v="900"/>
    <n v="12.546202089252589"/>
  </r>
  <r>
    <x v="3"/>
    <x v="4"/>
    <x v="7"/>
    <n v="16.045707702636701"/>
    <n v="157.407186864366"/>
    <n v="900"/>
    <n v="12.546202089252589"/>
  </r>
  <r>
    <x v="3"/>
    <x v="3"/>
    <x v="7"/>
    <n v="16.045707702636701"/>
    <n v="157.407186864366"/>
    <n v="900"/>
    <n v="12.546202089252589"/>
  </r>
  <r>
    <x v="3"/>
    <x v="1"/>
    <x v="7"/>
    <n v="16.045707702636701"/>
    <n v="157.407186864366"/>
    <n v="900"/>
    <n v="12.546202089252589"/>
  </r>
  <r>
    <x v="7"/>
    <x v="1"/>
    <x v="6"/>
    <n v="58"/>
    <n v="607.88058614859403"/>
    <n v="2699"/>
    <n v="24.655234457384381"/>
  </r>
  <r>
    <x v="7"/>
    <x v="4"/>
    <x v="6"/>
    <n v="58"/>
    <n v="607.88058614859403"/>
    <n v="2699"/>
    <n v="24.655234457384381"/>
  </r>
  <r>
    <x v="7"/>
    <x v="0"/>
    <x v="6"/>
    <n v="58"/>
    <n v="607.88058614859403"/>
    <n v="2699"/>
    <n v="24.655234457384381"/>
  </r>
  <r>
    <x v="7"/>
    <x v="3"/>
    <x v="6"/>
    <n v="58"/>
    <n v="607.88058614859403"/>
    <n v="2699"/>
    <n v="24.655234457384381"/>
  </r>
  <r>
    <x v="7"/>
    <x v="2"/>
    <x v="6"/>
    <n v="58"/>
    <n v="607.88058614859403"/>
    <n v="2699"/>
    <n v="24.655234457384381"/>
  </r>
  <r>
    <x v="2"/>
    <x v="3"/>
    <x v="7"/>
    <n v="16.045707702636701"/>
    <n v="156.18415945218001"/>
    <n v="1183.7857142857099"/>
    <n v="12.497366100590156"/>
  </r>
  <r>
    <x v="2"/>
    <x v="0"/>
    <x v="7"/>
    <n v="16.045707702636701"/>
    <n v="156.18415945218001"/>
    <n v="1183.7857142857099"/>
    <n v="12.497366100590156"/>
  </r>
  <r>
    <x v="2"/>
    <x v="2"/>
    <x v="7"/>
    <n v="16.045707702636701"/>
    <n v="156.18415945218001"/>
    <n v="1183.7857142857099"/>
    <n v="12.497366100590156"/>
  </r>
  <r>
    <x v="2"/>
    <x v="1"/>
    <x v="7"/>
    <n v="16.045707702636701"/>
    <n v="156.18415945218001"/>
    <n v="1183.7857142857099"/>
    <n v="12.497366100590156"/>
  </r>
  <r>
    <x v="2"/>
    <x v="4"/>
    <x v="7"/>
    <n v="16.045707702636701"/>
    <n v="156.18415945218001"/>
    <n v="1183.7857142857099"/>
    <n v="12.497366100590156"/>
  </r>
  <r>
    <x v="8"/>
    <x v="4"/>
    <x v="7"/>
    <n v="16.045707702636701"/>
    <n v="150.74422729516101"/>
    <n v="1215"/>
    <n v="12.277794072843909"/>
  </r>
  <r>
    <x v="8"/>
    <x v="0"/>
    <x v="7"/>
    <n v="16.045707702636701"/>
    <n v="150.74422729516101"/>
    <n v="1215"/>
    <n v="12.277794072843909"/>
  </r>
  <r>
    <x v="8"/>
    <x v="3"/>
    <x v="7"/>
    <n v="16.045707702636701"/>
    <n v="150.74422729516101"/>
    <n v="1215"/>
    <n v="12.277794072843909"/>
  </r>
  <r>
    <x v="8"/>
    <x v="1"/>
    <x v="7"/>
    <n v="16.045707702636701"/>
    <n v="150.74422729516101"/>
    <n v="1215"/>
    <n v="12.277794072843909"/>
  </r>
  <r>
    <x v="8"/>
    <x v="2"/>
    <x v="7"/>
    <n v="16.045707702636701"/>
    <n v="150.74422729516101"/>
    <n v="1215"/>
    <n v="12.277794072843909"/>
  </r>
  <r>
    <x v="9"/>
    <x v="1"/>
    <x v="4"/>
    <n v="25"/>
    <n v="215.266524428515"/>
    <n v="1756.73498535156"/>
    <n v="14.671963891330806"/>
  </r>
  <r>
    <x v="9"/>
    <x v="4"/>
    <x v="4"/>
    <n v="25"/>
    <n v="215.266524428515"/>
    <n v="1756.73498535156"/>
    <n v="14.671963891330806"/>
  </r>
  <r>
    <x v="9"/>
    <x v="0"/>
    <x v="4"/>
    <n v="25"/>
    <n v="215.266524428515"/>
    <n v="1756.73498535156"/>
    <n v="14.671963891330806"/>
  </r>
  <r>
    <x v="9"/>
    <x v="3"/>
    <x v="4"/>
    <n v="25"/>
    <n v="215.266524428515"/>
    <n v="1756.73498535156"/>
    <n v="14.671963891330806"/>
  </r>
  <r>
    <x v="9"/>
    <x v="2"/>
    <x v="4"/>
    <n v="25"/>
    <n v="215.266524428515"/>
    <n v="1756.73498535156"/>
    <n v="14.671963891330806"/>
  </r>
  <r>
    <x v="10"/>
    <x v="2"/>
    <x v="9"/>
    <n v="4"/>
    <n v="103.130635270556"/>
    <n v="895"/>
    <n v="10.155325463546504"/>
  </r>
  <r>
    <x v="10"/>
    <x v="0"/>
    <x v="9"/>
    <n v="4"/>
    <n v="103.130635270556"/>
    <n v="895"/>
    <n v="10.155325463546504"/>
  </r>
  <r>
    <x v="10"/>
    <x v="3"/>
    <x v="9"/>
    <n v="4"/>
    <n v="103.130635270556"/>
    <n v="895"/>
    <n v="10.155325463546504"/>
  </r>
  <r>
    <x v="10"/>
    <x v="4"/>
    <x v="9"/>
    <n v="4"/>
    <n v="103.130635270556"/>
    <n v="895"/>
    <n v="10.155325463546504"/>
  </r>
  <r>
    <x v="10"/>
    <x v="1"/>
    <x v="9"/>
    <n v="4"/>
    <n v="103.130635270556"/>
    <n v="895"/>
    <n v="10.155325463546504"/>
  </r>
  <r>
    <x v="3"/>
    <x v="0"/>
    <x v="10"/>
    <n v="64"/>
    <n v="780.81449823100797"/>
    <n v="4503"/>
    <n v="27.943058140278918"/>
  </r>
  <r>
    <x v="3"/>
    <x v="2"/>
    <x v="10"/>
    <n v="64"/>
    <n v="780.81449823100797"/>
    <n v="4503"/>
    <n v="27.943058140278918"/>
  </r>
  <r>
    <x v="3"/>
    <x v="4"/>
    <x v="10"/>
    <n v="64"/>
    <n v="780.81449823100797"/>
    <n v="4503"/>
    <n v="27.943058140278918"/>
  </r>
  <r>
    <x v="3"/>
    <x v="3"/>
    <x v="10"/>
    <n v="64"/>
    <n v="780.81449823100797"/>
    <n v="4503"/>
    <n v="27.943058140278918"/>
  </r>
  <r>
    <x v="3"/>
    <x v="1"/>
    <x v="10"/>
    <n v="64"/>
    <n v="780.81449823100797"/>
    <n v="4503"/>
    <n v="27.943058140278918"/>
  </r>
  <r>
    <x v="2"/>
    <x v="3"/>
    <x v="11"/>
    <n v="8"/>
    <n v="118.62173176469101"/>
    <n v="1175"/>
    <n v="10.891360418455125"/>
  </r>
  <r>
    <x v="2"/>
    <x v="0"/>
    <x v="11"/>
    <n v="8"/>
    <n v="118.62173176469101"/>
    <n v="1175"/>
    <n v="10.891360418455125"/>
  </r>
  <r>
    <x v="2"/>
    <x v="2"/>
    <x v="11"/>
    <n v="8"/>
    <n v="118.62173176469101"/>
    <n v="1175"/>
    <n v="10.891360418455125"/>
  </r>
  <r>
    <x v="2"/>
    <x v="1"/>
    <x v="11"/>
    <n v="8"/>
    <n v="118.62173176469101"/>
    <n v="1175"/>
    <n v="10.891360418455125"/>
  </r>
  <r>
    <x v="2"/>
    <x v="4"/>
    <x v="11"/>
    <n v="8"/>
    <n v="118.62173176469101"/>
    <n v="1175"/>
    <n v="10.891360418455125"/>
  </r>
  <r>
    <x v="10"/>
    <x v="2"/>
    <x v="8"/>
    <n v="52"/>
    <n v="466.35683522453098"/>
    <n v="1846.5"/>
    <n v="21.595296599596196"/>
  </r>
  <r>
    <x v="10"/>
    <x v="0"/>
    <x v="8"/>
    <n v="52"/>
    <n v="466.35683522453098"/>
    <n v="1846.5"/>
    <n v="21.595296599596196"/>
  </r>
  <r>
    <x v="10"/>
    <x v="3"/>
    <x v="8"/>
    <n v="52"/>
    <n v="466.35683522453098"/>
    <n v="1846.5"/>
    <n v="21.595296599596196"/>
  </r>
  <r>
    <x v="10"/>
    <x v="4"/>
    <x v="8"/>
    <n v="52"/>
    <n v="466.35683522453098"/>
    <n v="1846.5"/>
    <n v="21.595296599596196"/>
  </r>
  <r>
    <x v="10"/>
    <x v="1"/>
    <x v="8"/>
    <n v="52"/>
    <n v="466.35683522453098"/>
    <n v="1846.5"/>
    <n v="21.595296599596196"/>
  </r>
  <r>
    <x v="10"/>
    <x v="2"/>
    <x v="6"/>
    <n v="57.25"/>
    <n v="588.81133427065402"/>
    <n v="2540"/>
    <n v="24.265434969739445"/>
  </r>
  <r>
    <x v="10"/>
    <x v="0"/>
    <x v="6"/>
    <n v="57.25"/>
    <n v="588.81133427065402"/>
    <n v="2540"/>
    <n v="24.265434969739445"/>
  </r>
  <r>
    <x v="10"/>
    <x v="3"/>
    <x v="6"/>
    <n v="57.25"/>
    <n v="588.81133427065402"/>
    <n v="2540"/>
    <n v="24.265434969739445"/>
  </r>
  <r>
    <x v="10"/>
    <x v="4"/>
    <x v="6"/>
    <n v="57.25"/>
    <n v="588.81133427065402"/>
    <n v="2540"/>
    <n v="24.265434969739445"/>
  </r>
  <r>
    <x v="10"/>
    <x v="1"/>
    <x v="6"/>
    <n v="57.25"/>
    <n v="588.81133427065402"/>
    <n v="2540"/>
    <n v="24.265434969739445"/>
  </r>
  <r>
    <x v="4"/>
    <x v="2"/>
    <x v="0"/>
    <n v="33"/>
    <n v="243.69845021218799"/>
    <n v="2181.83984375"/>
    <n v="15.610843994230036"/>
  </r>
  <r>
    <x v="4"/>
    <x v="4"/>
    <x v="0"/>
    <n v="33"/>
    <n v="243.69845021218799"/>
    <n v="2181.83984375"/>
    <n v="15.610843994230036"/>
  </r>
  <r>
    <x v="4"/>
    <x v="0"/>
    <x v="0"/>
    <n v="33"/>
    <n v="243.69845021218799"/>
    <n v="2181.83984375"/>
    <n v="15.610843994230036"/>
  </r>
  <r>
    <x v="4"/>
    <x v="3"/>
    <x v="0"/>
    <n v="33"/>
    <n v="243.69845021218799"/>
    <n v="2181.83984375"/>
    <n v="15.610843994230036"/>
  </r>
  <r>
    <x v="4"/>
    <x v="1"/>
    <x v="0"/>
    <n v="33"/>
    <n v="243.69845021218799"/>
    <n v="2181.83984375"/>
    <n v="15.61084399423003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4">
  <r>
    <x v="0"/>
    <x v="0"/>
    <x v="0"/>
    <n v="143.30439758300699"/>
    <n v="547.52577971592802"/>
    <n v="1072.81567382812"/>
  </r>
  <r>
    <x v="0"/>
    <x v="0"/>
    <x v="1"/>
    <n v="216.24761962890599"/>
    <n v="812.49295312482695"/>
    <n v="1374.87341308593"/>
  </r>
  <r>
    <x v="0"/>
    <x v="0"/>
    <x v="2"/>
    <n v="117.48377990722599"/>
    <n v="428.890569284153"/>
    <n v="817.90411376953102"/>
  </r>
  <r>
    <x v="1"/>
    <x v="1"/>
    <x v="3"/>
    <n v="29"/>
    <n v="216.48793162963401"/>
    <n v="973.200927734375"/>
  </r>
  <r>
    <x v="1"/>
    <x v="0"/>
    <x v="3"/>
    <n v="29"/>
    <n v="216.48793162963401"/>
    <n v="973.200927734375"/>
  </r>
  <r>
    <x v="1"/>
    <x v="2"/>
    <x v="3"/>
    <n v="29"/>
    <n v="216.48793162963401"/>
    <n v="973.200927734375"/>
  </r>
  <r>
    <x v="1"/>
    <x v="3"/>
    <x v="3"/>
    <n v="29"/>
    <n v="216.48793162963401"/>
    <n v="973.200927734375"/>
  </r>
  <r>
    <x v="1"/>
    <x v="4"/>
    <x v="3"/>
    <n v="29"/>
    <n v="216.48793162963401"/>
    <n v="973.200927734375"/>
  </r>
  <r>
    <x v="2"/>
    <x v="3"/>
    <x v="2"/>
    <n v="20.6301956176757"/>
    <n v="174.198605196925"/>
    <n v="1577.64282226562"/>
  </r>
  <r>
    <x v="2"/>
    <x v="0"/>
    <x v="2"/>
    <n v="20.6301956176757"/>
    <n v="174.198605196925"/>
    <n v="1577.64282226562"/>
  </r>
  <r>
    <x v="2"/>
    <x v="2"/>
    <x v="2"/>
    <n v="20.6301956176757"/>
    <n v="174.198605196925"/>
    <n v="1577.64282226562"/>
  </r>
  <r>
    <x v="2"/>
    <x v="1"/>
    <x v="2"/>
    <n v="20.6301956176757"/>
    <n v="174.198605196925"/>
    <n v="1577.64282226562"/>
  </r>
  <r>
    <x v="2"/>
    <x v="4"/>
    <x v="2"/>
    <n v="20.6301956176757"/>
    <n v="174.198605196925"/>
    <n v="1577.64282226562"/>
  </r>
  <r>
    <x v="3"/>
    <x v="0"/>
    <x v="4"/>
    <n v="25"/>
    <n v="194.38031713026399"/>
    <n v="1756.73498535156"/>
  </r>
  <r>
    <x v="3"/>
    <x v="2"/>
    <x v="4"/>
    <n v="25"/>
    <n v="194.38031713026399"/>
    <n v="1756.73498535156"/>
  </r>
  <r>
    <x v="3"/>
    <x v="4"/>
    <x v="4"/>
    <n v="25"/>
    <n v="194.38031713026399"/>
    <n v="1756.73498535156"/>
  </r>
  <r>
    <x v="3"/>
    <x v="3"/>
    <x v="4"/>
    <n v="25"/>
    <n v="194.38031713026399"/>
    <n v="1756.73498535156"/>
  </r>
  <r>
    <x v="3"/>
    <x v="1"/>
    <x v="4"/>
    <n v="25"/>
    <n v="194.38031713026399"/>
    <n v="1756.73498535156"/>
  </r>
  <r>
    <x v="4"/>
    <x v="2"/>
    <x v="5"/>
    <n v="6"/>
    <n v="80.622654574438599"/>
    <n v="925"/>
  </r>
  <r>
    <x v="4"/>
    <x v="4"/>
    <x v="5"/>
    <n v="6"/>
    <n v="80.622654574438599"/>
    <n v="925"/>
  </r>
  <r>
    <x v="4"/>
    <x v="0"/>
    <x v="5"/>
    <n v="6"/>
    <n v="80.622654574438599"/>
    <n v="925"/>
  </r>
  <r>
    <x v="4"/>
    <x v="3"/>
    <x v="5"/>
    <n v="6"/>
    <n v="80.622654574438599"/>
    <n v="925"/>
  </r>
  <r>
    <x v="4"/>
    <x v="1"/>
    <x v="5"/>
    <n v="6"/>
    <n v="80.622654574438599"/>
    <n v="925"/>
  </r>
  <r>
    <x v="5"/>
    <x v="2"/>
    <x v="6"/>
    <n v="58"/>
    <n v="544.87181109786002"/>
    <n v="2299"/>
  </r>
  <r>
    <x v="5"/>
    <x v="0"/>
    <x v="6"/>
    <n v="58"/>
    <n v="544.87181109786002"/>
    <n v="2299"/>
  </r>
  <r>
    <x v="5"/>
    <x v="1"/>
    <x v="6"/>
    <n v="58"/>
    <n v="544.87181109786002"/>
    <n v="2299"/>
  </r>
  <r>
    <x v="5"/>
    <x v="3"/>
    <x v="6"/>
    <n v="58"/>
    <n v="544.87181109786002"/>
    <n v="2299"/>
  </r>
  <r>
    <x v="5"/>
    <x v="4"/>
    <x v="6"/>
    <n v="58"/>
    <n v="544.87181109786002"/>
    <n v="2299"/>
  </r>
  <r>
    <x v="3"/>
    <x v="0"/>
    <x v="0"/>
    <n v="33"/>
    <n v="247.05766860419101"/>
    <n v="2194.56420898437"/>
  </r>
  <r>
    <x v="3"/>
    <x v="2"/>
    <x v="0"/>
    <n v="33"/>
    <n v="247.05766860419101"/>
    <n v="2194.56420898437"/>
  </r>
  <r>
    <x v="3"/>
    <x v="4"/>
    <x v="0"/>
    <n v="33"/>
    <n v="247.05766860419101"/>
    <n v="2194.56420898437"/>
  </r>
  <r>
    <x v="3"/>
    <x v="3"/>
    <x v="0"/>
    <n v="33"/>
    <n v="247.05766860419101"/>
    <n v="2194.56420898437"/>
  </r>
  <r>
    <x v="3"/>
    <x v="1"/>
    <x v="0"/>
    <n v="33"/>
    <n v="247.05766860419101"/>
    <n v="2194.56420898437"/>
  </r>
  <r>
    <x v="2"/>
    <x v="3"/>
    <x v="1"/>
    <n v="43.615669597278902"/>
    <n v="381.44976043361299"/>
    <n v="3018.64916992187"/>
  </r>
  <r>
    <x v="2"/>
    <x v="0"/>
    <x v="1"/>
    <n v="43.615669597278902"/>
    <n v="381.44976043361299"/>
    <n v="3018.64916992187"/>
  </r>
  <r>
    <x v="2"/>
    <x v="2"/>
    <x v="1"/>
    <n v="43.615669597278902"/>
    <n v="381.44976043361299"/>
    <n v="3018.64916992187"/>
  </r>
  <r>
    <x v="2"/>
    <x v="1"/>
    <x v="1"/>
    <n v="43.615669597278902"/>
    <n v="381.44976043361299"/>
    <n v="3018.64916992187"/>
  </r>
  <r>
    <x v="2"/>
    <x v="4"/>
    <x v="1"/>
    <n v="43.615669597278902"/>
    <n v="381.44976043361299"/>
    <n v="3018.64916992187"/>
  </r>
  <r>
    <x v="0"/>
    <x v="0"/>
    <x v="7"/>
    <n v="106.51002502441401"/>
    <n v="389.51733800494901"/>
    <n v="730.419677734375"/>
  </r>
  <r>
    <x v="6"/>
    <x v="3"/>
    <x v="8"/>
    <n v="52"/>
    <n v="516.69228013723705"/>
    <n v="3760"/>
  </r>
  <r>
    <x v="6"/>
    <x v="1"/>
    <x v="8"/>
    <n v="52"/>
    <n v="516.69228013723705"/>
    <n v="3760"/>
  </r>
  <r>
    <x v="6"/>
    <x v="0"/>
    <x v="8"/>
    <n v="52"/>
    <n v="516.69228013723705"/>
    <n v="3760"/>
  </r>
  <r>
    <x v="6"/>
    <x v="4"/>
    <x v="8"/>
    <n v="52"/>
    <n v="516.69228013723705"/>
    <n v="3760"/>
  </r>
  <r>
    <x v="6"/>
    <x v="2"/>
    <x v="8"/>
    <n v="52"/>
    <n v="516.69228013723705"/>
    <n v="3760"/>
  </r>
  <r>
    <x v="3"/>
    <x v="0"/>
    <x v="7"/>
    <n v="16.045707702636701"/>
    <n v="157.407186864366"/>
    <n v="900"/>
  </r>
  <r>
    <x v="3"/>
    <x v="2"/>
    <x v="7"/>
    <n v="16.045707702636701"/>
    <n v="157.407186864366"/>
    <n v="900"/>
  </r>
  <r>
    <x v="3"/>
    <x v="4"/>
    <x v="7"/>
    <n v="16.045707702636701"/>
    <n v="157.407186864366"/>
    <n v="900"/>
  </r>
  <r>
    <x v="3"/>
    <x v="3"/>
    <x v="7"/>
    <n v="16.045707702636701"/>
    <n v="157.407186864366"/>
    <n v="900"/>
  </r>
  <r>
    <x v="3"/>
    <x v="1"/>
    <x v="7"/>
    <n v="16.045707702636701"/>
    <n v="157.407186864366"/>
    <n v="900"/>
  </r>
  <r>
    <x v="7"/>
    <x v="1"/>
    <x v="6"/>
    <n v="58"/>
    <n v="607.88058614859403"/>
    <n v="2699"/>
  </r>
  <r>
    <x v="7"/>
    <x v="4"/>
    <x v="6"/>
    <n v="58"/>
    <n v="607.88058614859403"/>
    <n v="2699"/>
  </r>
  <r>
    <x v="7"/>
    <x v="0"/>
    <x v="6"/>
    <n v="58"/>
    <n v="607.88058614859403"/>
    <n v="2699"/>
  </r>
  <r>
    <x v="7"/>
    <x v="3"/>
    <x v="6"/>
    <n v="58"/>
    <n v="607.88058614859403"/>
    <n v="2699"/>
  </r>
  <r>
    <x v="7"/>
    <x v="2"/>
    <x v="6"/>
    <n v="58"/>
    <n v="607.88058614859403"/>
    <n v="2699"/>
  </r>
  <r>
    <x v="2"/>
    <x v="3"/>
    <x v="7"/>
    <n v="16.045707702636701"/>
    <n v="156.18415945218001"/>
    <n v="1183.7857142857099"/>
  </r>
  <r>
    <x v="2"/>
    <x v="0"/>
    <x v="7"/>
    <n v="16.045707702636701"/>
    <n v="156.18415945218001"/>
    <n v="1183.7857142857099"/>
  </r>
  <r>
    <x v="2"/>
    <x v="2"/>
    <x v="7"/>
    <n v="16.045707702636701"/>
    <n v="156.18415945218001"/>
    <n v="1183.7857142857099"/>
  </r>
  <r>
    <x v="2"/>
    <x v="1"/>
    <x v="7"/>
    <n v="16.045707702636701"/>
    <n v="156.18415945218001"/>
    <n v="1183.7857142857099"/>
  </r>
  <r>
    <x v="2"/>
    <x v="4"/>
    <x v="7"/>
    <n v="16.045707702636701"/>
    <n v="156.18415945218001"/>
    <n v="1183.7857142857099"/>
  </r>
  <r>
    <x v="8"/>
    <x v="4"/>
    <x v="7"/>
    <n v="16.045707702636701"/>
    <n v="150.74422729516101"/>
    <n v="1215"/>
  </r>
  <r>
    <x v="8"/>
    <x v="0"/>
    <x v="7"/>
    <n v="16.045707702636701"/>
    <n v="150.74422729516101"/>
    <n v="1215"/>
  </r>
  <r>
    <x v="8"/>
    <x v="3"/>
    <x v="7"/>
    <n v="16.045707702636701"/>
    <n v="150.74422729516101"/>
    <n v="1215"/>
  </r>
  <r>
    <x v="8"/>
    <x v="1"/>
    <x v="7"/>
    <n v="16.045707702636701"/>
    <n v="150.74422729516101"/>
    <n v="1215"/>
  </r>
  <r>
    <x v="8"/>
    <x v="2"/>
    <x v="7"/>
    <n v="16.045707702636701"/>
    <n v="150.74422729516101"/>
    <n v="1215"/>
  </r>
  <r>
    <x v="9"/>
    <x v="1"/>
    <x v="4"/>
    <n v="25"/>
    <n v="215.266524428515"/>
    <n v="1756.73498535156"/>
  </r>
  <r>
    <x v="9"/>
    <x v="4"/>
    <x v="4"/>
    <n v="25"/>
    <n v="215.266524428515"/>
    <n v="1756.73498535156"/>
  </r>
  <r>
    <x v="9"/>
    <x v="0"/>
    <x v="4"/>
    <n v="25"/>
    <n v="215.266524428515"/>
    <n v="1756.73498535156"/>
  </r>
  <r>
    <x v="9"/>
    <x v="3"/>
    <x v="4"/>
    <n v="25"/>
    <n v="215.266524428515"/>
    <n v="1756.73498535156"/>
  </r>
  <r>
    <x v="9"/>
    <x v="2"/>
    <x v="4"/>
    <n v="25"/>
    <n v="215.266524428515"/>
    <n v="1756.73498535156"/>
  </r>
  <r>
    <x v="10"/>
    <x v="2"/>
    <x v="9"/>
    <n v="4"/>
    <n v="103.130635270556"/>
    <n v="895"/>
  </r>
  <r>
    <x v="10"/>
    <x v="0"/>
    <x v="9"/>
    <n v="4"/>
    <n v="103.130635270556"/>
    <n v="895"/>
  </r>
  <r>
    <x v="10"/>
    <x v="3"/>
    <x v="9"/>
    <n v="4"/>
    <n v="103.130635270556"/>
    <n v="895"/>
  </r>
  <r>
    <x v="10"/>
    <x v="4"/>
    <x v="9"/>
    <n v="4"/>
    <n v="103.130635270556"/>
    <n v="895"/>
  </r>
  <r>
    <x v="10"/>
    <x v="1"/>
    <x v="9"/>
    <n v="4"/>
    <n v="103.130635270556"/>
    <n v="895"/>
  </r>
  <r>
    <x v="3"/>
    <x v="0"/>
    <x v="10"/>
    <n v="64"/>
    <n v="780.81449823100797"/>
    <n v="4503"/>
  </r>
  <r>
    <x v="3"/>
    <x v="2"/>
    <x v="10"/>
    <n v="64"/>
    <n v="780.81449823100797"/>
    <n v="4503"/>
  </r>
  <r>
    <x v="3"/>
    <x v="4"/>
    <x v="10"/>
    <n v="64"/>
    <n v="780.81449823100797"/>
    <n v="4503"/>
  </r>
  <r>
    <x v="3"/>
    <x v="3"/>
    <x v="10"/>
    <n v="64"/>
    <n v="780.81449823100797"/>
    <n v="4503"/>
  </r>
  <r>
    <x v="3"/>
    <x v="1"/>
    <x v="10"/>
    <n v="64"/>
    <n v="780.81449823100797"/>
    <n v="4503"/>
  </r>
  <r>
    <x v="2"/>
    <x v="3"/>
    <x v="11"/>
    <n v="8"/>
    <n v="118.62173176469101"/>
    <n v="1175"/>
  </r>
  <r>
    <x v="2"/>
    <x v="0"/>
    <x v="11"/>
    <n v="8"/>
    <n v="118.62173176469101"/>
    <n v="1175"/>
  </r>
  <r>
    <x v="2"/>
    <x v="2"/>
    <x v="11"/>
    <n v="8"/>
    <n v="118.62173176469101"/>
    <n v="1175"/>
  </r>
  <r>
    <x v="2"/>
    <x v="1"/>
    <x v="11"/>
    <n v="8"/>
    <n v="118.62173176469101"/>
    <n v="1175"/>
  </r>
  <r>
    <x v="2"/>
    <x v="4"/>
    <x v="11"/>
    <n v="8"/>
    <n v="118.62173176469101"/>
    <n v="1175"/>
  </r>
  <r>
    <x v="10"/>
    <x v="2"/>
    <x v="8"/>
    <n v="52"/>
    <n v="466.35683522453098"/>
    <n v="1846.5"/>
  </r>
  <r>
    <x v="10"/>
    <x v="0"/>
    <x v="8"/>
    <n v="52"/>
    <n v="466.35683522453098"/>
    <n v="1846.5"/>
  </r>
  <r>
    <x v="10"/>
    <x v="3"/>
    <x v="8"/>
    <n v="52"/>
    <n v="466.35683522453098"/>
    <n v="1846.5"/>
  </r>
  <r>
    <x v="10"/>
    <x v="4"/>
    <x v="8"/>
    <n v="52"/>
    <n v="466.35683522453098"/>
    <n v="1846.5"/>
  </r>
  <r>
    <x v="10"/>
    <x v="1"/>
    <x v="8"/>
    <n v="52"/>
    <n v="466.35683522453098"/>
    <n v="1846.5"/>
  </r>
  <r>
    <x v="10"/>
    <x v="2"/>
    <x v="6"/>
    <n v="57.25"/>
    <n v="588.81133427065402"/>
    <n v="2540"/>
  </r>
  <r>
    <x v="10"/>
    <x v="0"/>
    <x v="6"/>
    <n v="57.25"/>
    <n v="588.81133427065402"/>
    <n v="2540"/>
  </r>
  <r>
    <x v="10"/>
    <x v="3"/>
    <x v="6"/>
    <n v="57.25"/>
    <n v="588.81133427065402"/>
    <n v="2540"/>
  </r>
  <r>
    <x v="10"/>
    <x v="4"/>
    <x v="6"/>
    <n v="57.25"/>
    <n v="588.81133427065402"/>
    <n v="2540"/>
  </r>
  <r>
    <x v="10"/>
    <x v="1"/>
    <x v="6"/>
    <n v="57.25"/>
    <n v="588.81133427065402"/>
    <n v="2540"/>
  </r>
  <r>
    <x v="4"/>
    <x v="2"/>
    <x v="0"/>
    <n v="33"/>
    <n v="243.69845021218799"/>
    <n v="2181.83984375"/>
  </r>
  <r>
    <x v="4"/>
    <x v="4"/>
    <x v="0"/>
    <n v="33"/>
    <n v="243.69845021218799"/>
    <n v="2181.83984375"/>
  </r>
  <r>
    <x v="4"/>
    <x v="0"/>
    <x v="0"/>
    <n v="33"/>
    <n v="243.69845021218799"/>
    <n v="2181.83984375"/>
  </r>
  <r>
    <x v="4"/>
    <x v="3"/>
    <x v="0"/>
    <n v="33"/>
    <n v="243.69845021218799"/>
    <n v="2181.83984375"/>
  </r>
  <r>
    <x v="4"/>
    <x v="1"/>
    <x v="0"/>
    <n v="33"/>
    <n v="243.69845021218799"/>
    <n v="2181.83984375"/>
  </r>
  <r>
    <x v="11"/>
    <x v="4"/>
    <x v="9"/>
    <n v="5.7248792648315403"/>
    <n v="84.742477777688705"/>
    <n v="838.27273559570301"/>
  </r>
  <r>
    <x v="11"/>
    <x v="0"/>
    <x v="9"/>
    <n v="5.7248792648315403"/>
    <n v="84.742477777688705"/>
    <n v="838.27273559570301"/>
  </r>
  <r>
    <x v="11"/>
    <x v="1"/>
    <x v="9"/>
    <n v="5.7248792648315403"/>
    <n v="84.742477777688705"/>
    <n v="838.27273559570301"/>
  </r>
  <r>
    <x v="11"/>
    <x v="2"/>
    <x v="9"/>
    <n v="5.7248792648315403"/>
    <n v="84.742477777688705"/>
    <n v="838.27273559570301"/>
  </r>
  <r>
    <x v="11"/>
    <x v="3"/>
    <x v="9"/>
    <n v="5.7248792648315403"/>
    <n v="84.742477777688705"/>
    <n v="838.27273559570301"/>
  </r>
  <r>
    <x v="3"/>
    <x v="0"/>
    <x v="1"/>
    <n v="46"/>
    <n v="388.33786990491097"/>
    <n v="1697.5"/>
  </r>
  <r>
    <x v="3"/>
    <x v="2"/>
    <x v="1"/>
    <n v="46"/>
    <n v="388.33786990491097"/>
    <n v="1697.5"/>
  </r>
  <r>
    <x v="3"/>
    <x v="4"/>
    <x v="1"/>
    <n v="46"/>
    <n v="388.33786990491097"/>
    <n v="1697.5"/>
  </r>
  <r>
    <x v="3"/>
    <x v="3"/>
    <x v="1"/>
    <n v="46"/>
    <n v="388.33786990491097"/>
    <n v="1697.5"/>
  </r>
  <r>
    <x v="3"/>
    <x v="1"/>
    <x v="1"/>
    <n v="46"/>
    <n v="388.33786990491097"/>
    <n v="1697.5"/>
  </r>
  <r>
    <x v="1"/>
    <x v="1"/>
    <x v="4"/>
    <n v="25"/>
    <n v="193.942563919023"/>
    <n v="887.48645019531205"/>
  </r>
  <r>
    <x v="1"/>
    <x v="0"/>
    <x v="4"/>
    <n v="25"/>
    <n v="193.942563919023"/>
    <n v="887.48645019531205"/>
  </r>
  <r>
    <x v="1"/>
    <x v="2"/>
    <x v="4"/>
    <n v="25"/>
    <n v="193.942563919023"/>
    <n v="887.48645019531205"/>
  </r>
  <r>
    <x v="1"/>
    <x v="3"/>
    <x v="4"/>
    <n v="25"/>
    <n v="193.942563919023"/>
    <n v="887.48645019531205"/>
  </r>
  <r>
    <x v="1"/>
    <x v="4"/>
    <x v="4"/>
    <n v="25"/>
    <n v="193.942563919023"/>
    <n v="887.48645019531205"/>
  </r>
  <r>
    <x v="9"/>
    <x v="1"/>
    <x v="9"/>
    <n v="3"/>
    <n v="75.906196455876398"/>
    <n v="991"/>
  </r>
  <r>
    <x v="9"/>
    <x v="4"/>
    <x v="9"/>
    <n v="3"/>
    <n v="75.906196455876398"/>
    <n v="991"/>
  </r>
  <r>
    <x v="9"/>
    <x v="0"/>
    <x v="9"/>
    <n v="3"/>
    <n v="75.906196455876398"/>
    <n v="991"/>
  </r>
  <r>
    <x v="9"/>
    <x v="3"/>
    <x v="9"/>
    <n v="3"/>
    <n v="75.906196455876398"/>
    <n v="991"/>
  </r>
  <r>
    <x v="9"/>
    <x v="2"/>
    <x v="9"/>
    <n v="3"/>
    <n v="75.906196455876398"/>
    <n v="991"/>
  </r>
  <r>
    <x v="3"/>
    <x v="0"/>
    <x v="9"/>
    <n v="1"/>
    <n v="89.076176927241704"/>
    <n v="895"/>
  </r>
  <r>
    <x v="3"/>
    <x v="2"/>
    <x v="9"/>
    <n v="1"/>
    <n v="89.076176927241704"/>
    <n v="895"/>
  </r>
  <r>
    <x v="3"/>
    <x v="4"/>
    <x v="9"/>
    <n v="1"/>
    <n v="89.076176927241704"/>
    <n v="895"/>
  </r>
  <r>
    <x v="3"/>
    <x v="3"/>
    <x v="9"/>
    <n v="1"/>
    <n v="89.076176927241704"/>
    <n v="895"/>
  </r>
  <r>
    <x v="3"/>
    <x v="1"/>
    <x v="9"/>
    <n v="1"/>
    <n v="89.076176927241704"/>
    <n v="895"/>
  </r>
  <r>
    <x v="3"/>
    <x v="0"/>
    <x v="2"/>
    <n v="20.6301956176757"/>
    <n v="174.79286917086301"/>
    <n v="1577.64282226562"/>
  </r>
  <r>
    <x v="3"/>
    <x v="2"/>
    <x v="2"/>
    <n v="20.6301956176757"/>
    <n v="174.79286917086301"/>
    <n v="1577.64282226562"/>
  </r>
  <r>
    <x v="3"/>
    <x v="4"/>
    <x v="2"/>
    <n v="20.6301956176757"/>
    <n v="174.79286917086301"/>
    <n v="1577.64282226562"/>
  </r>
  <r>
    <x v="3"/>
    <x v="3"/>
    <x v="2"/>
    <n v="20.6301956176757"/>
    <n v="174.79286917086301"/>
    <n v="1577.64282226562"/>
  </r>
  <r>
    <x v="3"/>
    <x v="1"/>
    <x v="2"/>
    <n v="20.6301956176757"/>
    <n v="174.79286917086301"/>
    <n v="1577.64282226562"/>
  </r>
  <r>
    <x v="12"/>
    <x v="3"/>
    <x v="6"/>
    <n v="58"/>
    <n v="557.30108303629004"/>
    <n v="2444.5"/>
  </r>
  <r>
    <x v="12"/>
    <x v="2"/>
    <x v="6"/>
    <n v="58"/>
    <n v="557.30108303629004"/>
    <n v="2444.5"/>
  </r>
  <r>
    <x v="12"/>
    <x v="0"/>
    <x v="6"/>
    <n v="58"/>
    <n v="557.30108303629004"/>
    <n v="2444.5"/>
  </r>
  <r>
    <x v="12"/>
    <x v="1"/>
    <x v="6"/>
    <n v="58"/>
    <n v="557.30108303629004"/>
    <n v="2444.5"/>
  </r>
  <r>
    <x v="12"/>
    <x v="4"/>
    <x v="6"/>
    <n v="58"/>
    <n v="557.30108303629004"/>
    <n v="2444.5"/>
  </r>
  <r>
    <x v="11"/>
    <x v="4"/>
    <x v="4"/>
    <n v="25.776283264160099"/>
    <n v="211.49162812994399"/>
    <n v="1339.9375"/>
  </r>
  <r>
    <x v="11"/>
    <x v="0"/>
    <x v="4"/>
    <n v="25.776283264160099"/>
    <n v="211.49162812994399"/>
    <n v="1339.9375"/>
  </r>
  <r>
    <x v="11"/>
    <x v="1"/>
    <x v="4"/>
    <n v="25.776283264160099"/>
    <n v="211.49162812994399"/>
    <n v="1339.9375"/>
  </r>
  <r>
    <x v="11"/>
    <x v="2"/>
    <x v="4"/>
    <n v="25.776283264160099"/>
    <n v="211.49162812994399"/>
    <n v="1339.9375"/>
  </r>
  <r>
    <x v="11"/>
    <x v="3"/>
    <x v="4"/>
    <n v="25.776283264160099"/>
    <n v="211.49162812994399"/>
    <n v="1339.9375"/>
  </r>
  <r>
    <x v="11"/>
    <x v="4"/>
    <x v="6"/>
    <n v="68.985083770751899"/>
    <n v="527.881311823592"/>
    <n v="2299"/>
  </r>
  <r>
    <x v="11"/>
    <x v="0"/>
    <x v="6"/>
    <n v="68.985083770751899"/>
    <n v="527.881311823592"/>
    <n v="2299"/>
  </r>
  <r>
    <x v="11"/>
    <x v="1"/>
    <x v="6"/>
    <n v="68.985083770751899"/>
    <n v="527.881311823592"/>
    <n v="2299"/>
  </r>
  <r>
    <x v="11"/>
    <x v="2"/>
    <x v="6"/>
    <n v="68.985083770751899"/>
    <n v="527.881311823592"/>
    <n v="2299"/>
  </r>
  <r>
    <x v="11"/>
    <x v="3"/>
    <x v="6"/>
    <n v="68.985083770751899"/>
    <n v="527.881311823592"/>
    <n v="2299"/>
  </r>
  <r>
    <x v="5"/>
    <x v="2"/>
    <x v="0"/>
    <n v="33"/>
    <n v="228.65575292549599"/>
    <n v="2009.12426757812"/>
  </r>
  <r>
    <x v="5"/>
    <x v="0"/>
    <x v="0"/>
    <n v="33"/>
    <n v="228.65575292549599"/>
    <n v="2009.12426757812"/>
  </r>
  <r>
    <x v="5"/>
    <x v="1"/>
    <x v="0"/>
    <n v="33"/>
    <n v="228.65575292549599"/>
    <n v="2009.12426757812"/>
  </r>
  <r>
    <x v="5"/>
    <x v="3"/>
    <x v="0"/>
    <n v="33"/>
    <n v="228.65575292549599"/>
    <n v="2009.12426757812"/>
  </r>
  <r>
    <x v="5"/>
    <x v="4"/>
    <x v="0"/>
    <n v="33"/>
    <n v="228.65575292549599"/>
    <n v="2009.12426757812"/>
  </r>
  <r>
    <x v="11"/>
    <x v="4"/>
    <x v="1"/>
    <n v="61"/>
    <n v="352.78548805864301"/>
    <n v="1429"/>
  </r>
  <r>
    <x v="11"/>
    <x v="0"/>
    <x v="1"/>
    <n v="61"/>
    <n v="352.78548805864301"/>
    <n v="1429"/>
  </r>
  <r>
    <x v="11"/>
    <x v="1"/>
    <x v="1"/>
    <n v="61"/>
    <n v="352.78548805864301"/>
    <n v="1429"/>
  </r>
  <r>
    <x v="11"/>
    <x v="2"/>
    <x v="1"/>
    <n v="61"/>
    <n v="352.78548805864301"/>
    <n v="1429"/>
  </r>
  <r>
    <x v="11"/>
    <x v="3"/>
    <x v="1"/>
    <n v="61"/>
    <n v="352.78548805864301"/>
    <n v="1429"/>
  </r>
  <r>
    <x v="12"/>
    <x v="3"/>
    <x v="4"/>
    <n v="25"/>
    <n v="180.734986536527"/>
    <n v="1164"/>
  </r>
  <r>
    <x v="12"/>
    <x v="2"/>
    <x v="4"/>
    <n v="25"/>
    <n v="180.734986536527"/>
    <n v="1164"/>
  </r>
  <r>
    <x v="12"/>
    <x v="0"/>
    <x v="4"/>
    <n v="25"/>
    <n v="180.734986536527"/>
    <n v="1164"/>
  </r>
  <r>
    <x v="12"/>
    <x v="1"/>
    <x v="4"/>
    <n v="25"/>
    <n v="180.734986536527"/>
    <n v="1164"/>
  </r>
  <r>
    <x v="12"/>
    <x v="4"/>
    <x v="4"/>
    <n v="25"/>
    <n v="180.734986536527"/>
    <n v="1164"/>
  </r>
  <r>
    <x v="13"/>
    <x v="1"/>
    <x v="2"/>
    <n v="20.6301956176757"/>
    <n v="157.21747193799899"/>
    <n v="1604"/>
  </r>
  <r>
    <x v="13"/>
    <x v="0"/>
    <x v="2"/>
    <n v="20.6301956176757"/>
    <n v="157.21747193799899"/>
    <n v="1604"/>
  </r>
  <r>
    <x v="13"/>
    <x v="2"/>
    <x v="2"/>
    <n v="20.6301956176757"/>
    <n v="157.21747193799899"/>
    <n v="1604"/>
  </r>
  <r>
    <x v="13"/>
    <x v="4"/>
    <x v="2"/>
    <n v="20.6301956176757"/>
    <n v="157.21747193799899"/>
    <n v="1604"/>
  </r>
  <r>
    <x v="13"/>
    <x v="3"/>
    <x v="2"/>
    <n v="20.6301956176757"/>
    <n v="157.21747193799899"/>
    <n v="1604"/>
  </r>
  <r>
    <x v="12"/>
    <x v="3"/>
    <x v="2"/>
    <n v="20.6301956176757"/>
    <n v="162.34834946079599"/>
    <n v="1164"/>
  </r>
  <r>
    <x v="12"/>
    <x v="2"/>
    <x v="2"/>
    <n v="20.6301956176757"/>
    <n v="162.34834946079599"/>
    <n v="1164"/>
  </r>
  <r>
    <x v="12"/>
    <x v="0"/>
    <x v="2"/>
    <n v="20.6301956176757"/>
    <n v="162.34834946079599"/>
    <n v="1164"/>
  </r>
  <r>
    <x v="12"/>
    <x v="1"/>
    <x v="2"/>
    <n v="20.6301956176757"/>
    <n v="162.34834946079599"/>
    <n v="1164"/>
  </r>
  <r>
    <x v="12"/>
    <x v="4"/>
    <x v="2"/>
    <n v="20.6301956176757"/>
    <n v="162.34834946079599"/>
    <n v="1164"/>
  </r>
  <r>
    <x v="4"/>
    <x v="2"/>
    <x v="6"/>
    <n v="58"/>
    <n v="588.46032726745398"/>
    <n v="2299"/>
  </r>
  <r>
    <x v="4"/>
    <x v="4"/>
    <x v="6"/>
    <n v="58"/>
    <n v="588.46032726745398"/>
    <n v="2299"/>
  </r>
  <r>
    <x v="4"/>
    <x v="0"/>
    <x v="6"/>
    <n v="58"/>
    <n v="588.46032726745398"/>
    <n v="2299"/>
  </r>
  <r>
    <x v="4"/>
    <x v="3"/>
    <x v="6"/>
    <n v="58"/>
    <n v="588.46032726745398"/>
    <n v="2299"/>
  </r>
  <r>
    <x v="4"/>
    <x v="1"/>
    <x v="6"/>
    <n v="58"/>
    <n v="588.46032726745398"/>
    <n v="2299"/>
  </r>
  <r>
    <x v="11"/>
    <x v="4"/>
    <x v="12"/>
    <n v="52"/>
    <n v="304.60094109584998"/>
    <n v="1420"/>
  </r>
  <r>
    <x v="11"/>
    <x v="0"/>
    <x v="12"/>
    <n v="52"/>
    <n v="304.60094109584998"/>
    <n v="1420"/>
  </r>
  <r>
    <x v="11"/>
    <x v="1"/>
    <x v="12"/>
    <n v="52"/>
    <n v="304.60094109584998"/>
    <n v="1420"/>
  </r>
  <r>
    <x v="11"/>
    <x v="2"/>
    <x v="12"/>
    <n v="52"/>
    <n v="304.60094109584998"/>
    <n v="1420"/>
  </r>
  <r>
    <x v="11"/>
    <x v="3"/>
    <x v="12"/>
    <n v="52"/>
    <n v="304.60094109584998"/>
    <n v="1420"/>
  </r>
  <r>
    <x v="0"/>
    <x v="0"/>
    <x v="4"/>
    <n v="123.93893432617099"/>
    <n v="462.55554496444699"/>
    <n v="905.011474609375"/>
  </r>
  <r>
    <x v="10"/>
    <x v="2"/>
    <x v="13"/>
    <n v="37"/>
    <n v="280.77753396956803"/>
    <n v="1143.4921875"/>
  </r>
  <r>
    <x v="10"/>
    <x v="0"/>
    <x v="13"/>
    <n v="37"/>
    <n v="280.77753396956803"/>
    <n v="1143.4921875"/>
  </r>
  <r>
    <x v="10"/>
    <x v="3"/>
    <x v="13"/>
    <n v="37"/>
    <n v="280.77753396956803"/>
    <n v="1143.4921875"/>
  </r>
  <r>
    <x v="10"/>
    <x v="4"/>
    <x v="13"/>
    <n v="37"/>
    <n v="280.77753396956803"/>
    <n v="1143.4921875"/>
  </r>
  <r>
    <x v="10"/>
    <x v="1"/>
    <x v="13"/>
    <n v="37"/>
    <n v="280.77753396956803"/>
    <n v="1143.4921875"/>
  </r>
  <r>
    <x v="13"/>
    <x v="1"/>
    <x v="10"/>
    <n v="64"/>
    <n v="698.03355963271201"/>
    <n v="3078"/>
  </r>
  <r>
    <x v="13"/>
    <x v="0"/>
    <x v="10"/>
    <n v="64"/>
    <n v="698.03355963271201"/>
    <n v="3078"/>
  </r>
  <r>
    <x v="13"/>
    <x v="2"/>
    <x v="10"/>
    <n v="64"/>
    <n v="698.03355963271201"/>
    <n v="3078"/>
  </r>
  <r>
    <x v="13"/>
    <x v="4"/>
    <x v="10"/>
    <n v="64"/>
    <n v="698.03355963271201"/>
    <n v="3078"/>
  </r>
  <r>
    <x v="13"/>
    <x v="3"/>
    <x v="10"/>
    <n v="64"/>
    <n v="698.03355963271201"/>
    <n v="3078"/>
  </r>
  <r>
    <x v="1"/>
    <x v="1"/>
    <x v="7"/>
    <n v="16.045707702636701"/>
    <n v="159.216042944674"/>
    <n v="765"/>
  </r>
  <r>
    <x v="1"/>
    <x v="0"/>
    <x v="7"/>
    <n v="16.045707702636701"/>
    <n v="159.216042944674"/>
    <n v="765"/>
  </r>
  <r>
    <x v="1"/>
    <x v="2"/>
    <x v="7"/>
    <n v="16.045707702636701"/>
    <n v="159.216042944674"/>
    <n v="765"/>
  </r>
  <r>
    <x v="1"/>
    <x v="3"/>
    <x v="7"/>
    <n v="16.045707702636701"/>
    <n v="159.216042944674"/>
    <n v="765"/>
  </r>
  <r>
    <x v="1"/>
    <x v="4"/>
    <x v="7"/>
    <n v="16.045707702636701"/>
    <n v="159.216042944674"/>
    <n v="765"/>
  </r>
  <r>
    <x v="6"/>
    <x v="3"/>
    <x v="10"/>
    <n v="64"/>
    <n v="821.15446214271196"/>
    <n v="4568"/>
  </r>
  <r>
    <x v="6"/>
    <x v="1"/>
    <x v="10"/>
    <n v="64"/>
    <n v="821.15446214271196"/>
    <n v="4568"/>
  </r>
  <r>
    <x v="6"/>
    <x v="0"/>
    <x v="10"/>
    <n v="64"/>
    <n v="821.15446214271196"/>
    <n v="4568"/>
  </r>
  <r>
    <x v="6"/>
    <x v="4"/>
    <x v="10"/>
    <n v="64"/>
    <n v="821.15446214271196"/>
    <n v="4568"/>
  </r>
  <r>
    <x v="6"/>
    <x v="2"/>
    <x v="10"/>
    <n v="64"/>
    <n v="821.15446214271196"/>
    <n v="4568"/>
  </r>
  <r>
    <x v="8"/>
    <x v="4"/>
    <x v="2"/>
    <n v="20.6301956176757"/>
    <n v="170.578919526807"/>
    <n v="1255"/>
  </r>
  <r>
    <x v="8"/>
    <x v="0"/>
    <x v="2"/>
    <n v="20.6301956176757"/>
    <n v="170.578919526807"/>
    <n v="1255"/>
  </r>
  <r>
    <x v="8"/>
    <x v="3"/>
    <x v="2"/>
    <n v="20.6301956176757"/>
    <n v="170.578919526807"/>
    <n v="1255"/>
  </r>
  <r>
    <x v="8"/>
    <x v="1"/>
    <x v="2"/>
    <n v="20.6301956176757"/>
    <n v="170.578919526807"/>
    <n v="1255"/>
  </r>
  <r>
    <x v="8"/>
    <x v="2"/>
    <x v="2"/>
    <n v="20.6301956176757"/>
    <n v="170.578919526807"/>
    <n v="1255"/>
  </r>
  <r>
    <x v="3"/>
    <x v="0"/>
    <x v="5"/>
    <n v="6"/>
    <n v="75.095710935733194"/>
    <n v="925"/>
  </r>
  <r>
    <x v="3"/>
    <x v="2"/>
    <x v="5"/>
    <n v="6"/>
    <n v="75.095710935733194"/>
    <n v="925"/>
  </r>
  <r>
    <x v="3"/>
    <x v="4"/>
    <x v="5"/>
    <n v="6"/>
    <n v="75.095710935733194"/>
    <n v="925"/>
  </r>
  <r>
    <x v="3"/>
    <x v="3"/>
    <x v="5"/>
    <n v="6"/>
    <n v="75.095710935733194"/>
    <n v="925"/>
  </r>
  <r>
    <x v="3"/>
    <x v="1"/>
    <x v="5"/>
    <n v="6"/>
    <n v="75.095710935733194"/>
    <n v="925"/>
  </r>
  <r>
    <x v="2"/>
    <x v="3"/>
    <x v="5"/>
    <n v="6"/>
    <n v="83.089599197719593"/>
    <n v="1025"/>
  </r>
  <r>
    <x v="2"/>
    <x v="0"/>
    <x v="5"/>
    <n v="6"/>
    <n v="83.089599197719593"/>
    <n v="1025"/>
  </r>
  <r>
    <x v="2"/>
    <x v="2"/>
    <x v="5"/>
    <n v="6"/>
    <n v="83.089599197719593"/>
    <n v="1025"/>
  </r>
  <r>
    <x v="2"/>
    <x v="1"/>
    <x v="5"/>
    <n v="6"/>
    <n v="83.089599197719593"/>
    <n v="1025"/>
  </r>
  <r>
    <x v="2"/>
    <x v="4"/>
    <x v="5"/>
    <n v="6"/>
    <n v="83.089599197719593"/>
    <n v="1025"/>
  </r>
  <r>
    <x v="9"/>
    <x v="1"/>
    <x v="8"/>
    <n v="52"/>
    <n v="486.08189006899102"/>
    <n v="2080"/>
  </r>
  <r>
    <x v="9"/>
    <x v="4"/>
    <x v="8"/>
    <n v="52"/>
    <n v="486.08189006899102"/>
    <n v="2080"/>
  </r>
  <r>
    <x v="9"/>
    <x v="0"/>
    <x v="8"/>
    <n v="52"/>
    <n v="486.08189006899102"/>
    <n v="2080"/>
  </r>
  <r>
    <x v="9"/>
    <x v="3"/>
    <x v="8"/>
    <n v="52"/>
    <n v="486.08189006899102"/>
    <n v="2080"/>
  </r>
  <r>
    <x v="9"/>
    <x v="2"/>
    <x v="8"/>
    <n v="52"/>
    <n v="486.08189006899102"/>
    <n v="2080"/>
  </r>
  <r>
    <x v="7"/>
    <x v="1"/>
    <x v="10"/>
    <n v="64"/>
    <n v="786.16203179380602"/>
    <n v="4568"/>
  </r>
  <r>
    <x v="7"/>
    <x v="4"/>
    <x v="10"/>
    <n v="64"/>
    <n v="786.16203179380602"/>
    <n v="4568"/>
  </r>
  <r>
    <x v="7"/>
    <x v="0"/>
    <x v="10"/>
    <n v="64"/>
    <n v="786.16203179380602"/>
    <n v="4568"/>
  </r>
  <r>
    <x v="7"/>
    <x v="3"/>
    <x v="10"/>
    <n v="64"/>
    <n v="786.16203179380602"/>
    <n v="4568"/>
  </r>
  <r>
    <x v="7"/>
    <x v="2"/>
    <x v="10"/>
    <n v="64"/>
    <n v="786.16203179380602"/>
    <n v="4568"/>
  </r>
  <r>
    <x v="13"/>
    <x v="1"/>
    <x v="4"/>
    <n v="24.869464397430399"/>
    <n v="175.16751093871099"/>
    <n v="1604"/>
  </r>
  <r>
    <x v="13"/>
    <x v="0"/>
    <x v="4"/>
    <n v="24.869464397430399"/>
    <n v="175.16751093871099"/>
    <n v="1604"/>
  </r>
  <r>
    <x v="13"/>
    <x v="2"/>
    <x v="4"/>
    <n v="24.869464397430399"/>
    <n v="175.16751093871099"/>
    <n v="1604"/>
  </r>
  <r>
    <x v="13"/>
    <x v="4"/>
    <x v="4"/>
    <n v="24.869464397430399"/>
    <n v="175.16751093871099"/>
    <n v="1604"/>
  </r>
  <r>
    <x v="13"/>
    <x v="3"/>
    <x v="4"/>
    <n v="24.869464397430399"/>
    <n v="175.16751093871099"/>
    <n v="1604"/>
  </r>
  <r>
    <x v="14"/>
    <x v="1"/>
    <x v="3"/>
    <n v="33.772739410400298"/>
    <n v="245.531769078389"/>
    <n v="1820"/>
  </r>
  <r>
    <x v="14"/>
    <x v="4"/>
    <x v="3"/>
    <n v="33.772739410400298"/>
    <n v="245.531769078389"/>
    <n v="1820"/>
  </r>
  <r>
    <x v="14"/>
    <x v="2"/>
    <x v="3"/>
    <n v="33.772739410400298"/>
    <n v="245.531769078389"/>
    <n v="1820"/>
  </r>
  <r>
    <x v="14"/>
    <x v="0"/>
    <x v="3"/>
    <n v="33.772739410400298"/>
    <n v="245.531769078389"/>
    <n v="1820"/>
  </r>
  <r>
    <x v="14"/>
    <x v="3"/>
    <x v="3"/>
    <n v="33.772739410400298"/>
    <n v="245.531769078389"/>
    <n v="1820"/>
  </r>
  <r>
    <x v="2"/>
    <x v="3"/>
    <x v="12"/>
    <n v="41"/>
    <n v="322.06384346956298"/>
    <n v="2713.99658203125"/>
  </r>
  <r>
    <x v="2"/>
    <x v="0"/>
    <x v="12"/>
    <n v="41"/>
    <n v="322.06384346956298"/>
    <n v="2713.99658203125"/>
  </r>
  <r>
    <x v="2"/>
    <x v="2"/>
    <x v="12"/>
    <n v="41"/>
    <n v="322.06384346956298"/>
    <n v="2713.99658203125"/>
  </r>
  <r>
    <x v="2"/>
    <x v="1"/>
    <x v="12"/>
    <n v="41"/>
    <n v="322.06384346956298"/>
    <n v="2713.99658203125"/>
  </r>
  <r>
    <x v="2"/>
    <x v="4"/>
    <x v="12"/>
    <n v="41"/>
    <n v="322.06384346956298"/>
    <n v="2713.99658203125"/>
  </r>
  <r>
    <x v="2"/>
    <x v="3"/>
    <x v="9"/>
    <n v="1"/>
    <n v="96.869516284826304"/>
    <n v="895"/>
  </r>
  <r>
    <x v="2"/>
    <x v="0"/>
    <x v="9"/>
    <n v="1"/>
    <n v="96.869516284826304"/>
    <n v="895"/>
  </r>
  <r>
    <x v="2"/>
    <x v="2"/>
    <x v="9"/>
    <n v="1"/>
    <n v="96.869516284826304"/>
    <n v="895"/>
  </r>
  <r>
    <x v="2"/>
    <x v="1"/>
    <x v="9"/>
    <n v="1"/>
    <n v="96.869516284826304"/>
    <n v="895"/>
  </r>
  <r>
    <x v="2"/>
    <x v="4"/>
    <x v="9"/>
    <n v="1"/>
    <n v="96.869516284826304"/>
    <n v="895"/>
  </r>
  <r>
    <x v="15"/>
    <x v="3"/>
    <x v="6"/>
    <n v="57.25"/>
    <n v="598.40872625146801"/>
    <n v="2617"/>
  </r>
  <r>
    <x v="15"/>
    <x v="1"/>
    <x v="6"/>
    <n v="57.25"/>
    <n v="598.40872625146801"/>
    <n v="2617"/>
  </r>
  <r>
    <x v="15"/>
    <x v="4"/>
    <x v="6"/>
    <n v="57.25"/>
    <n v="598.40872625146801"/>
    <n v="2617"/>
  </r>
  <r>
    <x v="15"/>
    <x v="0"/>
    <x v="6"/>
    <n v="57.25"/>
    <n v="598.40872625146801"/>
    <n v="2617"/>
  </r>
  <r>
    <x v="15"/>
    <x v="2"/>
    <x v="6"/>
    <n v="57.25"/>
    <n v="598.40872625146801"/>
    <n v="2617"/>
  </r>
  <r>
    <x v="15"/>
    <x v="3"/>
    <x v="4"/>
    <n v="25"/>
    <n v="197.417486086612"/>
    <n v="1756.73498535156"/>
  </r>
  <r>
    <x v="15"/>
    <x v="1"/>
    <x v="4"/>
    <n v="25"/>
    <n v="197.417486086612"/>
    <n v="1756.73498535156"/>
  </r>
  <r>
    <x v="15"/>
    <x v="4"/>
    <x v="4"/>
    <n v="25"/>
    <n v="197.417486086612"/>
    <n v="1756.73498535156"/>
  </r>
  <r>
    <x v="15"/>
    <x v="0"/>
    <x v="4"/>
    <n v="25"/>
    <n v="197.417486086612"/>
    <n v="1756.73498535156"/>
  </r>
  <r>
    <x v="15"/>
    <x v="2"/>
    <x v="4"/>
    <n v="25"/>
    <n v="197.417486086612"/>
    <n v="1756.73498535156"/>
  </r>
  <r>
    <x v="5"/>
    <x v="2"/>
    <x v="4"/>
    <n v="25"/>
    <n v="179.39246368145601"/>
    <n v="1295"/>
  </r>
  <r>
    <x v="5"/>
    <x v="0"/>
    <x v="4"/>
    <n v="25"/>
    <n v="179.39246368145601"/>
    <n v="1295"/>
  </r>
  <r>
    <x v="5"/>
    <x v="1"/>
    <x v="4"/>
    <n v="25"/>
    <n v="179.39246368145601"/>
    <n v="1295"/>
  </r>
  <r>
    <x v="5"/>
    <x v="3"/>
    <x v="4"/>
    <n v="25"/>
    <n v="179.39246368145601"/>
    <n v="1295"/>
  </r>
  <r>
    <x v="5"/>
    <x v="4"/>
    <x v="4"/>
    <n v="25"/>
    <n v="179.39246368145601"/>
    <n v="1295"/>
  </r>
  <r>
    <x v="5"/>
    <x v="2"/>
    <x v="3"/>
    <n v="29"/>
    <n v="200.01835251521601"/>
    <n v="1784.912109375"/>
  </r>
  <r>
    <x v="5"/>
    <x v="0"/>
    <x v="3"/>
    <n v="29"/>
    <n v="200.01835251521601"/>
    <n v="1784.912109375"/>
  </r>
  <r>
    <x v="5"/>
    <x v="1"/>
    <x v="3"/>
    <n v="29"/>
    <n v="200.01835251521601"/>
    <n v="1784.912109375"/>
  </r>
  <r>
    <x v="5"/>
    <x v="3"/>
    <x v="3"/>
    <n v="29"/>
    <n v="200.01835251521601"/>
    <n v="1784.912109375"/>
  </r>
  <r>
    <x v="5"/>
    <x v="4"/>
    <x v="3"/>
    <n v="29"/>
    <n v="200.01835251521601"/>
    <n v="1784.912109375"/>
  </r>
  <r>
    <x v="15"/>
    <x v="3"/>
    <x v="10"/>
    <n v="59.5"/>
    <n v="784.17792567844106"/>
    <n v="4503"/>
  </r>
  <r>
    <x v="15"/>
    <x v="1"/>
    <x v="10"/>
    <n v="59.5"/>
    <n v="784.17792567844106"/>
    <n v="4503"/>
  </r>
  <r>
    <x v="15"/>
    <x v="4"/>
    <x v="10"/>
    <n v="59.5"/>
    <n v="784.17792567844106"/>
    <n v="4503"/>
  </r>
  <r>
    <x v="15"/>
    <x v="0"/>
    <x v="10"/>
    <n v="59.5"/>
    <n v="784.17792567844106"/>
    <n v="4503"/>
  </r>
  <r>
    <x v="15"/>
    <x v="2"/>
    <x v="10"/>
    <n v="59.5"/>
    <n v="784.17792567844106"/>
    <n v="4503"/>
  </r>
  <r>
    <x v="0"/>
    <x v="0"/>
    <x v="9"/>
    <n v="53.255012512207003"/>
    <n v="311.709751163097"/>
    <n v="528.14813232421795"/>
  </r>
  <r>
    <x v="6"/>
    <x v="3"/>
    <x v="4"/>
    <n v="25"/>
    <n v="220.625016733135"/>
    <n v="3760"/>
  </r>
  <r>
    <x v="6"/>
    <x v="1"/>
    <x v="4"/>
    <n v="25"/>
    <n v="220.625016733135"/>
    <n v="3760"/>
  </r>
  <r>
    <x v="6"/>
    <x v="0"/>
    <x v="4"/>
    <n v="25"/>
    <n v="220.625016733135"/>
    <n v="3760"/>
  </r>
  <r>
    <x v="6"/>
    <x v="4"/>
    <x v="4"/>
    <n v="25"/>
    <n v="220.625016733135"/>
    <n v="3760"/>
  </r>
  <r>
    <x v="6"/>
    <x v="2"/>
    <x v="4"/>
    <n v="25"/>
    <n v="220.625016733135"/>
    <n v="3760"/>
  </r>
  <r>
    <x v="8"/>
    <x v="4"/>
    <x v="1"/>
    <n v="58.517463684082003"/>
    <n v="350.80601629449302"/>
    <n v="1563.5"/>
  </r>
  <r>
    <x v="8"/>
    <x v="0"/>
    <x v="1"/>
    <n v="58.517463684082003"/>
    <n v="350.80601629449302"/>
    <n v="1563.5"/>
  </r>
  <r>
    <x v="8"/>
    <x v="3"/>
    <x v="1"/>
    <n v="58.517463684082003"/>
    <n v="350.80601629449302"/>
    <n v="1563.5"/>
  </r>
  <r>
    <x v="8"/>
    <x v="1"/>
    <x v="1"/>
    <n v="58.517463684082003"/>
    <n v="350.80601629449302"/>
    <n v="1563.5"/>
  </r>
  <r>
    <x v="8"/>
    <x v="2"/>
    <x v="1"/>
    <n v="58.517463684082003"/>
    <n v="350.80601629449302"/>
    <n v="1563.5"/>
  </r>
  <r>
    <x v="6"/>
    <x v="3"/>
    <x v="13"/>
    <n v="37"/>
    <n v="319.28687939417603"/>
    <n v="3760"/>
  </r>
  <r>
    <x v="6"/>
    <x v="1"/>
    <x v="13"/>
    <n v="37"/>
    <n v="319.28687939417603"/>
    <n v="3760"/>
  </r>
  <r>
    <x v="6"/>
    <x v="0"/>
    <x v="13"/>
    <n v="37"/>
    <n v="319.28687939417603"/>
    <n v="3760"/>
  </r>
  <r>
    <x v="6"/>
    <x v="4"/>
    <x v="13"/>
    <n v="37"/>
    <n v="319.28687939417603"/>
    <n v="3760"/>
  </r>
  <r>
    <x v="6"/>
    <x v="2"/>
    <x v="13"/>
    <n v="37"/>
    <n v="319.28687939417603"/>
    <n v="3760"/>
  </r>
  <r>
    <x v="5"/>
    <x v="2"/>
    <x v="11"/>
    <n v="13.168941497802701"/>
    <n v="109.91060072033"/>
    <n v="1175"/>
  </r>
  <r>
    <x v="5"/>
    <x v="0"/>
    <x v="11"/>
    <n v="13.168941497802701"/>
    <n v="109.91060072033"/>
    <n v="1175"/>
  </r>
  <r>
    <x v="5"/>
    <x v="1"/>
    <x v="11"/>
    <n v="13.168941497802701"/>
    <n v="109.91060072033"/>
    <n v="1175"/>
  </r>
  <r>
    <x v="5"/>
    <x v="3"/>
    <x v="11"/>
    <n v="13.168941497802701"/>
    <n v="109.91060072033"/>
    <n v="1175"/>
  </r>
  <r>
    <x v="5"/>
    <x v="4"/>
    <x v="11"/>
    <n v="13.168941497802701"/>
    <n v="109.91060072033"/>
    <n v="1175"/>
  </r>
  <r>
    <x v="12"/>
    <x v="3"/>
    <x v="12"/>
    <n v="41"/>
    <n v="313.28424053660098"/>
    <n v="1410"/>
  </r>
  <r>
    <x v="12"/>
    <x v="2"/>
    <x v="12"/>
    <n v="41"/>
    <n v="313.28424053660098"/>
    <n v="1410"/>
  </r>
  <r>
    <x v="12"/>
    <x v="0"/>
    <x v="12"/>
    <n v="41"/>
    <n v="313.28424053660098"/>
    <n v="1410"/>
  </r>
  <r>
    <x v="12"/>
    <x v="1"/>
    <x v="12"/>
    <n v="41"/>
    <n v="313.28424053660098"/>
    <n v="1410"/>
  </r>
  <r>
    <x v="12"/>
    <x v="4"/>
    <x v="12"/>
    <n v="41"/>
    <n v="313.28424053660098"/>
    <n v="1410"/>
  </r>
  <r>
    <x v="6"/>
    <x v="3"/>
    <x v="3"/>
    <n v="29"/>
    <n v="246.055843186023"/>
    <n v="3760"/>
  </r>
  <r>
    <x v="6"/>
    <x v="1"/>
    <x v="3"/>
    <n v="29"/>
    <n v="246.055843186023"/>
    <n v="3760"/>
  </r>
  <r>
    <x v="6"/>
    <x v="0"/>
    <x v="3"/>
    <n v="29"/>
    <n v="246.055843186023"/>
    <n v="3760"/>
  </r>
  <r>
    <x v="6"/>
    <x v="4"/>
    <x v="3"/>
    <n v="29"/>
    <n v="246.055843186023"/>
    <n v="3760"/>
  </r>
  <r>
    <x v="6"/>
    <x v="2"/>
    <x v="3"/>
    <n v="29"/>
    <n v="246.055843186023"/>
    <n v="3760"/>
  </r>
  <r>
    <x v="4"/>
    <x v="2"/>
    <x v="8"/>
    <n v="52"/>
    <n v="464.40075954990402"/>
    <n v="3129.58837890625"/>
  </r>
  <r>
    <x v="4"/>
    <x v="4"/>
    <x v="8"/>
    <n v="52"/>
    <n v="464.40075954990402"/>
    <n v="3129.58837890625"/>
  </r>
  <r>
    <x v="4"/>
    <x v="0"/>
    <x v="8"/>
    <n v="52"/>
    <n v="464.40075954990402"/>
    <n v="3129.58837890625"/>
  </r>
  <r>
    <x v="4"/>
    <x v="3"/>
    <x v="8"/>
    <n v="52"/>
    <n v="464.40075954990402"/>
    <n v="3129.58837890625"/>
  </r>
  <r>
    <x v="4"/>
    <x v="1"/>
    <x v="8"/>
    <n v="52"/>
    <n v="464.40075954990402"/>
    <n v="3129.58837890625"/>
  </r>
  <r>
    <x v="4"/>
    <x v="2"/>
    <x v="12"/>
    <n v="41"/>
    <n v="325.85729168814601"/>
    <n v="2698.20166015625"/>
  </r>
  <r>
    <x v="4"/>
    <x v="4"/>
    <x v="12"/>
    <n v="41"/>
    <n v="325.85729168814601"/>
    <n v="2698.20166015625"/>
  </r>
  <r>
    <x v="4"/>
    <x v="0"/>
    <x v="12"/>
    <n v="41"/>
    <n v="325.85729168814601"/>
    <n v="2698.20166015625"/>
  </r>
  <r>
    <x v="4"/>
    <x v="3"/>
    <x v="12"/>
    <n v="41"/>
    <n v="325.85729168814601"/>
    <n v="2698.20166015625"/>
  </r>
  <r>
    <x v="4"/>
    <x v="1"/>
    <x v="12"/>
    <n v="41"/>
    <n v="325.85729168814601"/>
    <n v="2698.20166015625"/>
  </r>
  <r>
    <x v="11"/>
    <x v="4"/>
    <x v="3"/>
    <n v="31.506893157958899"/>
    <n v="227.57572933089401"/>
    <n v="1357.75"/>
  </r>
  <r>
    <x v="11"/>
    <x v="0"/>
    <x v="3"/>
    <n v="31.506893157958899"/>
    <n v="227.57572933089401"/>
    <n v="1357.75"/>
  </r>
  <r>
    <x v="11"/>
    <x v="1"/>
    <x v="3"/>
    <n v="31.506893157958899"/>
    <n v="227.57572933089401"/>
    <n v="1357.75"/>
  </r>
  <r>
    <x v="11"/>
    <x v="2"/>
    <x v="3"/>
    <n v="31.506893157958899"/>
    <n v="227.57572933089401"/>
    <n v="1357.75"/>
  </r>
  <r>
    <x v="11"/>
    <x v="3"/>
    <x v="3"/>
    <n v="31.506893157958899"/>
    <n v="227.57572933089401"/>
    <n v="1357.75"/>
  </r>
  <r>
    <x v="11"/>
    <x v="4"/>
    <x v="5"/>
    <n v="11.449758529663001"/>
    <n v="77.598852266513603"/>
    <n v="1137.0909118652301"/>
  </r>
  <r>
    <x v="11"/>
    <x v="0"/>
    <x v="5"/>
    <n v="11.449758529663001"/>
    <n v="77.598852266513603"/>
    <n v="1137.0909118652301"/>
  </r>
  <r>
    <x v="11"/>
    <x v="1"/>
    <x v="5"/>
    <n v="11.449758529663001"/>
    <n v="77.598852266513603"/>
    <n v="1137.0909118652301"/>
  </r>
  <r>
    <x v="11"/>
    <x v="2"/>
    <x v="5"/>
    <n v="11.449758529663001"/>
    <n v="77.598852266513603"/>
    <n v="1137.0909118652301"/>
  </r>
  <r>
    <x v="11"/>
    <x v="3"/>
    <x v="5"/>
    <n v="11.449758529663001"/>
    <n v="77.598852266513603"/>
    <n v="1137.0909118652301"/>
  </r>
  <r>
    <x v="1"/>
    <x v="1"/>
    <x v="6"/>
    <n v="57.25"/>
    <n v="593.41155534060101"/>
    <n v="2617"/>
  </r>
  <r>
    <x v="1"/>
    <x v="0"/>
    <x v="6"/>
    <n v="57.25"/>
    <n v="593.41155534060101"/>
    <n v="2617"/>
  </r>
  <r>
    <x v="1"/>
    <x v="2"/>
    <x v="6"/>
    <n v="57.25"/>
    <n v="593.41155534060101"/>
    <n v="2617"/>
  </r>
  <r>
    <x v="1"/>
    <x v="3"/>
    <x v="6"/>
    <n v="57.25"/>
    <n v="593.41155534060101"/>
    <n v="2617"/>
  </r>
  <r>
    <x v="1"/>
    <x v="4"/>
    <x v="6"/>
    <n v="57.25"/>
    <n v="593.41155534060101"/>
    <n v="2617"/>
  </r>
  <r>
    <x v="4"/>
    <x v="2"/>
    <x v="4"/>
    <n v="25"/>
    <n v="191.68260371895599"/>
    <n v="1756.73498535156"/>
  </r>
  <r>
    <x v="4"/>
    <x v="4"/>
    <x v="4"/>
    <n v="25"/>
    <n v="191.68260371895599"/>
    <n v="1756.73498535156"/>
  </r>
  <r>
    <x v="4"/>
    <x v="0"/>
    <x v="4"/>
    <n v="25"/>
    <n v="191.68260371895599"/>
    <n v="1756.73498535156"/>
  </r>
  <r>
    <x v="4"/>
    <x v="3"/>
    <x v="4"/>
    <n v="25"/>
    <n v="191.68260371895599"/>
    <n v="1756.73498535156"/>
  </r>
  <r>
    <x v="4"/>
    <x v="1"/>
    <x v="4"/>
    <n v="25"/>
    <n v="191.68260371895599"/>
    <n v="1756.73498535156"/>
  </r>
  <r>
    <x v="7"/>
    <x v="1"/>
    <x v="5"/>
    <n v="11.7281799316406"/>
    <n v="61.382259017974597"/>
    <n v="2039.04309082031"/>
  </r>
  <r>
    <x v="7"/>
    <x v="4"/>
    <x v="5"/>
    <n v="11.7281799316406"/>
    <n v="61.382259017974597"/>
    <n v="2039.04309082031"/>
  </r>
  <r>
    <x v="7"/>
    <x v="0"/>
    <x v="5"/>
    <n v="11.7281799316406"/>
    <n v="61.382259017974597"/>
    <n v="2039.04309082031"/>
  </r>
  <r>
    <x v="7"/>
    <x v="3"/>
    <x v="5"/>
    <n v="11.7281799316406"/>
    <n v="61.382259017974597"/>
    <n v="2039.04309082031"/>
  </r>
  <r>
    <x v="7"/>
    <x v="2"/>
    <x v="5"/>
    <n v="11.7281799316406"/>
    <n v="61.382259017974597"/>
    <n v="2039.04309082031"/>
  </r>
  <r>
    <x v="15"/>
    <x v="3"/>
    <x v="11"/>
    <n v="8"/>
    <n v="108.568714154684"/>
    <n v="838.5"/>
  </r>
  <r>
    <x v="15"/>
    <x v="1"/>
    <x v="11"/>
    <n v="8"/>
    <n v="108.568714154684"/>
    <n v="838.5"/>
  </r>
  <r>
    <x v="15"/>
    <x v="4"/>
    <x v="11"/>
    <n v="8"/>
    <n v="108.568714154684"/>
    <n v="838.5"/>
  </r>
  <r>
    <x v="15"/>
    <x v="0"/>
    <x v="11"/>
    <n v="8"/>
    <n v="108.568714154684"/>
    <n v="838.5"/>
  </r>
  <r>
    <x v="15"/>
    <x v="2"/>
    <x v="11"/>
    <n v="8"/>
    <n v="108.568714154684"/>
    <n v="838.5"/>
  </r>
  <r>
    <x v="5"/>
    <x v="2"/>
    <x v="12"/>
    <n v="41"/>
    <n v="303.97195562621198"/>
    <n v="2629.4423828125"/>
  </r>
  <r>
    <x v="5"/>
    <x v="0"/>
    <x v="12"/>
    <n v="41"/>
    <n v="303.97195562621198"/>
    <n v="2629.4423828125"/>
  </r>
  <r>
    <x v="5"/>
    <x v="1"/>
    <x v="12"/>
    <n v="41"/>
    <n v="303.97195562621198"/>
    <n v="2629.4423828125"/>
  </r>
  <r>
    <x v="5"/>
    <x v="3"/>
    <x v="12"/>
    <n v="41"/>
    <n v="303.97195562621198"/>
    <n v="2629.4423828125"/>
  </r>
  <r>
    <x v="5"/>
    <x v="4"/>
    <x v="12"/>
    <n v="41"/>
    <n v="303.97195562621198"/>
    <n v="2629.4423828125"/>
  </r>
  <r>
    <x v="8"/>
    <x v="4"/>
    <x v="11"/>
    <n v="13.168941497802701"/>
    <n v="107.6703614483"/>
    <n v="1175"/>
  </r>
  <r>
    <x v="8"/>
    <x v="0"/>
    <x v="11"/>
    <n v="13.168941497802701"/>
    <n v="107.6703614483"/>
    <n v="1175"/>
  </r>
  <r>
    <x v="8"/>
    <x v="3"/>
    <x v="11"/>
    <n v="13.168941497802701"/>
    <n v="107.6703614483"/>
    <n v="1175"/>
  </r>
  <r>
    <x v="8"/>
    <x v="1"/>
    <x v="11"/>
    <n v="13.168941497802701"/>
    <n v="107.6703614483"/>
    <n v="1175"/>
  </r>
  <r>
    <x v="8"/>
    <x v="2"/>
    <x v="11"/>
    <n v="13.168941497802701"/>
    <n v="107.6703614483"/>
    <n v="1175"/>
  </r>
  <r>
    <x v="5"/>
    <x v="2"/>
    <x v="7"/>
    <n v="16.045707702636701"/>
    <n v="143.88338968446101"/>
    <n v="1215"/>
  </r>
  <r>
    <x v="5"/>
    <x v="0"/>
    <x v="7"/>
    <n v="16.045707702636701"/>
    <n v="143.88338968446101"/>
    <n v="1215"/>
  </r>
  <r>
    <x v="5"/>
    <x v="1"/>
    <x v="7"/>
    <n v="16.045707702636701"/>
    <n v="143.88338968446101"/>
    <n v="1215"/>
  </r>
  <r>
    <x v="5"/>
    <x v="3"/>
    <x v="7"/>
    <n v="16.045707702636701"/>
    <n v="143.88338968446101"/>
    <n v="1215"/>
  </r>
  <r>
    <x v="5"/>
    <x v="4"/>
    <x v="7"/>
    <n v="16.045707702636701"/>
    <n v="143.88338968446101"/>
    <n v="1215"/>
  </r>
  <r>
    <x v="11"/>
    <x v="4"/>
    <x v="0"/>
    <n v="36.260005950927699"/>
    <n v="255.22311342675999"/>
    <n v="1375.5625"/>
  </r>
  <r>
    <x v="11"/>
    <x v="0"/>
    <x v="0"/>
    <n v="36.260005950927699"/>
    <n v="255.22311342675999"/>
    <n v="1375.5625"/>
  </r>
  <r>
    <x v="11"/>
    <x v="1"/>
    <x v="0"/>
    <n v="36.260005950927699"/>
    <n v="255.22311342675999"/>
    <n v="1375.5625"/>
  </r>
  <r>
    <x v="11"/>
    <x v="2"/>
    <x v="0"/>
    <n v="36.260005950927699"/>
    <n v="255.22311342675999"/>
    <n v="1375.5625"/>
  </r>
  <r>
    <x v="11"/>
    <x v="3"/>
    <x v="0"/>
    <n v="36.260005950927699"/>
    <n v="255.22311342675999"/>
    <n v="1375.5625"/>
  </r>
  <r>
    <x v="14"/>
    <x v="1"/>
    <x v="4"/>
    <n v="25"/>
    <n v="218.13960382753299"/>
    <n v="1820"/>
  </r>
  <r>
    <x v="14"/>
    <x v="4"/>
    <x v="4"/>
    <n v="25"/>
    <n v="218.13960382753299"/>
    <n v="1820"/>
  </r>
  <r>
    <x v="14"/>
    <x v="2"/>
    <x v="4"/>
    <n v="25"/>
    <n v="218.13960382753299"/>
    <n v="1820"/>
  </r>
  <r>
    <x v="14"/>
    <x v="0"/>
    <x v="4"/>
    <n v="25"/>
    <n v="218.13960382753299"/>
    <n v="1820"/>
  </r>
  <r>
    <x v="14"/>
    <x v="3"/>
    <x v="4"/>
    <n v="25"/>
    <n v="218.13960382753299"/>
    <n v="1820"/>
  </r>
  <r>
    <x v="3"/>
    <x v="0"/>
    <x v="6"/>
    <n v="58"/>
    <n v="591.44352256288198"/>
    <n v="2550.5"/>
  </r>
  <r>
    <x v="3"/>
    <x v="2"/>
    <x v="6"/>
    <n v="58"/>
    <n v="591.44352256288198"/>
    <n v="2550.5"/>
  </r>
  <r>
    <x v="3"/>
    <x v="4"/>
    <x v="6"/>
    <n v="58"/>
    <n v="591.44352256288198"/>
    <n v="2550.5"/>
  </r>
  <r>
    <x v="3"/>
    <x v="3"/>
    <x v="6"/>
    <n v="58"/>
    <n v="591.44352256288198"/>
    <n v="2550.5"/>
  </r>
  <r>
    <x v="3"/>
    <x v="1"/>
    <x v="6"/>
    <n v="58"/>
    <n v="591.44352256288198"/>
    <n v="2550.5"/>
  </r>
  <r>
    <x v="1"/>
    <x v="1"/>
    <x v="12"/>
    <n v="41"/>
    <n v="330.00684920484002"/>
    <n v="1403.5"/>
  </r>
  <r>
    <x v="1"/>
    <x v="0"/>
    <x v="12"/>
    <n v="41"/>
    <n v="330.00684920484002"/>
    <n v="1403.5"/>
  </r>
  <r>
    <x v="1"/>
    <x v="2"/>
    <x v="12"/>
    <n v="41"/>
    <n v="330.00684920484002"/>
    <n v="1403.5"/>
  </r>
  <r>
    <x v="1"/>
    <x v="3"/>
    <x v="12"/>
    <n v="41"/>
    <n v="330.00684920484002"/>
    <n v="1403.5"/>
  </r>
  <r>
    <x v="1"/>
    <x v="4"/>
    <x v="12"/>
    <n v="41"/>
    <n v="330.00684920484002"/>
    <n v="1403.5"/>
  </r>
  <r>
    <x v="13"/>
    <x v="1"/>
    <x v="8"/>
    <n v="52"/>
    <n v="420.85933472027801"/>
    <n v="1736.5"/>
  </r>
  <r>
    <x v="13"/>
    <x v="0"/>
    <x v="8"/>
    <n v="52"/>
    <n v="420.85933472027801"/>
    <n v="1736.5"/>
  </r>
  <r>
    <x v="13"/>
    <x v="2"/>
    <x v="8"/>
    <n v="52"/>
    <n v="420.85933472027801"/>
    <n v="1736.5"/>
  </r>
  <r>
    <x v="13"/>
    <x v="4"/>
    <x v="8"/>
    <n v="52"/>
    <n v="420.85933472027801"/>
    <n v="1736.5"/>
  </r>
  <r>
    <x v="13"/>
    <x v="3"/>
    <x v="8"/>
    <n v="52"/>
    <n v="420.85933472027801"/>
    <n v="1736.5"/>
  </r>
  <r>
    <x v="14"/>
    <x v="1"/>
    <x v="5"/>
    <n v="13.5487470626831"/>
    <n v="82.441619359259306"/>
    <n v="1820"/>
  </r>
  <r>
    <x v="14"/>
    <x v="4"/>
    <x v="5"/>
    <n v="13.5487470626831"/>
    <n v="82.441619359259306"/>
    <n v="1820"/>
  </r>
  <r>
    <x v="14"/>
    <x v="2"/>
    <x v="5"/>
    <n v="13.5487470626831"/>
    <n v="82.441619359259306"/>
    <n v="1820"/>
  </r>
  <r>
    <x v="14"/>
    <x v="0"/>
    <x v="5"/>
    <n v="13.5487470626831"/>
    <n v="82.441619359259306"/>
    <n v="1820"/>
  </r>
  <r>
    <x v="14"/>
    <x v="3"/>
    <x v="5"/>
    <n v="13.5487470626831"/>
    <n v="82.441619359259306"/>
    <n v="1820"/>
  </r>
  <r>
    <x v="10"/>
    <x v="2"/>
    <x v="7"/>
    <n v="16.045707702636701"/>
    <n v="156.58611877041599"/>
    <n v="765"/>
  </r>
  <r>
    <x v="10"/>
    <x v="0"/>
    <x v="7"/>
    <n v="16.045707702636701"/>
    <n v="156.58611877041599"/>
    <n v="765"/>
  </r>
  <r>
    <x v="10"/>
    <x v="3"/>
    <x v="7"/>
    <n v="16.045707702636701"/>
    <n v="156.58611877041599"/>
    <n v="765"/>
  </r>
  <r>
    <x v="10"/>
    <x v="4"/>
    <x v="7"/>
    <n v="16.045707702636701"/>
    <n v="156.58611877041599"/>
    <n v="765"/>
  </r>
  <r>
    <x v="10"/>
    <x v="1"/>
    <x v="7"/>
    <n v="16.045707702636701"/>
    <n v="156.58611877041599"/>
    <n v="765"/>
  </r>
  <r>
    <x v="12"/>
    <x v="3"/>
    <x v="11"/>
    <n v="13.168941497802701"/>
    <n v="95.622567687908301"/>
    <n v="1164"/>
  </r>
  <r>
    <x v="12"/>
    <x v="2"/>
    <x v="11"/>
    <n v="13.168941497802701"/>
    <n v="95.622567687908301"/>
    <n v="1164"/>
  </r>
  <r>
    <x v="12"/>
    <x v="0"/>
    <x v="11"/>
    <n v="13.168941497802701"/>
    <n v="95.622567687908301"/>
    <n v="1164"/>
  </r>
  <r>
    <x v="12"/>
    <x v="1"/>
    <x v="11"/>
    <n v="13.168941497802701"/>
    <n v="95.622567687908301"/>
    <n v="1164"/>
  </r>
  <r>
    <x v="12"/>
    <x v="4"/>
    <x v="11"/>
    <n v="13.168941497802701"/>
    <n v="95.622567687908301"/>
    <n v="1164"/>
  </r>
  <r>
    <x v="15"/>
    <x v="3"/>
    <x v="3"/>
    <n v="29"/>
    <n v="219.431937918823"/>
    <n v="1972.16784667968"/>
  </r>
  <r>
    <x v="15"/>
    <x v="1"/>
    <x v="3"/>
    <n v="29"/>
    <n v="219.431937918823"/>
    <n v="1972.16784667968"/>
  </r>
  <r>
    <x v="15"/>
    <x v="4"/>
    <x v="3"/>
    <n v="29"/>
    <n v="219.431937918823"/>
    <n v="1972.16784667968"/>
  </r>
  <r>
    <x v="15"/>
    <x v="0"/>
    <x v="3"/>
    <n v="29"/>
    <n v="219.431937918823"/>
    <n v="1972.16784667968"/>
  </r>
  <r>
    <x v="15"/>
    <x v="2"/>
    <x v="3"/>
    <n v="29"/>
    <n v="219.431937918823"/>
    <n v="1972.16784667968"/>
  </r>
  <r>
    <x v="2"/>
    <x v="3"/>
    <x v="13"/>
    <n v="37"/>
    <n v="277.557165158185"/>
    <n v="2440.46215820312"/>
  </r>
  <r>
    <x v="2"/>
    <x v="0"/>
    <x v="13"/>
    <n v="37"/>
    <n v="277.557165158185"/>
    <n v="2440.46215820312"/>
  </r>
  <r>
    <x v="2"/>
    <x v="2"/>
    <x v="13"/>
    <n v="37"/>
    <n v="277.557165158185"/>
    <n v="2440.46215820312"/>
  </r>
  <r>
    <x v="2"/>
    <x v="1"/>
    <x v="13"/>
    <n v="37"/>
    <n v="277.557165158185"/>
    <n v="2440.46215820312"/>
  </r>
  <r>
    <x v="2"/>
    <x v="4"/>
    <x v="13"/>
    <n v="37"/>
    <n v="277.557165158185"/>
    <n v="2440.46215820312"/>
  </r>
  <r>
    <x v="1"/>
    <x v="1"/>
    <x v="8"/>
    <n v="52"/>
    <n v="469.98980034848603"/>
    <n v="2080"/>
  </r>
  <r>
    <x v="1"/>
    <x v="0"/>
    <x v="8"/>
    <n v="52"/>
    <n v="469.98980034848603"/>
    <n v="2080"/>
  </r>
  <r>
    <x v="1"/>
    <x v="2"/>
    <x v="8"/>
    <n v="52"/>
    <n v="469.98980034848603"/>
    <n v="2080"/>
  </r>
  <r>
    <x v="1"/>
    <x v="3"/>
    <x v="8"/>
    <n v="52"/>
    <n v="469.98980034848603"/>
    <n v="2080"/>
  </r>
  <r>
    <x v="1"/>
    <x v="4"/>
    <x v="8"/>
    <n v="52"/>
    <n v="469.98980034848603"/>
    <n v="2080"/>
  </r>
  <r>
    <x v="6"/>
    <x v="3"/>
    <x v="9"/>
    <n v="4.9567809104919398"/>
    <n v="99.796261462590707"/>
    <n v="3760"/>
  </r>
  <r>
    <x v="6"/>
    <x v="1"/>
    <x v="9"/>
    <n v="4.9567809104919398"/>
    <n v="99.796261462590707"/>
    <n v="3760"/>
  </r>
  <r>
    <x v="6"/>
    <x v="0"/>
    <x v="9"/>
    <n v="4.9567809104919398"/>
    <n v="99.796261462590707"/>
    <n v="3760"/>
  </r>
  <r>
    <x v="6"/>
    <x v="4"/>
    <x v="9"/>
    <n v="4.9567809104919398"/>
    <n v="99.796261462590707"/>
    <n v="3760"/>
  </r>
  <r>
    <x v="6"/>
    <x v="2"/>
    <x v="9"/>
    <n v="4.9567809104919398"/>
    <n v="99.796261462590707"/>
    <n v="3760"/>
  </r>
  <r>
    <x v="6"/>
    <x v="3"/>
    <x v="12"/>
    <n v="41"/>
    <n v="369.53725910721698"/>
    <n v="3760"/>
  </r>
  <r>
    <x v="6"/>
    <x v="1"/>
    <x v="12"/>
    <n v="41"/>
    <n v="369.53725910721698"/>
    <n v="3760"/>
  </r>
  <r>
    <x v="6"/>
    <x v="0"/>
    <x v="12"/>
    <n v="41"/>
    <n v="369.53725910721698"/>
    <n v="3760"/>
  </r>
  <r>
    <x v="6"/>
    <x v="4"/>
    <x v="12"/>
    <n v="41"/>
    <n v="369.53725910721698"/>
    <n v="3760"/>
  </r>
  <r>
    <x v="6"/>
    <x v="2"/>
    <x v="12"/>
    <n v="41"/>
    <n v="369.53725910721698"/>
    <n v="3760"/>
  </r>
  <r>
    <x v="2"/>
    <x v="3"/>
    <x v="3"/>
    <n v="29"/>
    <n v="215.36690876782501"/>
    <n v="1972.16784667968"/>
  </r>
  <r>
    <x v="2"/>
    <x v="0"/>
    <x v="3"/>
    <n v="29"/>
    <n v="215.36690876782501"/>
    <n v="1972.16784667968"/>
  </r>
  <r>
    <x v="2"/>
    <x v="2"/>
    <x v="3"/>
    <n v="29"/>
    <n v="215.36690876782501"/>
    <n v="1972.16784667968"/>
  </r>
  <r>
    <x v="2"/>
    <x v="1"/>
    <x v="3"/>
    <n v="29"/>
    <n v="215.36690876782501"/>
    <n v="1972.16784667968"/>
  </r>
  <r>
    <x v="2"/>
    <x v="4"/>
    <x v="3"/>
    <n v="29"/>
    <n v="215.36690876782501"/>
    <n v="1972.16784667968"/>
  </r>
  <r>
    <x v="14"/>
    <x v="1"/>
    <x v="1"/>
    <n v="62.069156646728501"/>
    <n v="432.41368559216602"/>
    <n v="2626"/>
  </r>
  <r>
    <x v="14"/>
    <x v="4"/>
    <x v="1"/>
    <n v="62.069156646728501"/>
    <n v="432.41368559216602"/>
    <n v="2626"/>
  </r>
  <r>
    <x v="14"/>
    <x v="2"/>
    <x v="1"/>
    <n v="62.069156646728501"/>
    <n v="432.41368559216602"/>
    <n v="2626"/>
  </r>
  <r>
    <x v="14"/>
    <x v="0"/>
    <x v="1"/>
    <n v="62.069156646728501"/>
    <n v="432.41368559216602"/>
    <n v="2626"/>
  </r>
  <r>
    <x v="14"/>
    <x v="3"/>
    <x v="1"/>
    <n v="62.069156646728501"/>
    <n v="432.41368559216602"/>
    <n v="2626"/>
  </r>
  <r>
    <x v="10"/>
    <x v="2"/>
    <x v="4"/>
    <n v="25"/>
    <n v="191.23856853464301"/>
    <n v="887.48645019531205"/>
  </r>
  <r>
    <x v="10"/>
    <x v="0"/>
    <x v="4"/>
    <n v="25"/>
    <n v="191.23856853464301"/>
    <n v="887.48645019531205"/>
  </r>
  <r>
    <x v="10"/>
    <x v="3"/>
    <x v="4"/>
    <n v="25"/>
    <n v="191.23856853464301"/>
    <n v="887.48645019531205"/>
  </r>
  <r>
    <x v="10"/>
    <x v="4"/>
    <x v="4"/>
    <n v="25"/>
    <n v="191.23856853464301"/>
    <n v="887.48645019531205"/>
  </r>
  <r>
    <x v="10"/>
    <x v="1"/>
    <x v="4"/>
    <n v="25"/>
    <n v="191.23856853464301"/>
    <n v="887.48645019531205"/>
  </r>
  <r>
    <x v="12"/>
    <x v="3"/>
    <x v="8"/>
    <n v="52"/>
    <n v="444.51927250867101"/>
    <n v="1954.5"/>
  </r>
  <r>
    <x v="12"/>
    <x v="2"/>
    <x v="8"/>
    <n v="52"/>
    <n v="444.51927250867101"/>
    <n v="1954.5"/>
  </r>
  <r>
    <x v="12"/>
    <x v="0"/>
    <x v="8"/>
    <n v="52"/>
    <n v="444.51927250867101"/>
    <n v="1954.5"/>
  </r>
  <r>
    <x v="12"/>
    <x v="1"/>
    <x v="8"/>
    <n v="52"/>
    <n v="444.51927250867101"/>
    <n v="1954.5"/>
  </r>
  <r>
    <x v="12"/>
    <x v="4"/>
    <x v="8"/>
    <n v="52"/>
    <n v="444.51927250867101"/>
    <n v="1954.5"/>
  </r>
  <r>
    <x v="9"/>
    <x v="1"/>
    <x v="1"/>
    <n v="46"/>
    <n v="405.827649143869"/>
    <n v="1697.5"/>
  </r>
  <r>
    <x v="9"/>
    <x v="4"/>
    <x v="1"/>
    <n v="46"/>
    <n v="405.827649143869"/>
    <n v="1697.5"/>
  </r>
  <r>
    <x v="9"/>
    <x v="0"/>
    <x v="1"/>
    <n v="46"/>
    <n v="405.827649143869"/>
    <n v="1697.5"/>
  </r>
  <r>
    <x v="9"/>
    <x v="3"/>
    <x v="1"/>
    <n v="46"/>
    <n v="405.827649143869"/>
    <n v="1697.5"/>
  </r>
  <r>
    <x v="9"/>
    <x v="2"/>
    <x v="1"/>
    <n v="46"/>
    <n v="405.827649143869"/>
    <n v="1697.5"/>
  </r>
  <r>
    <x v="9"/>
    <x v="1"/>
    <x v="2"/>
    <n v="20.6301956176757"/>
    <n v="196.097834361087"/>
    <n v="1577.64282226562"/>
  </r>
  <r>
    <x v="9"/>
    <x v="4"/>
    <x v="2"/>
    <n v="20.6301956176757"/>
    <n v="196.097834361087"/>
    <n v="1577.64282226562"/>
  </r>
  <r>
    <x v="9"/>
    <x v="0"/>
    <x v="2"/>
    <n v="20.6301956176757"/>
    <n v="196.097834361087"/>
    <n v="1577.64282226562"/>
  </r>
  <r>
    <x v="9"/>
    <x v="3"/>
    <x v="2"/>
    <n v="20.6301956176757"/>
    <n v="196.097834361087"/>
    <n v="1577.64282226562"/>
  </r>
  <r>
    <x v="9"/>
    <x v="2"/>
    <x v="2"/>
    <n v="20.6301956176757"/>
    <n v="196.097834361087"/>
    <n v="1577.64282226562"/>
  </r>
  <r>
    <x v="10"/>
    <x v="2"/>
    <x v="12"/>
    <n v="41"/>
    <n v="327.01211970590401"/>
    <n v="1295.5"/>
  </r>
  <r>
    <x v="10"/>
    <x v="0"/>
    <x v="12"/>
    <n v="41"/>
    <n v="327.01211970590401"/>
    <n v="1295.5"/>
  </r>
  <r>
    <x v="10"/>
    <x v="3"/>
    <x v="12"/>
    <n v="41"/>
    <n v="327.01211970590401"/>
    <n v="1295.5"/>
  </r>
  <r>
    <x v="10"/>
    <x v="4"/>
    <x v="12"/>
    <n v="41"/>
    <n v="327.01211970590401"/>
    <n v="1295.5"/>
  </r>
  <r>
    <x v="10"/>
    <x v="1"/>
    <x v="12"/>
    <n v="41"/>
    <n v="327.01211970590401"/>
    <n v="1295.5"/>
  </r>
  <r>
    <x v="2"/>
    <x v="3"/>
    <x v="6"/>
    <n v="43.654424147172399"/>
    <n v="579.73955840953204"/>
    <n v="2540"/>
  </r>
  <r>
    <x v="2"/>
    <x v="0"/>
    <x v="6"/>
    <n v="43.654424147172399"/>
    <n v="579.73955840953204"/>
    <n v="2540"/>
  </r>
  <r>
    <x v="2"/>
    <x v="2"/>
    <x v="6"/>
    <n v="43.654424147172399"/>
    <n v="579.73955840953204"/>
    <n v="2540"/>
  </r>
  <r>
    <x v="2"/>
    <x v="1"/>
    <x v="6"/>
    <n v="43.654424147172399"/>
    <n v="579.73955840953204"/>
    <n v="2540"/>
  </r>
  <r>
    <x v="2"/>
    <x v="4"/>
    <x v="6"/>
    <n v="43.654424147172399"/>
    <n v="579.73955840953204"/>
    <n v="2540"/>
  </r>
  <r>
    <x v="8"/>
    <x v="4"/>
    <x v="4"/>
    <n v="24.869464397430399"/>
    <n v="189.14462465609199"/>
    <n v="1295"/>
  </r>
  <r>
    <x v="8"/>
    <x v="0"/>
    <x v="4"/>
    <n v="24.869464397430399"/>
    <n v="189.14462465609199"/>
    <n v="1295"/>
  </r>
  <r>
    <x v="8"/>
    <x v="3"/>
    <x v="4"/>
    <n v="24.869464397430399"/>
    <n v="189.14462465609199"/>
    <n v="1295"/>
  </r>
  <r>
    <x v="8"/>
    <x v="1"/>
    <x v="4"/>
    <n v="24.869464397430399"/>
    <n v="189.14462465609199"/>
    <n v="1295"/>
  </r>
  <r>
    <x v="8"/>
    <x v="2"/>
    <x v="4"/>
    <n v="24.869464397430399"/>
    <n v="189.14462465609199"/>
    <n v="1295"/>
  </r>
  <r>
    <x v="1"/>
    <x v="1"/>
    <x v="1"/>
    <n v="46"/>
    <n v="390.89905913348599"/>
    <n v="1697.5"/>
  </r>
  <r>
    <x v="1"/>
    <x v="0"/>
    <x v="1"/>
    <n v="46"/>
    <n v="390.89905913348599"/>
    <n v="1697.5"/>
  </r>
  <r>
    <x v="1"/>
    <x v="2"/>
    <x v="1"/>
    <n v="46"/>
    <n v="390.89905913348599"/>
    <n v="1697.5"/>
  </r>
  <r>
    <x v="1"/>
    <x v="3"/>
    <x v="1"/>
    <n v="46"/>
    <n v="390.89905913348599"/>
    <n v="1697.5"/>
  </r>
  <r>
    <x v="1"/>
    <x v="4"/>
    <x v="1"/>
    <n v="46"/>
    <n v="390.89905913348599"/>
    <n v="1697.5"/>
  </r>
  <r>
    <x v="7"/>
    <x v="1"/>
    <x v="8"/>
    <n v="52"/>
    <n v="488.59369590184798"/>
    <n v="2302.5"/>
  </r>
  <r>
    <x v="7"/>
    <x v="4"/>
    <x v="8"/>
    <n v="52"/>
    <n v="488.59369590184798"/>
    <n v="2302.5"/>
  </r>
  <r>
    <x v="7"/>
    <x v="0"/>
    <x v="8"/>
    <n v="52"/>
    <n v="488.59369590184798"/>
    <n v="2302.5"/>
  </r>
  <r>
    <x v="7"/>
    <x v="3"/>
    <x v="8"/>
    <n v="52"/>
    <n v="488.59369590184798"/>
    <n v="2302.5"/>
  </r>
  <r>
    <x v="7"/>
    <x v="2"/>
    <x v="8"/>
    <n v="52"/>
    <n v="488.59369590184798"/>
    <n v="2302.5"/>
  </r>
  <r>
    <x v="10"/>
    <x v="2"/>
    <x v="1"/>
    <n v="46"/>
    <n v="387.611845909659"/>
    <n v="1521"/>
  </r>
  <r>
    <x v="10"/>
    <x v="0"/>
    <x v="1"/>
    <n v="46"/>
    <n v="387.611845909659"/>
    <n v="1521"/>
  </r>
  <r>
    <x v="10"/>
    <x v="3"/>
    <x v="1"/>
    <n v="46"/>
    <n v="387.611845909659"/>
    <n v="1521"/>
  </r>
  <r>
    <x v="10"/>
    <x v="4"/>
    <x v="1"/>
    <n v="46"/>
    <n v="387.611845909659"/>
    <n v="1521"/>
  </r>
  <r>
    <x v="10"/>
    <x v="1"/>
    <x v="1"/>
    <n v="46"/>
    <n v="387.611845909659"/>
    <n v="1521"/>
  </r>
  <r>
    <x v="6"/>
    <x v="3"/>
    <x v="7"/>
    <n v="16.886674880981399"/>
    <n v="183.64712885544901"/>
    <n v="3760"/>
  </r>
  <r>
    <x v="6"/>
    <x v="1"/>
    <x v="7"/>
    <n v="16.886674880981399"/>
    <n v="183.64712885544901"/>
    <n v="3760"/>
  </r>
  <r>
    <x v="6"/>
    <x v="0"/>
    <x v="7"/>
    <n v="16.886674880981399"/>
    <n v="183.64712885544901"/>
    <n v="3760"/>
  </r>
  <r>
    <x v="6"/>
    <x v="4"/>
    <x v="7"/>
    <n v="16.886674880981399"/>
    <n v="183.64712885544901"/>
    <n v="3760"/>
  </r>
  <r>
    <x v="6"/>
    <x v="2"/>
    <x v="7"/>
    <n v="16.886674880981399"/>
    <n v="183.64712885544901"/>
    <n v="3760"/>
  </r>
  <r>
    <x v="8"/>
    <x v="4"/>
    <x v="0"/>
    <n v="36.260005950927699"/>
    <n v="236.11987090641"/>
    <n v="1375"/>
  </r>
  <r>
    <x v="8"/>
    <x v="0"/>
    <x v="0"/>
    <n v="36.260005950927699"/>
    <n v="236.11987090641"/>
    <n v="1375"/>
  </r>
  <r>
    <x v="8"/>
    <x v="3"/>
    <x v="0"/>
    <n v="36.260005950927699"/>
    <n v="236.11987090641"/>
    <n v="1375"/>
  </r>
  <r>
    <x v="8"/>
    <x v="1"/>
    <x v="0"/>
    <n v="36.260005950927699"/>
    <n v="236.11987090641"/>
    <n v="1375"/>
  </r>
  <r>
    <x v="8"/>
    <x v="2"/>
    <x v="0"/>
    <n v="36.260005950927699"/>
    <n v="236.11987090641"/>
    <n v="1375"/>
  </r>
  <r>
    <x v="13"/>
    <x v="1"/>
    <x v="12"/>
    <n v="41"/>
    <n v="294.610507146028"/>
    <n v="1604"/>
  </r>
  <r>
    <x v="13"/>
    <x v="0"/>
    <x v="12"/>
    <n v="41"/>
    <n v="294.610507146028"/>
    <n v="1604"/>
  </r>
  <r>
    <x v="13"/>
    <x v="2"/>
    <x v="12"/>
    <n v="41"/>
    <n v="294.610507146028"/>
    <n v="1604"/>
  </r>
  <r>
    <x v="13"/>
    <x v="4"/>
    <x v="12"/>
    <n v="41"/>
    <n v="294.610507146028"/>
    <n v="1604"/>
  </r>
  <r>
    <x v="13"/>
    <x v="3"/>
    <x v="12"/>
    <n v="41"/>
    <n v="294.610507146028"/>
    <n v="1604"/>
  </r>
  <r>
    <x v="14"/>
    <x v="1"/>
    <x v="11"/>
    <n v="15.3979845046997"/>
    <n v="114.481683331882"/>
    <n v="1820"/>
  </r>
  <r>
    <x v="14"/>
    <x v="4"/>
    <x v="11"/>
    <n v="15.3979845046997"/>
    <n v="114.481683331882"/>
    <n v="1820"/>
  </r>
  <r>
    <x v="14"/>
    <x v="2"/>
    <x v="11"/>
    <n v="15.3979845046997"/>
    <n v="114.481683331882"/>
    <n v="1820"/>
  </r>
  <r>
    <x v="14"/>
    <x v="0"/>
    <x v="11"/>
    <n v="15.3979845046997"/>
    <n v="114.481683331882"/>
    <n v="1820"/>
  </r>
  <r>
    <x v="14"/>
    <x v="3"/>
    <x v="11"/>
    <n v="15.3979845046997"/>
    <n v="114.481683331882"/>
    <n v="1820"/>
  </r>
  <r>
    <x v="15"/>
    <x v="3"/>
    <x v="5"/>
    <n v="6"/>
    <n v="72.104488620378405"/>
    <n v="925"/>
  </r>
  <r>
    <x v="15"/>
    <x v="1"/>
    <x v="5"/>
    <n v="6"/>
    <n v="72.104488620378405"/>
    <n v="925"/>
  </r>
  <r>
    <x v="15"/>
    <x v="4"/>
    <x v="5"/>
    <n v="6"/>
    <n v="72.104488620378405"/>
    <n v="925"/>
  </r>
  <r>
    <x v="15"/>
    <x v="0"/>
    <x v="5"/>
    <n v="6"/>
    <n v="72.104488620378405"/>
    <n v="925"/>
  </r>
  <r>
    <x v="15"/>
    <x v="2"/>
    <x v="5"/>
    <n v="6"/>
    <n v="72.104488620378405"/>
    <n v="925"/>
  </r>
  <r>
    <x v="1"/>
    <x v="1"/>
    <x v="0"/>
    <n v="33"/>
    <n v="246.663170791287"/>
    <n v="1056.26062011718"/>
  </r>
  <r>
    <x v="1"/>
    <x v="0"/>
    <x v="0"/>
    <n v="33"/>
    <n v="246.663170791287"/>
    <n v="1056.26062011718"/>
  </r>
  <r>
    <x v="1"/>
    <x v="2"/>
    <x v="0"/>
    <n v="33"/>
    <n v="246.663170791287"/>
    <n v="1056.26062011718"/>
  </r>
  <r>
    <x v="1"/>
    <x v="3"/>
    <x v="0"/>
    <n v="33"/>
    <n v="246.663170791287"/>
    <n v="1056.26062011718"/>
  </r>
  <r>
    <x v="1"/>
    <x v="4"/>
    <x v="0"/>
    <n v="33"/>
    <n v="246.663170791287"/>
    <n v="1056.26062011718"/>
  </r>
  <r>
    <x v="3"/>
    <x v="0"/>
    <x v="3"/>
    <n v="29"/>
    <n v="217.05306705400099"/>
    <n v="1972.16784667968"/>
  </r>
  <r>
    <x v="3"/>
    <x v="2"/>
    <x v="3"/>
    <n v="29"/>
    <n v="217.05306705400099"/>
    <n v="1972.16784667968"/>
  </r>
  <r>
    <x v="3"/>
    <x v="4"/>
    <x v="3"/>
    <n v="29"/>
    <n v="217.05306705400099"/>
    <n v="1972.16784667968"/>
  </r>
  <r>
    <x v="3"/>
    <x v="3"/>
    <x v="3"/>
    <n v="29"/>
    <n v="217.05306705400099"/>
    <n v="1972.16784667968"/>
  </r>
  <r>
    <x v="3"/>
    <x v="1"/>
    <x v="3"/>
    <n v="29"/>
    <n v="217.05306705400099"/>
    <n v="1972.16784667968"/>
  </r>
  <r>
    <x v="1"/>
    <x v="1"/>
    <x v="2"/>
    <n v="20.6301956176757"/>
    <n v="175.148190329805"/>
    <n v="799.87561035156205"/>
  </r>
  <r>
    <x v="1"/>
    <x v="0"/>
    <x v="2"/>
    <n v="20.6301956176757"/>
    <n v="175.148190329805"/>
    <n v="799.87561035156205"/>
  </r>
  <r>
    <x v="1"/>
    <x v="2"/>
    <x v="2"/>
    <n v="20.6301956176757"/>
    <n v="175.148190329805"/>
    <n v="799.87561035156205"/>
  </r>
  <r>
    <x v="1"/>
    <x v="3"/>
    <x v="2"/>
    <n v="20.6301956176757"/>
    <n v="175.148190329805"/>
    <n v="799.87561035156205"/>
  </r>
  <r>
    <x v="1"/>
    <x v="4"/>
    <x v="2"/>
    <n v="20.6301956176757"/>
    <n v="175.148190329805"/>
    <n v="799.87561035156205"/>
  </r>
  <r>
    <x v="5"/>
    <x v="2"/>
    <x v="1"/>
    <n v="46"/>
    <n v="360.45678907277102"/>
    <n v="2927.54931640625"/>
  </r>
  <r>
    <x v="5"/>
    <x v="0"/>
    <x v="1"/>
    <n v="46"/>
    <n v="360.45678907277102"/>
    <n v="2927.54931640625"/>
  </r>
  <r>
    <x v="5"/>
    <x v="1"/>
    <x v="1"/>
    <n v="46"/>
    <n v="360.45678907277102"/>
    <n v="2927.54931640625"/>
  </r>
  <r>
    <x v="5"/>
    <x v="3"/>
    <x v="1"/>
    <n v="46"/>
    <n v="360.45678907277102"/>
    <n v="2927.54931640625"/>
  </r>
  <r>
    <x v="5"/>
    <x v="4"/>
    <x v="1"/>
    <n v="46"/>
    <n v="360.45678907277102"/>
    <n v="2927.54931640625"/>
  </r>
  <r>
    <x v="4"/>
    <x v="2"/>
    <x v="11"/>
    <n v="8"/>
    <n v="117.55215446944599"/>
    <n v="1020.5640258789"/>
  </r>
  <r>
    <x v="4"/>
    <x v="4"/>
    <x v="11"/>
    <n v="8"/>
    <n v="117.55215446944599"/>
    <n v="1020.5640258789"/>
  </r>
  <r>
    <x v="4"/>
    <x v="0"/>
    <x v="11"/>
    <n v="8"/>
    <n v="117.55215446944599"/>
    <n v="1020.5640258789"/>
  </r>
  <r>
    <x v="4"/>
    <x v="3"/>
    <x v="11"/>
    <n v="8"/>
    <n v="117.55215446944599"/>
    <n v="1020.5640258789"/>
  </r>
  <r>
    <x v="4"/>
    <x v="1"/>
    <x v="11"/>
    <n v="8"/>
    <n v="117.55215446944599"/>
    <n v="1020.5640258789"/>
  </r>
  <r>
    <x v="14"/>
    <x v="1"/>
    <x v="2"/>
    <n v="23.533229827880799"/>
    <n v="197.900212835508"/>
    <n v="1820"/>
  </r>
  <r>
    <x v="14"/>
    <x v="4"/>
    <x v="2"/>
    <n v="23.533229827880799"/>
    <n v="197.900212835508"/>
    <n v="1820"/>
  </r>
  <r>
    <x v="14"/>
    <x v="2"/>
    <x v="2"/>
    <n v="23.533229827880799"/>
    <n v="197.900212835508"/>
    <n v="1820"/>
  </r>
  <r>
    <x v="14"/>
    <x v="0"/>
    <x v="2"/>
    <n v="23.533229827880799"/>
    <n v="197.900212835508"/>
    <n v="1820"/>
  </r>
  <r>
    <x v="14"/>
    <x v="3"/>
    <x v="2"/>
    <n v="23.533229827880799"/>
    <n v="197.900212835508"/>
    <n v="1820"/>
  </r>
  <r>
    <x v="14"/>
    <x v="1"/>
    <x v="10"/>
    <n v="75.711982727050696"/>
    <n v="833.76816607819899"/>
    <n v="4568"/>
  </r>
  <r>
    <x v="14"/>
    <x v="4"/>
    <x v="10"/>
    <n v="75.711982727050696"/>
    <n v="833.76816607819899"/>
    <n v="4568"/>
  </r>
  <r>
    <x v="14"/>
    <x v="2"/>
    <x v="10"/>
    <n v="75.711982727050696"/>
    <n v="833.76816607819899"/>
    <n v="4568"/>
  </r>
  <r>
    <x v="14"/>
    <x v="0"/>
    <x v="10"/>
    <n v="75.711982727050696"/>
    <n v="833.76816607819899"/>
    <n v="4568"/>
  </r>
  <r>
    <x v="14"/>
    <x v="3"/>
    <x v="10"/>
    <n v="75.711982727050696"/>
    <n v="833.76816607819899"/>
    <n v="4568"/>
  </r>
  <r>
    <x v="7"/>
    <x v="1"/>
    <x v="7"/>
    <n v="16.435888290405199"/>
    <n v="171.413219024695"/>
    <n v="2039.04309082031"/>
  </r>
  <r>
    <x v="7"/>
    <x v="4"/>
    <x v="7"/>
    <n v="16.435888290405199"/>
    <n v="171.413219024695"/>
    <n v="2039.04309082031"/>
  </r>
  <r>
    <x v="7"/>
    <x v="0"/>
    <x v="7"/>
    <n v="16.435888290405199"/>
    <n v="171.413219024695"/>
    <n v="2039.04309082031"/>
  </r>
  <r>
    <x v="7"/>
    <x v="3"/>
    <x v="7"/>
    <n v="16.435888290405199"/>
    <n v="171.413219024695"/>
    <n v="2039.04309082031"/>
  </r>
  <r>
    <x v="7"/>
    <x v="2"/>
    <x v="7"/>
    <n v="16.435888290405199"/>
    <n v="171.413219024695"/>
    <n v="2039.04309082031"/>
  </r>
  <r>
    <x v="7"/>
    <x v="1"/>
    <x v="4"/>
    <n v="25"/>
    <n v="206.11037495672301"/>
    <n v="2039.04309082031"/>
  </r>
  <r>
    <x v="7"/>
    <x v="4"/>
    <x v="4"/>
    <n v="25"/>
    <n v="206.11037495672301"/>
    <n v="2039.04309082031"/>
  </r>
  <r>
    <x v="7"/>
    <x v="0"/>
    <x v="4"/>
    <n v="25"/>
    <n v="206.11037495672301"/>
    <n v="2039.04309082031"/>
  </r>
  <r>
    <x v="7"/>
    <x v="3"/>
    <x v="4"/>
    <n v="25"/>
    <n v="206.11037495672301"/>
    <n v="2039.04309082031"/>
  </r>
  <r>
    <x v="7"/>
    <x v="2"/>
    <x v="4"/>
    <n v="25"/>
    <n v="206.11037495672301"/>
    <n v="2039.04309082031"/>
  </r>
  <r>
    <x v="7"/>
    <x v="1"/>
    <x v="0"/>
    <n v="33"/>
    <n v="260.97519017019999"/>
    <n v="2039.04309082031"/>
  </r>
  <r>
    <x v="7"/>
    <x v="4"/>
    <x v="0"/>
    <n v="33"/>
    <n v="260.97519017019999"/>
    <n v="2039.04309082031"/>
  </r>
  <r>
    <x v="7"/>
    <x v="0"/>
    <x v="0"/>
    <n v="33"/>
    <n v="260.97519017019999"/>
    <n v="2039.04309082031"/>
  </r>
  <r>
    <x v="7"/>
    <x v="3"/>
    <x v="0"/>
    <n v="33"/>
    <n v="260.97519017019999"/>
    <n v="2039.04309082031"/>
  </r>
  <r>
    <x v="7"/>
    <x v="2"/>
    <x v="0"/>
    <n v="33"/>
    <n v="260.97519017019999"/>
    <n v="2039.04309082031"/>
  </r>
  <r>
    <x v="14"/>
    <x v="1"/>
    <x v="7"/>
    <n v="18.578865051269499"/>
    <n v="180.40723950854701"/>
    <n v="1820"/>
  </r>
  <r>
    <x v="14"/>
    <x v="4"/>
    <x v="7"/>
    <n v="18.578865051269499"/>
    <n v="180.40723950854701"/>
    <n v="1820"/>
  </r>
  <r>
    <x v="14"/>
    <x v="2"/>
    <x v="7"/>
    <n v="18.578865051269499"/>
    <n v="180.40723950854701"/>
    <n v="1820"/>
  </r>
  <r>
    <x v="14"/>
    <x v="0"/>
    <x v="7"/>
    <n v="18.578865051269499"/>
    <n v="180.40723950854701"/>
    <n v="1820"/>
  </r>
  <r>
    <x v="14"/>
    <x v="3"/>
    <x v="7"/>
    <n v="18.578865051269499"/>
    <n v="180.40723950854701"/>
    <n v="1820"/>
  </r>
  <r>
    <x v="0"/>
    <x v="0"/>
    <x v="11"/>
    <n v="93.196271896362305"/>
    <n v="344.68717840331999"/>
    <n v="639.11721801757801"/>
  </r>
  <r>
    <x v="10"/>
    <x v="2"/>
    <x v="2"/>
    <n v="20.6301956176757"/>
    <n v="172.36877358276999"/>
    <n v="799.87561035156205"/>
  </r>
  <r>
    <x v="10"/>
    <x v="0"/>
    <x v="2"/>
    <n v="20.6301956176757"/>
    <n v="172.36877358276999"/>
    <n v="799.87561035156205"/>
  </r>
  <r>
    <x v="10"/>
    <x v="3"/>
    <x v="2"/>
    <n v="20.6301956176757"/>
    <n v="172.36877358276999"/>
    <n v="799.87561035156205"/>
  </r>
  <r>
    <x v="10"/>
    <x v="4"/>
    <x v="2"/>
    <n v="20.6301956176757"/>
    <n v="172.36877358276999"/>
    <n v="799.87561035156205"/>
  </r>
  <r>
    <x v="10"/>
    <x v="1"/>
    <x v="2"/>
    <n v="20.6301956176757"/>
    <n v="172.36877358276999"/>
    <n v="799.87561035156205"/>
  </r>
  <r>
    <x v="3"/>
    <x v="0"/>
    <x v="12"/>
    <n v="41"/>
    <n v="327.66284999558599"/>
    <n v="1488.5"/>
  </r>
  <r>
    <x v="3"/>
    <x v="2"/>
    <x v="12"/>
    <n v="41"/>
    <n v="327.66284999558599"/>
    <n v="1488.5"/>
  </r>
  <r>
    <x v="3"/>
    <x v="4"/>
    <x v="12"/>
    <n v="41"/>
    <n v="327.66284999558599"/>
    <n v="1488.5"/>
  </r>
  <r>
    <x v="3"/>
    <x v="3"/>
    <x v="12"/>
    <n v="41"/>
    <n v="327.66284999558599"/>
    <n v="1488.5"/>
  </r>
  <r>
    <x v="3"/>
    <x v="1"/>
    <x v="12"/>
    <n v="41"/>
    <n v="327.66284999558599"/>
    <n v="1488.5"/>
  </r>
  <r>
    <x v="8"/>
    <x v="4"/>
    <x v="10"/>
    <n v="71.048103332519503"/>
    <n v="698.83867205545505"/>
    <n v="3112.5"/>
  </r>
  <r>
    <x v="8"/>
    <x v="0"/>
    <x v="10"/>
    <n v="71.048103332519503"/>
    <n v="698.83867205545505"/>
    <n v="3112.5"/>
  </r>
  <r>
    <x v="8"/>
    <x v="3"/>
    <x v="10"/>
    <n v="71.048103332519503"/>
    <n v="698.83867205545505"/>
    <n v="3112.5"/>
  </r>
  <r>
    <x v="8"/>
    <x v="1"/>
    <x v="10"/>
    <n v="71.048103332519503"/>
    <n v="698.83867205545505"/>
    <n v="3112.5"/>
  </r>
  <r>
    <x v="8"/>
    <x v="2"/>
    <x v="10"/>
    <n v="71.048103332519503"/>
    <n v="698.83867205545505"/>
    <n v="3112.5"/>
  </r>
  <r>
    <x v="6"/>
    <x v="3"/>
    <x v="0"/>
    <n v="33"/>
    <n v="278.23531186371599"/>
    <n v="3760"/>
  </r>
  <r>
    <x v="6"/>
    <x v="1"/>
    <x v="0"/>
    <n v="33"/>
    <n v="278.23531186371599"/>
    <n v="3760"/>
  </r>
  <r>
    <x v="6"/>
    <x v="0"/>
    <x v="0"/>
    <n v="33"/>
    <n v="278.23531186371599"/>
    <n v="3760"/>
  </r>
  <r>
    <x v="6"/>
    <x v="4"/>
    <x v="0"/>
    <n v="33"/>
    <n v="278.23531186371599"/>
    <n v="3760"/>
  </r>
  <r>
    <x v="6"/>
    <x v="2"/>
    <x v="0"/>
    <n v="33"/>
    <n v="278.23531186371599"/>
    <n v="3760"/>
  </r>
  <r>
    <x v="2"/>
    <x v="3"/>
    <x v="8"/>
    <n v="43.635046872225601"/>
    <n v="458.00773657230002"/>
    <n v="3147.90869140625"/>
  </r>
  <r>
    <x v="2"/>
    <x v="0"/>
    <x v="8"/>
    <n v="43.635046872225601"/>
    <n v="458.00773657230002"/>
    <n v="3147.90869140625"/>
  </r>
  <r>
    <x v="2"/>
    <x v="2"/>
    <x v="8"/>
    <n v="43.635046872225601"/>
    <n v="458.00773657230002"/>
    <n v="3147.90869140625"/>
  </r>
  <r>
    <x v="2"/>
    <x v="1"/>
    <x v="8"/>
    <n v="43.635046872225601"/>
    <n v="458.00773657230002"/>
    <n v="3147.90869140625"/>
  </r>
  <r>
    <x v="2"/>
    <x v="4"/>
    <x v="8"/>
    <n v="43.635046872225601"/>
    <n v="458.00773657230002"/>
    <n v="3147.90869140625"/>
  </r>
  <r>
    <x v="7"/>
    <x v="1"/>
    <x v="12"/>
    <n v="41"/>
    <n v="347.564984658448"/>
    <n v="2039.04309082031"/>
  </r>
  <r>
    <x v="7"/>
    <x v="4"/>
    <x v="12"/>
    <n v="41"/>
    <n v="347.564984658448"/>
    <n v="2039.04309082031"/>
  </r>
  <r>
    <x v="7"/>
    <x v="0"/>
    <x v="12"/>
    <n v="41"/>
    <n v="347.564984658448"/>
    <n v="2039.04309082031"/>
  </r>
  <r>
    <x v="7"/>
    <x v="3"/>
    <x v="12"/>
    <n v="41"/>
    <n v="347.564984658448"/>
    <n v="2039.04309082031"/>
  </r>
  <r>
    <x v="7"/>
    <x v="2"/>
    <x v="12"/>
    <n v="41"/>
    <n v="347.564984658448"/>
    <n v="2039.04309082031"/>
  </r>
  <r>
    <x v="7"/>
    <x v="1"/>
    <x v="2"/>
    <n v="21.131856918334901"/>
    <n v="187.46318050491101"/>
    <n v="2039.04309082031"/>
  </r>
  <r>
    <x v="7"/>
    <x v="4"/>
    <x v="2"/>
    <n v="21.131856918334901"/>
    <n v="187.46318050491101"/>
    <n v="2039.04309082031"/>
  </r>
  <r>
    <x v="7"/>
    <x v="0"/>
    <x v="2"/>
    <n v="21.131856918334901"/>
    <n v="187.46318050491101"/>
    <n v="2039.04309082031"/>
  </r>
  <r>
    <x v="7"/>
    <x v="3"/>
    <x v="2"/>
    <n v="21.131856918334901"/>
    <n v="187.46318050491101"/>
    <n v="2039.04309082031"/>
  </r>
  <r>
    <x v="7"/>
    <x v="2"/>
    <x v="2"/>
    <n v="21.131856918334901"/>
    <n v="187.46318050491101"/>
    <n v="2039.04309082031"/>
  </r>
  <r>
    <x v="8"/>
    <x v="4"/>
    <x v="8"/>
    <n v="66.922064208984295"/>
    <n v="422.10263430159102"/>
    <n v="1879.5"/>
  </r>
  <r>
    <x v="8"/>
    <x v="0"/>
    <x v="8"/>
    <n v="66.922064208984295"/>
    <n v="422.10263430159102"/>
    <n v="1879.5"/>
  </r>
  <r>
    <x v="8"/>
    <x v="3"/>
    <x v="8"/>
    <n v="66.922064208984295"/>
    <n v="422.10263430159102"/>
    <n v="1879.5"/>
  </r>
  <r>
    <x v="8"/>
    <x v="1"/>
    <x v="8"/>
    <n v="66.922064208984295"/>
    <n v="422.10263430159102"/>
    <n v="1879.5"/>
  </r>
  <r>
    <x v="8"/>
    <x v="2"/>
    <x v="8"/>
    <n v="66.922064208984295"/>
    <n v="422.10263430159102"/>
    <n v="1879.5"/>
  </r>
  <r>
    <x v="10"/>
    <x v="2"/>
    <x v="11"/>
    <n v="8"/>
    <n v="107.678133871488"/>
    <n v="838.5"/>
  </r>
  <r>
    <x v="10"/>
    <x v="0"/>
    <x v="11"/>
    <n v="8"/>
    <n v="107.678133871488"/>
    <n v="838.5"/>
  </r>
  <r>
    <x v="10"/>
    <x v="3"/>
    <x v="11"/>
    <n v="8"/>
    <n v="107.678133871488"/>
    <n v="838.5"/>
  </r>
  <r>
    <x v="10"/>
    <x v="4"/>
    <x v="11"/>
    <n v="8"/>
    <n v="107.678133871488"/>
    <n v="838.5"/>
  </r>
  <r>
    <x v="10"/>
    <x v="1"/>
    <x v="11"/>
    <n v="8"/>
    <n v="107.678133871488"/>
    <n v="838.5"/>
  </r>
  <r>
    <x v="13"/>
    <x v="1"/>
    <x v="11"/>
    <n v="13.168941497802701"/>
    <n v="103.436478069293"/>
    <n v="1604"/>
  </r>
  <r>
    <x v="13"/>
    <x v="0"/>
    <x v="11"/>
    <n v="13.168941497802701"/>
    <n v="103.436478069293"/>
    <n v="1604"/>
  </r>
  <r>
    <x v="13"/>
    <x v="2"/>
    <x v="11"/>
    <n v="13.168941497802701"/>
    <n v="103.436478069293"/>
    <n v="1604"/>
  </r>
  <r>
    <x v="13"/>
    <x v="4"/>
    <x v="11"/>
    <n v="13.168941497802701"/>
    <n v="103.436478069293"/>
    <n v="1604"/>
  </r>
  <r>
    <x v="13"/>
    <x v="3"/>
    <x v="11"/>
    <n v="13.168941497802701"/>
    <n v="103.436478069293"/>
    <n v="1604"/>
  </r>
  <r>
    <x v="14"/>
    <x v="1"/>
    <x v="9"/>
    <n v="6.7743735313415501"/>
    <n v="131.22857443211601"/>
    <n v="1820"/>
  </r>
  <r>
    <x v="14"/>
    <x v="4"/>
    <x v="9"/>
    <n v="6.7743735313415501"/>
    <n v="131.22857443211601"/>
    <n v="1820"/>
  </r>
  <r>
    <x v="14"/>
    <x v="2"/>
    <x v="9"/>
    <n v="6.7743735313415501"/>
    <n v="131.22857443211601"/>
    <n v="1820"/>
  </r>
  <r>
    <x v="14"/>
    <x v="0"/>
    <x v="9"/>
    <n v="6.7743735313415501"/>
    <n v="131.22857443211601"/>
    <n v="1820"/>
  </r>
  <r>
    <x v="14"/>
    <x v="3"/>
    <x v="9"/>
    <n v="6.7743735313415501"/>
    <n v="131.22857443211601"/>
    <n v="1820"/>
  </r>
  <r>
    <x v="3"/>
    <x v="0"/>
    <x v="13"/>
    <n v="37"/>
    <n v="281.690124021381"/>
    <n v="1352.5"/>
  </r>
  <r>
    <x v="3"/>
    <x v="2"/>
    <x v="13"/>
    <n v="37"/>
    <n v="281.690124021381"/>
    <n v="1352.5"/>
  </r>
  <r>
    <x v="3"/>
    <x v="4"/>
    <x v="13"/>
    <n v="37"/>
    <n v="281.690124021381"/>
    <n v="1352.5"/>
  </r>
  <r>
    <x v="3"/>
    <x v="3"/>
    <x v="13"/>
    <n v="37"/>
    <n v="281.690124021381"/>
    <n v="1352.5"/>
  </r>
  <r>
    <x v="3"/>
    <x v="1"/>
    <x v="13"/>
    <n v="37"/>
    <n v="281.690124021381"/>
    <n v="1352.5"/>
  </r>
  <r>
    <x v="1"/>
    <x v="1"/>
    <x v="9"/>
    <n v="4"/>
    <n v="93.268768655354293"/>
    <n v="895"/>
  </r>
  <r>
    <x v="1"/>
    <x v="0"/>
    <x v="9"/>
    <n v="4"/>
    <n v="93.268768655354293"/>
    <n v="895"/>
  </r>
  <r>
    <x v="1"/>
    <x v="2"/>
    <x v="9"/>
    <n v="4"/>
    <n v="93.268768655354293"/>
    <n v="895"/>
  </r>
  <r>
    <x v="1"/>
    <x v="3"/>
    <x v="9"/>
    <n v="4"/>
    <n v="93.268768655354293"/>
    <n v="895"/>
  </r>
  <r>
    <x v="1"/>
    <x v="4"/>
    <x v="9"/>
    <n v="4"/>
    <n v="93.268768655354293"/>
    <n v="895"/>
  </r>
  <r>
    <x v="4"/>
    <x v="2"/>
    <x v="3"/>
    <n v="29"/>
    <n v="214.05714025198"/>
    <n v="1972.16784667968"/>
  </r>
  <r>
    <x v="4"/>
    <x v="4"/>
    <x v="3"/>
    <n v="29"/>
    <n v="214.05714025198"/>
    <n v="1972.16784667968"/>
  </r>
  <r>
    <x v="4"/>
    <x v="0"/>
    <x v="3"/>
    <n v="29"/>
    <n v="214.05714025198"/>
    <n v="1972.16784667968"/>
  </r>
  <r>
    <x v="4"/>
    <x v="3"/>
    <x v="3"/>
    <n v="29"/>
    <n v="214.05714025198"/>
    <n v="1972.16784667968"/>
  </r>
  <r>
    <x v="4"/>
    <x v="1"/>
    <x v="3"/>
    <n v="29"/>
    <n v="214.05714025198"/>
    <n v="1972.16784667968"/>
  </r>
  <r>
    <x v="14"/>
    <x v="1"/>
    <x v="12"/>
    <n v="53.047428131103501"/>
    <n v="368.491174756536"/>
    <n v="1982.21118164062"/>
  </r>
  <r>
    <x v="14"/>
    <x v="4"/>
    <x v="12"/>
    <n v="53.047428131103501"/>
    <n v="368.491174756536"/>
    <n v="1982.21118164062"/>
  </r>
  <r>
    <x v="14"/>
    <x v="2"/>
    <x v="12"/>
    <n v="53.047428131103501"/>
    <n v="368.491174756536"/>
    <n v="1982.21118164062"/>
  </r>
  <r>
    <x v="14"/>
    <x v="0"/>
    <x v="12"/>
    <n v="53.047428131103501"/>
    <n v="368.491174756536"/>
    <n v="1982.21118164062"/>
  </r>
  <r>
    <x v="14"/>
    <x v="3"/>
    <x v="12"/>
    <n v="53.047428131103501"/>
    <n v="368.491174756536"/>
    <n v="1982.21118164062"/>
  </r>
  <r>
    <x v="10"/>
    <x v="2"/>
    <x v="10"/>
    <n v="59.5"/>
    <n v="770.91225334540604"/>
    <n v="4503"/>
  </r>
  <r>
    <x v="10"/>
    <x v="0"/>
    <x v="10"/>
    <n v="59.5"/>
    <n v="770.91225334540604"/>
    <n v="4503"/>
  </r>
  <r>
    <x v="10"/>
    <x v="3"/>
    <x v="10"/>
    <n v="59.5"/>
    <n v="770.91225334540604"/>
    <n v="4503"/>
  </r>
  <r>
    <x v="10"/>
    <x v="4"/>
    <x v="10"/>
    <n v="59.5"/>
    <n v="770.91225334540604"/>
    <n v="4503"/>
  </r>
  <r>
    <x v="10"/>
    <x v="1"/>
    <x v="10"/>
    <n v="59.5"/>
    <n v="770.91225334540604"/>
    <n v="4503"/>
  </r>
  <r>
    <x v="11"/>
    <x v="4"/>
    <x v="13"/>
    <n v="45"/>
    <n v="272.25635728157999"/>
    <n v="1393.375"/>
  </r>
  <r>
    <x v="11"/>
    <x v="0"/>
    <x v="13"/>
    <n v="45"/>
    <n v="272.25635728157999"/>
    <n v="1393.375"/>
  </r>
  <r>
    <x v="11"/>
    <x v="1"/>
    <x v="13"/>
    <n v="45"/>
    <n v="272.25635728157999"/>
    <n v="1393.375"/>
  </r>
  <r>
    <x v="11"/>
    <x v="2"/>
    <x v="13"/>
    <n v="45"/>
    <n v="272.25635728157999"/>
    <n v="1393.375"/>
  </r>
  <r>
    <x v="11"/>
    <x v="3"/>
    <x v="13"/>
    <n v="45"/>
    <n v="272.25635728157999"/>
    <n v="1393.375"/>
  </r>
  <r>
    <x v="2"/>
    <x v="3"/>
    <x v="4"/>
    <n v="25"/>
    <n v="193.557483343294"/>
    <n v="1756.73498535156"/>
  </r>
  <r>
    <x v="2"/>
    <x v="0"/>
    <x v="4"/>
    <n v="25"/>
    <n v="193.557483343294"/>
    <n v="1756.73498535156"/>
  </r>
  <r>
    <x v="2"/>
    <x v="2"/>
    <x v="4"/>
    <n v="25"/>
    <n v="193.557483343294"/>
    <n v="1756.73498535156"/>
  </r>
  <r>
    <x v="2"/>
    <x v="1"/>
    <x v="4"/>
    <n v="25"/>
    <n v="193.557483343294"/>
    <n v="1756.73498535156"/>
  </r>
  <r>
    <x v="2"/>
    <x v="4"/>
    <x v="4"/>
    <n v="25"/>
    <n v="193.557483343294"/>
    <n v="1756.73498535156"/>
  </r>
  <r>
    <x v="7"/>
    <x v="1"/>
    <x v="3"/>
    <n v="29"/>
    <n v="230.291718822299"/>
    <n v="2039.04309082031"/>
  </r>
  <r>
    <x v="7"/>
    <x v="4"/>
    <x v="3"/>
    <n v="29"/>
    <n v="230.291718822299"/>
    <n v="2039.04309082031"/>
  </r>
  <r>
    <x v="7"/>
    <x v="0"/>
    <x v="3"/>
    <n v="29"/>
    <n v="230.291718822299"/>
    <n v="2039.04309082031"/>
  </r>
  <r>
    <x v="7"/>
    <x v="3"/>
    <x v="3"/>
    <n v="29"/>
    <n v="230.291718822299"/>
    <n v="2039.04309082031"/>
  </r>
  <r>
    <x v="7"/>
    <x v="2"/>
    <x v="3"/>
    <n v="29"/>
    <n v="230.291718822299"/>
    <n v="2039.04309082031"/>
  </r>
  <r>
    <x v="5"/>
    <x v="2"/>
    <x v="2"/>
    <n v="20.6301956176757"/>
    <n v="160.770080908186"/>
    <n v="1255"/>
  </r>
  <r>
    <x v="5"/>
    <x v="0"/>
    <x v="2"/>
    <n v="20.6301956176757"/>
    <n v="160.770080908186"/>
    <n v="1255"/>
  </r>
  <r>
    <x v="5"/>
    <x v="1"/>
    <x v="2"/>
    <n v="20.6301956176757"/>
    <n v="160.770080908186"/>
    <n v="1255"/>
  </r>
  <r>
    <x v="5"/>
    <x v="3"/>
    <x v="2"/>
    <n v="20.6301956176757"/>
    <n v="160.770080908186"/>
    <n v="1255"/>
  </r>
  <r>
    <x v="5"/>
    <x v="4"/>
    <x v="2"/>
    <n v="20.6301956176757"/>
    <n v="160.770080908186"/>
    <n v="1255"/>
  </r>
  <r>
    <x v="4"/>
    <x v="2"/>
    <x v="1"/>
    <n v="46"/>
    <n v="386.43882700420301"/>
    <n v="3001.0810546875"/>
  </r>
  <r>
    <x v="4"/>
    <x v="4"/>
    <x v="1"/>
    <n v="46"/>
    <n v="386.43882700420301"/>
    <n v="3001.0810546875"/>
  </r>
  <r>
    <x v="4"/>
    <x v="0"/>
    <x v="1"/>
    <n v="46"/>
    <n v="386.43882700420301"/>
    <n v="3001.0810546875"/>
  </r>
  <r>
    <x v="4"/>
    <x v="3"/>
    <x v="1"/>
    <n v="46"/>
    <n v="386.43882700420301"/>
    <n v="3001.0810546875"/>
  </r>
  <r>
    <x v="4"/>
    <x v="1"/>
    <x v="1"/>
    <n v="46"/>
    <n v="386.43882700420301"/>
    <n v="3001.0810546875"/>
  </r>
  <r>
    <x v="10"/>
    <x v="2"/>
    <x v="5"/>
    <n v="6.6666666666666599"/>
    <n v="72.692728913508603"/>
    <n v="925"/>
  </r>
  <r>
    <x v="10"/>
    <x v="0"/>
    <x v="5"/>
    <n v="6.6666666666666599"/>
    <n v="72.692728913508603"/>
    <n v="925"/>
  </r>
  <r>
    <x v="10"/>
    <x v="3"/>
    <x v="5"/>
    <n v="6.6666666666666599"/>
    <n v="72.692728913508603"/>
    <n v="925"/>
  </r>
  <r>
    <x v="10"/>
    <x v="4"/>
    <x v="5"/>
    <n v="6.6666666666666599"/>
    <n v="72.692728913508603"/>
    <n v="925"/>
  </r>
  <r>
    <x v="10"/>
    <x v="1"/>
    <x v="5"/>
    <n v="6.6666666666666599"/>
    <n v="72.692728913508603"/>
    <n v="925"/>
  </r>
  <r>
    <x v="15"/>
    <x v="3"/>
    <x v="2"/>
    <n v="20.6301956176757"/>
    <n v="178.89032031202501"/>
    <n v="1577.64282226562"/>
  </r>
  <r>
    <x v="15"/>
    <x v="1"/>
    <x v="2"/>
    <n v="20.6301956176757"/>
    <n v="178.89032031202501"/>
    <n v="1577.64282226562"/>
  </r>
  <r>
    <x v="15"/>
    <x v="4"/>
    <x v="2"/>
    <n v="20.6301956176757"/>
    <n v="178.89032031202501"/>
    <n v="1577.64282226562"/>
  </r>
  <r>
    <x v="15"/>
    <x v="0"/>
    <x v="2"/>
    <n v="20.6301956176757"/>
    <n v="178.89032031202501"/>
    <n v="1577.64282226562"/>
  </r>
  <r>
    <x v="15"/>
    <x v="2"/>
    <x v="2"/>
    <n v="20.6301956176757"/>
    <n v="178.89032031202501"/>
    <n v="1577.64282226562"/>
  </r>
  <r>
    <x v="4"/>
    <x v="2"/>
    <x v="9"/>
    <n v="1"/>
    <n v="101.06040040875"/>
    <n v="895"/>
  </r>
  <r>
    <x v="4"/>
    <x v="4"/>
    <x v="9"/>
    <n v="1"/>
    <n v="101.06040040875"/>
    <n v="895"/>
  </r>
  <r>
    <x v="4"/>
    <x v="0"/>
    <x v="9"/>
    <n v="1"/>
    <n v="101.06040040875"/>
    <n v="895"/>
  </r>
  <r>
    <x v="4"/>
    <x v="3"/>
    <x v="9"/>
    <n v="1"/>
    <n v="101.06040040875"/>
    <n v="895"/>
  </r>
  <r>
    <x v="4"/>
    <x v="1"/>
    <x v="9"/>
    <n v="1"/>
    <n v="101.06040040875"/>
    <n v="895"/>
  </r>
  <r>
    <x v="12"/>
    <x v="3"/>
    <x v="9"/>
    <n v="4.9567809104919398"/>
    <n v="92.720529280742895"/>
    <n v="1164"/>
  </r>
  <r>
    <x v="12"/>
    <x v="2"/>
    <x v="9"/>
    <n v="4.9567809104919398"/>
    <n v="92.720529280742895"/>
    <n v="1164"/>
  </r>
  <r>
    <x v="12"/>
    <x v="0"/>
    <x v="9"/>
    <n v="4.9567809104919398"/>
    <n v="92.720529280742895"/>
    <n v="1164"/>
  </r>
  <r>
    <x v="12"/>
    <x v="1"/>
    <x v="9"/>
    <n v="4.9567809104919398"/>
    <n v="92.720529280742895"/>
    <n v="1164"/>
  </r>
  <r>
    <x v="12"/>
    <x v="4"/>
    <x v="9"/>
    <n v="4.9567809104919398"/>
    <n v="92.720529280742895"/>
    <n v="1164"/>
  </r>
  <r>
    <x v="14"/>
    <x v="1"/>
    <x v="13"/>
    <n v="44.7572021484375"/>
    <n v="318.76071629454901"/>
    <n v="1820"/>
  </r>
  <r>
    <x v="14"/>
    <x v="4"/>
    <x v="13"/>
    <n v="44.7572021484375"/>
    <n v="318.76071629454901"/>
    <n v="1820"/>
  </r>
  <r>
    <x v="14"/>
    <x v="2"/>
    <x v="13"/>
    <n v="44.7572021484375"/>
    <n v="318.76071629454901"/>
    <n v="1820"/>
  </r>
  <r>
    <x v="14"/>
    <x v="0"/>
    <x v="13"/>
    <n v="44.7572021484375"/>
    <n v="318.76071629454901"/>
    <n v="1820"/>
  </r>
  <r>
    <x v="14"/>
    <x v="3"/>
    <x v="13"/>
    <n v="44.7572021484375"/>
    <n v="318.76071629454901"/>
    <n v="1820"/>
  </r>
  <r>
    <x v="9"/>
    <x v="1"/>
    <x v="11"/>
    <n v="8"/>
    <n v="103.796670971092"/>
    <n v="991"/>
  </r>
  <r>
    <x v="9"/>
    <x v="4"/>
    <x v="11"/>
    <n v="8"/>
    <n v="103.796670971092"/>
    <n v="991"/>
  </r>
  <r>
    <x v="9"/>
    <x v="0"/>
    <x v="11"/>
    <n v="8"/>
    <n v="103.796670971092"/>
    <n v="991"/>
  </r>
  <r>
    <x v="9"/>
    <x v="3"/>
    <x v="11"/>
    <n v="8"/>
    <n v="103.796670971092"/>
    <n v="991"/>
  </r>
  <r>
    <x v="9"/>
    <x v="2"/>
    <x v="11"/>
    <n v="8"/>
    <n v="103.796670971092"/>
    <n v="991"/>
  </r>
  <r>
    <x v="14"/>
    <x v="1"/>
    <x v="6"/>
    <n v="74.779998779296804"/>
    <n v="642.79243865175602"/>
    <n v="2699.12036132812"/>
  </r>
  <r>
    <x v="14"/>
    <x v="4"/>
    <x v="6"/>
    <n v="74.779998779296804"/>
    <n v="642.79243865175602"/>
    <n v="2699.12036132812"/>
  </r>
  <r>
    <x v="14"/>
    <x v="2"/>
    <x v="6"/>
    <n v="74.779998779296804"/>
    <n v="642.79243865175602"/>
    <n v="2699.12036132812"/>
  </r>
  <r>
    <x v="14"/>
    <x v="0"/>
    <x v="6"/>
    <n v="74.779998779296804"/>
    <n v="642.79243865175602"/>
    <n v="2699.12036132812"/>
  </r>
  <r>
    <x v="14"/>
    <x v="3"/>
    <x v="6"/>
    <n v="74.779998779296804"/>
    <n v="642.79243865175602"/>
    <n v="2699.12036132812"/>
  </r>
  <r>
    <x v="9"/>
    <x v="1"/>
    <x v="0"/>
    <n v="33"/>
    <n v="271.44564672107902"/>
    <n v="2194.56420898437"/>
  </r>
  <r>
    <x v="9"/>
    <x v="4"/>
    <x v="0"/>
    <n v="33"/>
    <n v="271.44564672107902"/>
    <n v="2194.56420898437"/>
  </r>
  <r>
    <x v="9"/>
    <x v="0"/>
    <x v="0"/>
    <n v="33"/>
    <n v="271.44564672107902"/>
    <n v="2194.56420898437"/>
  </r>
  <r>
    <x v="9"/>
    <x v="3"/>
    <x v="0"/>
    <n v="33"/>
    <n v="271.44564672107902"/>
    <n v="2194.56420898437"/>
  </r>
  <r>
    <x v="9"/>
    <x v="2"/>
    <x v="0"/>
    <n v="33"/>
    <n v="271.44564672107902"/>
    <n v="2194.56420898437"/>
  </r>
  <r>
    <x v="15"/>
    <x v="3"/>
    <x v="0"/>
    <n v="33"/>
    <n v="250.41501863753399"/>
    <n v="2194.56420898437"/>
  </r>
  <r>
    <x v="15"/>
    <x v="1"/>
    <x v="0"/>
    <n v="33"/>
    <n v="250.41501863753399"/>
    <n v="2194.56420898437"/>
  </r>
  <r>
    <x v="15"/>
    <x v="4"/>
    <x v="0"/>
    <n v="33"/>
    <n v="250.41501863753399"/>
    <n v="2194.56420898437"/>
  </r>
  <r>
    <x v="15"/>
    <x v="0"/>
    <x v="0"/>
    <n v="33"/>
    <n v="250.41501863753399"/>
    <n v="2194.56420898437"/>
  </r>
  <r>
    <x v="15"/>
    <x v="2"/>
    <x v="0"/>
    <n v="33"/>
    <n v="250.41501863753399"/>
    <n v="2194.56420898437"/>
  </r>
  <r>
    <x v="11"/>
    <x v="4"/>
    <x v="7"/>
    <n v="16.045707702636701"/>
    <n v="172.403719469636"/>
    <n v="1304.3125"/>
  </r>
  <r>
    <x v="11"/>
    <x v="0"/>
    <x v="7"/>
    <n v="16.045707702636701"/>
    <n v="172.403719469636"/>
    <n v="1304.3125"/>
  </r>
  <r>
    <x v="11"/>
    <x v="1"/>
    <x v="7"/>
    <n v="16.045707702636701"/>
    <n v="172.403719469636"/>
    <n v="1304.3125"/>
  </r>
  <r>
    <x v="11"/>
    <x v="2"/>
    <x v="7"/>
    <n v="16.045707702636701"/>
    <n v="172.403719469636"/>
    <n v="1304.3125"/>
  </r>
  <r>
    <x v="11"/>
    <x v="3"/>
    <x v="7"/>
    <n v="16.045707702636701"/>
    <n v="172.403719469636"/>
    <n v="1304.3125"/>
  </r>
  <r>
    <x v="15"/>
    <x v="3"/>
    <x v="1"/>
    <n v="46"/>
    <n v="394.82709553680399"/>
    <n v="1697.5"/>
  </r>
  <r>
    <x v="15"/>
    <x v="1"/>
    <x v="1"/>
    <n v="46"/>
    <n v="394.82709553680399"/>
    <n v="1697.5"/>
  </r>
  <r>
    <x v="15"/>
    <x v="4"/>
    <x v="1"/>
    <n v="46"/>
    <n v="394.82709553680399"/>
    <n v="1697.5"/>
  </r>
  <r>
    <x v="15"/>
    <x v="0"/>
    <x v="1"/>
    <n v="46"/>
    <n v="394.82709553680399"/>
    <n v="1697.5"/>
  </r>
  <r>
    <x v="15"/>
    <x v="2"/>
    <x v="1"/>
    <n v="46"/>
    <n v="394.82709553680399"/>
    <n v="1697.5"/>
  </r>
  <r>
    <x v="11"/>
    <x v="4"/>
    <x v="11"/>
    <n v="13.168941497802701"/>
    <n v="112.801981189901"/>
    <n v="1286.5"/>
  </r>
  <r>
    <x v="11"/>
    <x v="0"/>
    <x v="11"/>
    <n v="13.168941497802701"/>
    <n v="112.801981189901"/>
    <n v="1286.5"/>
  </r>
  <r>
    <x v="11"/>
    <x v="1"/>
    <x v="11"/>
    <n v="13.168941497802701"/>
    <n v="112.801981189901"/>
    <n v="1286.5"/>
  </r>
  <r>
    <x v="11"/>
    <x v="2"/>
    <x v="11"/>
    <n v="13.168941497802701"/>
    <n v="112.801981189901"/>
    <n v="1286.5"/>
  </r>
  <r>
    <x v="11"/>
    <x v="3"/>
    <x v="11"/>
    <n v="13.168941497802701"/>
    <n v="112.801981189901"/>
    <n v="1286.5"/>
  </r>
  <r>
    <x v="5"/>
    <x v="2"/>
    <x v="10"/>
    <n v="64"/>
    <n v="713.78969506702197"/>
    <n v="3133"/>
  </r>
  <r>
    <x v="5"/>
    <x v="0"/>
    <x v="10"/>
    <n v="64"/>
    <n v="713.78969506702197"/>
    <n v="3133"/>
  </r>
  <r>
    <x v="5"/>
    <x v="1"/>
    <x v="10"/>
    <n v="64"/>
    <n v="713.78969506702197"/>
    <n v="3133"/>
  </r>
  <r>
    <x v="5"/>
    <x v="3"/>
    <x v="10"/>
    <n v="64"/>
    <n v="713.78969506702197"/>
    <n v="3133"/>
  </r>
  <r>
    <x v="5"/>
    <x v="4"/>
    <x v="10"/>
    <n v="64"/>
    <n v="713.78969506702197"/>
    <n v="3133"/>
  </r>
  <r>
    <x v="0"/>
    <x v="0"/>
    <x v="3"/>
    <n v="132.33062744140599"/>
    <n v="502.13860853937399"/>
    <n v="990.2333984375"/>
  </r>
  <r>
    <x v="0"/>
    <x v="0"/>
    <x v="10"/>
    <n v="396.99191284179602"/>
    <n v="1865.64501773897"/>
    <n v="2757.31103515625"/>
  </r>
  <r>
    <x v="7"/>
    <x v="1"/>
    <x v="11"/>
    <n v="13.489168167114199"/>
    <n v="94.874811899995606"/>
    <n v="2039.04309082031"/>
  </r>
  <r>
    <x v="7"/>
    <x v="4"/>
    <x v="11"/>
    <n v="13.489168167114199"/>
    <n v="94.874811899995606"/>
    <n v="2039.04309082031"/>
  </r>
  <r>
    <x v="7"/>
    <x v="0"/>
    <x v="11"/>
    <n v="13.489168167114199"/>
    <n v="94.874811899995606"/>
    <n v="2039.04309082031"/>
  </r>
  <r>
    <x v="7"/>
    <x v="3"/>
    <x v="11"/>
    <n v="13.489168167114199"/>
    <n v="94.874811899995606"/>
    <n v="2039.04309082031"/>
  </r>
  <r>
    <x v="7"/>
    <x v="2"/>
    <x v="11"/>
    <n v="13.489168167114199"/>
    <n v="94.874811899995606"/>
    <n v="2039.04309082031"/>
  </r>
  <r>
    <x v="15"/>
    <x v="3"/>
    <x v="12"/>
    <n v="41"/>
    <n v="333.67192719585398"/>
    <n v="1403.5"/>
  </r>
  <r>
    <x v="15"/>
    <x v="1"/>
    <x v="12"/>
    <n v="41"/>
    <n v="333.67192719585398"/>
    <n v="1403.5"/>
  </r>
  <r>
    <x v="15"/>
    <x v="4"/>
    <x v="12"/>
    <n v="41"/>
    <n v="333.67192719585398"/>
    <n v="1403.5"/>
  </r>
  <r>
    <x v="15"/>
    <x v="0"/>
    <x v="12"/>
    <n v="41"/>
    <n v="333.67192719585398"/>
    <n v="1403.5"/>
  </r>
  <r>
    <x v="15"/>
    <x v="2"/>
    <x v="12"/>
    <n v="41"/>
    <n v="333.67192719585398"/>
    <n v="1403.5"/>
  </r>
  <r>
    <x v="6"/>
    <x v="3"/>
    <x v="11"/>
    <n v="13.8591346740722"/>
    <n v="105.699221013319"/>
    <n v="3760"/>
  </r>
  <r>
    <x v="6"/>
    <x v="1"/>
    <x v="11"/>
    <n v="13.8591346740722"/>
    <n v="105.699221013319"/>
    <n v="3760"/>
  </r>
  <r>
    <x v="6"/>
    <x v="0"/>
    <x v="11"/>
    <n v="13.8591346740722"/>
    <n v="105.699221013319"/>
    <n v="3760"/>
  </r>
  <r>
    <x v="6"/>
    <x v="4"/>
    <x v="11"/>
    <n v="13.8591346740722"/>
    <n v="105.699221013319"/>
    <n v="3760"/>
  </r>
  <r>
    <x v="6"/>
    <x v="2"/>
    <x v="11"/>
    <n v="13.8591346740722"/>
    <n v="105.699221013319"/>
    <n v="3760"/>
  </r>
  <r>
    <x v="2"/>
    <x v="3"/>
    <x v="0"/>
    <n v="33"/>
    <n v="244.663393888256"/>
    <n v="2194.56420898437"/>
  </r>
  <r>
    <x v="2"/>
    <x v="0"/>
    <x v="0"/>
    <n v="33"/>
    <n v="244.663393888256"/>
    <n v="2194.56420898437"/>
  </r>
  <r>
    <x v="2"/>
    <x v="2"/>
    <x v="0"/>
    <n v="33"/>
    <n v="244.663393888256"/>
    <n v="2194.56420898437"/>
  </r>
  <r>
    <x v="2"/>
    <x v="1"/>
    <x v="0"/>
    <n v="33"/>
    <n v="244.663393888256"/>
    <n v="2194.56420898437"/>
  </r>
  <r>
    <x v="2"/>
    <x v="4"/>
    <x v="0"/>
    <n v="33"/>
    <n v="244.663393888256"/>
    <n v="2194.56420898437"/>
  </r>
  <r>
    <x v="15"/>
    <x v="3"/>
    <x v="9"/>
    <n v="3"/>
    <n v="88.064290150582806"/>
    <n v="895"/>
  </r>
  <r>
    <x v="15"/>
    <x v="1"/>
    <x v="9"/>
    <n v="3"/>
    <n v="88.064290150582806"/>
    <n v="895"/>
  </r>
  <r>
    <x v="15"/>
    <x v="4"/>
    <x v="9"/>
    <n v="3"/>
    <n v="88.064290150582806"/>
    <n v="895"/>
  </r>
  <r>
    <x v="15"/>
    <x v="0"/>
    <x v="9"/>
    <n v="3"/>
    <n v="88.064290150582806"/>
    <n v="895"/>
  </r>
  <r>
    <x v="15"/>
    <x v="2"/>
    <x v="9"/>
    <n v="3"/>
    <n v="88.064290150582806"/>
    <n v="895"/>
  </r>
  <r>
    <x v="0"/>
    <x v="0"/>
    <x v="12"/>
    <n v="183.97186279296801"/>
    <n v="685.07308410738199"/>
    <n v="1249.29296875"/>
  </r>
  <r>
    <x v="6"/>
    <x v="3"/>
    <x v="5"/>
    <n v="12.0498485565185"/>
    <n v="67.801068207911598"/>
    <n v="3760"/>
  </r>
  <r>
    <x v="6"/>
    <x v="1"/>
    <x v="5"/>
    <n v="12.0498485565185"/>
    <n v="67.801068207911598"/>
    <n v="3760"/>
  </r>
  <r>
    <x v="6"/>
    <x v="0"/>
    <x v="5"/>
    <n v="12.0498485565185"/>
    <n v="67.801068207911598"/>
    <n v="3760"/>
  </r>
  <r>
    <x v="6"/>
    <x v="4"/>
    <x v="5"/>
    <n v="12.0498485565185"/>
    <n v="67.801068207911598"/>
    <n v="3760"/>
  </r>
  <r>
    <x v="6"/>
    <x v="2"/>
    <x v="5"/>
    <n v="12.0498485565185"/>
    <n v="67.801068207911598"/>
    <n v="3760"/>
  </r>
  <r>
    <x v="0"/>
    <x v="0"/>
    <x v="8"/>
    <n v="261.43368530273398"/>
    <n v="987.15577355440496"/>
    <n v="1727.71520996093"/>
  </r>
  <r>
    <x v="6"/>
    <x v="3"/>
    <x v="1"/>
    <n v="46"/>
    <n v="433.83269880494902"/>
    <n v="3760"/>
  </r>
  <r>
    <x v="6"/>
    <x v="1"/>
    <x v="1"/>
    <n v="46"/>
    <n v="433.83269880494902"/>
    <n v="3760"/>
  </r>
  <r>
    <x v="6"/>
    <x v="0"/>
    <x v="1"/>
    <n v="46"/>
    <n v="433.83269880494902"/>
    <n v="3760"/>
  </r>
  <r>
    <x v="6"/>
    <x v="4"/>
    <x v="1"/>
    <n v="46"/>
    <n v="433.83269880494902"/>
    <n v="3760"/>
  </r>
  <r>
    <x v="6"/>
    <x v="2"/>
    <x v="1"/>
    <n v="46"/>
    <n v="433.83269880494902"/>
    <n v="3760"/>
  </r>
  <r>
    <x v="6"/>
    <x v="3"/>
    <x v="6"/>
    <n v="58"/>
    <n v="639.86243453729196"/>
    <n v="3760"/>
  </r>
  <r>
    <x v="6"/>
    <x v="1"/>
    <x v="6"/>
    <n v="58"/>
    <n v="639.86243453729196"/>
    <n v="3760"/>
  </r>
  <r>
    <x v="6"/>
    <x v="0"/>
    <x v="6"/>
    <n v="58"/>
    <n v="639.86243453729196"/>
    <n v="3760"/>
  </r>
  <r>
    <x v="6"/>
    <x v="4"/>
    <x v="6"/>
    <n v="58"/>
    <n v="639.86243453729196"/>
    <n v="3760"/>
  </r>
  <r>
    <x v="6"/>
    <x v="2"/>
    <x v="6"/>
    <n v="58"/>
    <n v="639.86243453729196"/>
    <n v="3760"/>
  </r>
  <r>
    <x v="11"/>
    <x v="4"/>
    <x v="8"/>
    <n v="66.922064208984295"/>
    <n v="421.584621880643"/>
    <n v="1736.5"/>
  </r>
  <r>
    <x v="11"/>
    <x v="0"/>
    <x v="8"/>
    <n v="66.922064208984295"/>
    <n v="421.584621880643"/>
    <n v="1736.5"/>
  </r>
  <r>
    <x v="11"/>
    <x v="1"/>
    <x v="8"/>
    <n v="66.922064208984295"/>
    <n v="421.584621880643"/>
    <n v="1736.5"/>
  </r>
  <r>
    <x v="11"/>
    <x v="2"/>
    <x v="8"/>
    <n v="66.922064208984295"/>
    <n v="421.584621880643"/>
    <n v="1736.5"/>
  </r>
  <r>
    <x v="11"/>
    <x v="3"/>
    <x v="8"/>
    <n v="66.922064208984295"/>
    <n v="421.584621880643"/>
    <n v="1736.5"/>
  </r>
  <r>
    <x v="4"/>
    <x v="2"/>
    <x v="10"/>
    <n v="64"/>
    <n v="777.42753338643001"/>
    <n v="4094"/>
  </r>
  <r>
    <x v="4"/>
    <x v="4"/>
    <x v="10"/>
    <n v="64"/>
    <n v="777.42753338643001"/>
    <n v="4094"/>
  </r>
  <r>
    <x v="4"/>
    <x v="0"/>
    <x v="10"/>
    <n v="64"/>
    <n v="777.42753338643001"/>
    <n v="4094"/>
  </r>
  <r>
    <x v="4"/>
    <x v="3"/>
    <x v="10"/>
    <n v="64"/>
    <n v="777.42753338643001"/>
    <n v="4094"/>
  </r>
  <r>
    <x v="4"/>
    <x v="1"/>
    <x v="10"/>
    <n v="64"/>
    <n v="777.42753338643001"/>
    <n v="4094"/>
  </r>
  <r>
    <x v="12"/>
    <x v="3"/>
    <x v="3"/>
    <n v="29"/>
    <n v="203.895265803472"/>
    <n v="1164"/>
  </r>
  <r>
    <x v="12"/>
    <x v="2"/>
    <x v="3"/>
    <n v="29"/>
    <n v="203.895265803472"/>
    <n v="1164"/>
  </r>
  <r>
    <x v="12"/>
    <x v="0"/>
    <x v="3"/>
    <n v="29"/>
    <n v="203.895265803472"/>
    <n v="1164"/>
  </r>
  <r>
    <x v="12"/>
    <x v="1"/>
    <x v="3"/>
    <n v="29"/>
    <n v="203.895265803472"/>
    <n v="1164"/>
  </r>
  <r>
    <x v="12"/>
    <x v="4"/>
    <x v="3"/>
    <n v="29"/>
    <n v="203.895265803472"/>
    <n v="1164"/>
  </r>
  <r>
    <x v="9"/>
    <x v="1"/>
    <x v="13"/>
    <n v="37"/>
    <n v="296.55635422467299"/>
    <n v="1352.5"/>
  </r>
  <r>
    <x v="9"/>
    <x v="4"/>
    <x v="13"/>
    <n v="37"/>
    <n v="296.55635422467299"/>
    <n v="1352.5"/>
  </r>
  <r>
    <x v="9"/>
    <x v="0"/>
    <x v="13"/>
    <n v="37"/>
    <n v="296.55635422467299"/>
    <n v="1352.5"/>
  </r>
  <r>
    <x v="9"/>
    <x v="3"/>
    <x v="13"/>
    <n v="37"/>
    <n v="296.55635422467299"/>
    <n v="1352.5"/>
  </r>
  <r>
    <x v="9"/>
    <x v="2"/>
    <x v="13"/>
    <n v="37"/>
    <n v="296.55635422467299"/>
    <n v="1352.5"/>
  </r>
  <r>
    <x v="9"/>
    <x v="1"/>
    <x v="7"/>
    <n v="16.045707702636701"/>
    <n v="172.66390139123601"/>
    <n v="991"/>
  </r>
  <r>
    <x v="9"/>
    <x v="4"/>
    <x v="7"/>
    <n v="16.045707702636701"/>
    <n v="172.66390139123601"/>
    <n v="991"/>
  </r>
  <r>
    <x v="9"/>
    <x v="0"/>
    <x v="7"/>
    <n v="16.045707702636701"/>
    <n v="172.66390139123601"/>
    <n v="991"/>
  </r>
  <r>
    <x v="9"/>
    <x v="3"/>
    <x v="7"/>
    <n v="16.045707702636701"/>
    <n v="172.66390139123601"/>
    <n v="991"/>
  </r>
  <r>
    <x v="9"/>
    <x v="2"/>
    <x v="7"/>
    <n v="16.045707702636701"/>
    <n v="172.66390139123601"/>
    <n v="991"/>
  </r>
  <r>
    <x v="14"/>
    <x v="1"/>
    <x v="8"/>
    <n v="72.683036804199205"/>
    <n v="514.90805937575794"/>
    <n v="2570.763671875"/>
  </r>
  <r>
    <x v="14"/>
    <x v="4"/>
    <x v="8"/>
    <n v="72.683036804199205"/>
    <n v="514.90805937575794"/>
    <n v="2570.763671875"/>
  </r>
  <r>
    <x v="14"/>
    <x v="2"/>
    <x v="8"/>
    <n v="72.683036804199205"/>
    <n v="514.90805937575794"/>
    <n v="2570.763671875"/>
  </r>
  <r>
    <x v="14"/>
    <x v="0"/>
    <x v="8"/>
    <n v="72.683036804199205"/>
    <n v="514.90805937575794"/>
    <n v="2570.763671875"/>
  </r>
  <r>
    <x v="14"/>
    <x v="3"/>
    <x v="8"/>
    <n v="72.683036804199205"/>
    <n v="514.90805937575794"/>
    <n v="2570.763671875"/>
  </r>
  <r>
    <x v="12"/>
    <x v="3"/>
    <x v="7"/>
    <n v="16.045707702636701"/>
    <n v="146.784052241056"/>
    <n v="1164"/>
  </r>
  <r>
    <x v="12"/>
    <x v="2"/>
    <x v="7"/>
    <n v="16.045707702636701"/>
    <n v="146.784052241056"/>
    <n v="1164"/>
  </r>
  <r>
    <x v="12"/>
    <x v="0"/>
    <x v="7"/>
    <n v="16.045707702636701"/>
    <n v="146.784052241056"/>
    <n v="1164"/>
  </r>
  <r>
    <x v="12"/>
    <x v="1"/>
    <x v="7"/>
    <n v="16.045707702636701"/>
    <n v="146.784052241056"/>
    <n v="1164"/>
  </r>
  <r>
    <x v="12"/>
    <x v="4"/>
    <x v="7"/>
    <n v="16.045707702636701"/>
    <n v="146.784052241056"/>
    <n v="1164"/>
  </r>
  <r>
    <x v="7"/>
    <x v="1"/>
    <x v="1"/>
    <n v="46"/>
    <n v="409.31149455962498"/>
    <n v="2626"/>
  </r>
  <r>
    <x v="7"/>
    <x v="4"/>
    <x v="1"/>
    <n v="46"/>
    <n v="409.31149455962498"/>
    <n v="2626"/>
  </r>
  <r>
    <x v="7"/>
    <x v="0"/>
    <x v="1"/>
    <n v="46"/>
    <n v="409.31149455962498"/>
    <n v="2626"/>
  </r>
  <r>
    <x v="7"/>
    <x v="3"/>
    <x v="1"/>
    <n v="46"/>
    <n v="409.31149455962498"/>
    <n v="2626"/>
  </r>
  <r>
    <x v="7"/>
    <x v="2"/>
    <x v="1"/>
    <n v="46"/>
    <n v="409.31149455962498"/>
    <n v="2626"/>
  </r>
  <r>
    <x v="11"/>
    <x v="4"/>
    <x v="10"/>
    <n v="71.048103332519503"/>
    <n v="697.76344247078498"/>
    <n v="3070"/>
  </r>
  <r>
    <x v="11"/>
    <x v="0"/>
    <x v="10"/>
    <n v="71.048103332519503"/>
    <n v="697.76344247078498"/>
    <n v="3070"/>
  </r>
  <r>
    <x v="11"/>
    <x v="1"/>
    <x v="10"/>
    <n v="71.048103332519503"/>
    <n v="697.76344247078498"/>
    <n v="3070"/>
  </r>
  <r>
    <x v="11"/>
    <x v="2"/>
    <x v="10"/>
    <n v="71.048103332519503"/>
    <n v="697.76344247078498"/>
    <n v="3070"/>
  </r>
  <r>
    <x v="11"/>
    <x v="3"/>
    <x v="10"/>
    <n v="71.048103332519503"/>
    <n v="697.76344247078498"/>
    <n v="3070"/>
  </r>
  <r>
    <x v="0"/>
    <x v="0"/>
    <x v="6"/>
    <n v="319.53005981445301"/>
    <n v="1346.2914081981401"/>
    <n v="2171.20336914062"/>
  </r>
  <r>
    <x v="13"/>
    <x v="1"/>
    <x v="13"/>
    <n v="37"/>
    <n v="253.70413235606199"/>
    <n v="1604"/>
  </r>
  <r>
    <x v="13"/>
    <x v="0"/>
    <x v="13"/>
    <n v="37"/>
    <n v="253.70413235606199"/>
    <n v="1604"/>
  </r>
  <r>
    <x v="13"/>
    <x v="2"/>
    <x v="13"/>
    <n v="37"/>
    <n v="253.70413235606199"/>
    <n v="1604"/>
  </r>
  <r>
    <x v="13"/>
    <x v="4"/>
    <x v="13"/>
    <n v="37"/>
    <n v="253.70413235606199"/>
    <n v="1604"/>
  </r>
  <r>
    <x v="13"/>
    <x v="3"/>
    <x v="13"/>
    <n v="37"/>
    <n v="253.70413235606199"/>
    <n v="1604"/>
  </r>
  <r>
    <x v="4"/>
    <x v="2"/>
    <x v="7"/>
    <n v="16.045707702636701"/>
    <n v="155.36411212342799"/>
    <n v="989"/>
  </r>
  <r>
    <x v="4"/>
    <x v="4"/>
    <x v="7"/>
    <n v="16.045707702636701"/>
    <n v="155.36411212342799"/>
    <n v="989"/>
  </r>
  <r>
    <x v="4"/>
    <x v="0"/>
    <x v="7"/>
    <n v="16.045707702636701"/>
    <n v="155.36411212342799"/>
    <n v="989"/>
  </r>
  <r>
    <x v="4"/>
    <x v="3"/>
    <x v="7"/>
    <n v="16.045707702636701"/>
    <n v="155.36411212342799"/>
    <n v="989"/>
  </r>
  <r>
    <x v="4"/>
    <x v="1"/>
    <x v="7"/>
    <n v="16.045707702636701"/>
    <n v="155.36411212342799"/>
    <n v="989"/>
  </r>
  <r>
    <x v="1"/>
    <x v="1"/>
    <x v="10"/>
    <n v="59.5"/>
    <n v="776.82800344059899"/>
    <n v="4503"/>
  </r>
  <r>
    <x v="1"/>
    <x v="0"/>
    <x v="10"/>
    <n v="59.5"/>
    <n v="776.82800344059899"/>
    <n v="4503"/>
  </r>
  <r>
    <x v="1"/>
    <x v="2"/>
    <x v="10"/>
    <n v="59.5"/>
    <n v="776.82800344059899"/>
    <n v="4503"/>
  </r>
  <r>
    <x v="1"/>
    <x v="3"/>
    <x v="10"/>
    <n v="59.5"/>
    <n v="776.82800344059899"/>
    <n v="4503"/>
  </r>
  <r>
    <x v="1"/>
    <x v="4"/>
    <x v="10"/>
    <n v="59.5"/>
    <n v="776.82800344059899"/>
    <n v="4503"/>
  </r>
  <r>
    <x v="5"/>
    <x v="2"/>
    <x v="5"/>
    <n v="6"/>
    <n v="76.4242555328739"/>
    <n v="1027.27272033691"/>
  </r>
  <r>
    <x v="5"/>
    <x v="0"/>
    <x v="5"/>
    <n v="6"/>
    <n v="76.4242555328739"/>
    <n v="1027.27272033691"/>
  </r>
  <r>
    <x v="5"/>
    <x v="1"/>
    <x v="5"/>
    <n v="6"/>
    <n v="76.4242555328739"/>
    <n v="1027.27272033691"/>
  </r>
  <r>
    <x v="5"/>
    <x v="3"/>
    <x v="5"/>
    <n v="6"/>
    <n v="76.4242555328739"/>
    <n v="1027.27272033691"/>
  </r>
  <r>
    <x v="5"/>
    <x v="4"/>
    <x v="5"/>
    <n v="6"/>
    <n v="76.4242555328739"/>
    <n v="1027.27272033691"/>
  </r>
  <r>
    <x v="9"/>
    <x v="1"/>
    <x v="12"/>
    <n v="41"/>
    <n v="343.80124112400199"/>
    <n v="1488.5"/>
  </r>
  <r>
    <x v="9"/>
    <x v="4"/>
    <x v="12"/>
    <n v="41"/>
    <n v="343.80124112400199"/>
    <n v="1488.5"/>
  </r>
  <r>
    <x v="9"/>
    <x v="0"/>
    <x v="12"/>
    <n v="41"/>
    <n v="343.80124112400199"/>
    <n v="1488.5"/>
  </r>
  <r>
    <x v="9"/>
    <x v="3"/>
    <x v="12"/>
    <n v="41"/>
    <n v="343.80124112400199"/>
    <n v="1488.5"/>
  </r>
  <r>
    <x v="9"/>
    <x v="2"/>
    <x v="12"/>
    <n v="41"/>
    <n v="343.80124112400199"/>
    <n v="1488.5"/>
  </r>
  <r>
    <x v="11"/>
    <x v="4"/>
    <x v="2"/>
    <n v="20.6301956176757"/>
    <n v="193.432763938844"/>
    <n v="1322.125"/>
  </r>
  <r>
    <x v="11"/>
    <x v="0"/>
    <x v="2"/>
    <n v="20.6301956176757"/>
    <n v="193.432763938844"/>
    <n v="1322.125"/>
  </r>
  <r>
    <x v="11"/>
    <x v="1"/>
    <x v="2"/>
    <n v="20.6301956176757"/>
    <n v="193.432763938844"/>
    <n v="1322.125"/>
  </r>
  <r>
    <x v="11"/>
    <x v="2"/>
    <x v="2"/>
    <n v="20.6301956176757"/>
    <n v="193.432763938844"/>
    <n v="1322.125"/>
  </r>
  <r>
    <x v="11"/>
    <x v="3"/>
    <x v="2"/>
    <n v="20.6301956176757"/>
    <n v="193.432763938844"/>
    <n v="1322.125"/>
  </r>
  <r>
    <x v="9"/>
    <x v="1"/>
    <x v="5"/>
    <n v="6"/>
    <n v="68.390190887901497"/>
    <n v="991"/>
  </r>
  <r>
    <x v="9"/>
    <x v="4"/>
    <x v="5"/>
    <n v="6"/>
    <n v="68.390190887901497"/>
    <n v="991"/>
  </r>
  <r>
    <x v="9"/>
    <x v="0"/>
    <x v="5"/>
    <n v="6"/>
    <n v="68.390190887901497"/>
    <n v="991"/>
  </r>
  <r>
    <x v="9"/>
    <x v="3"/>
    <x v="5"/>
    <n v="6"/>
    <n v="68.390190887901497"/>
    <n v="991"/>
  </r>
  <r>
    <x v="9"/>
    <x v="2"/>
    <x v="5"/>
    <n v="6"/>
    <n v="68.390190887901497"/>
    <n v="991"/>
  </r>
  <r>
    <x v="15"/>
    <x v="3"/>
    <x v="13"/>
    <n v="37"/>
    <n v="287.12167036344999"/>
    <n v="1169.5"/>
  </r>
  <r>
    <x v="15"/>
    <x v="1"/>
    <x v="13"/>
    <n v="37"/>
    <n v="287.12167036344999"/>
    <n v="1169.5"/>
  </r>
  <r>
    <x v="15"/>
    <x v="4"/>
    <x v="13"/>
    <n v="37"/>
    <n v="287.12167036344999"/>
    <n v="1169.5"/>
  </r>
  <r>
    <x v="15"/>
    <x v="0"/>
    <x v="13"/>
    <n v="37"/>
    <n v="287.12167036344999"/>
    <n v="1169.5"/>
  </r>
  <r>
    <x v="15"/>
    <x v="2"/>
    <x v="13"/>
    <n v="37"/>
    <n v="287.12167036344999"/>
    <n v="1169.5"/>
  </r>
  <r>
    <x v="7"/>
    <x v="1"/>
    <x v="13"/>
    <n v="37"/>
    <n v="299.51891353527202"/>
    <n v="2039.04309082031"/>
  </r>
  <r>
    <x v="7"/>
    <x v="4"/>
    <x v="13"/>
    <n v="37"/>
    <n v="299.51891353527202"/>
    <n v="2039.04309082031"/>
  </r>
  <r>
    <x v="7"/>
    <x v="0"/>
    <x v="13"/>
    <n v="37"/>
    <n v="299.51891353527202"/>
    <n v="2039.04309082031"/>
  </r>
  <r>
    <x v="7"/>
    <x v="3"/>
    <x v="13"/>
    <n v="37"/>
    <n v="299.51891353527202"/>
    <n v="2039.04309082031"/>
  </r>
  <r>
    <x v="7"/>
    <x v="2"/>
    <x v="13"/>
    <n v="37"/>
    <n v="299.51891353527202"/>
    <n v="2039.04309082031"/>
  </r>
  <r>
    <x v="12"/>
    <x v="3"/>
    <x v="10"/>
    <n v="64"/>
    <n v="722.30571058676298"/>
    <n v="4503"/>
  </r>
  <r>
    <x v="12"/>
    <x v="2"/>
    <x v="10"/>
    <n v="64"/>
    <n v="722.30571058676298"/>
    <n v="4503"/>
  </r>
  <r>
    <x v="12"/>
    <x v="0"/>
    <x v="10"/>
    <n v="64"/>
    <n v="722.30571058676298"/>
    <n v="4503"/>
  </r>
  <r>
    <x v="12"/>
    <x v="1"/>
    <x v="10"/>
    <n v="64"/>
    <n v="722.30571058676298"/>
    <n v="4503"/>
  </r>
  <r>
    <x v="12"/>
    <x v="4"/>
    <x v="10"/>
    <n v="64"/>
    <n v="722.30571058676298"/>
    <n v="4503"/>
  </r>
  <r>
    <x v="6"/>
    <x v="3"/>
    <x v="2"/>
    <n v="21.711437225341701"/>
    <n v="200.58000130687699"/>
    <n v="3760"/>
  </r>
  <r>
    <x v="6"/>
    <x v="1"/>
    <x v="2"/>
    <n v="21.711437225341701"/>
    <n v="200.58000130687699"/>
    <n v="3760"/>
  </r>
  <r>
    <x v="6"/>
    <x v="0"/>
    <x v="2"/>
    <n v="21.711437225341701"/>
    <n v="200.58000130687699"/>
    <n v="3760"/>
  </r>
  <r>
    <x v="6"/>
    <x v="4"/>
    <x v="2"/>
    <n v="21.711437225341701"/>
    <n v="200.58000130687699"/>
    <n v="3760"/>
  </r>
  <r>
    <x v="6"/>
    <x v="2"/>
    <x v="2"/>
    <n v="21.711437225341701"/>
    <n v="200.58000130687699"/>
    <n v="3760"/>
  </r>
  <r>
    <x v="13"/>
    <x v="1"/>
    <x v="7"/>
    <n v="16.045707702636701"/>
    <n v="140.712635335513"/>
    <n v="1604"/>
  </r>
  <r>
    <x v="13"/>
    <x v="0"/>
    <x v="7"/>
    <n v="16.045707702636701"/>
    <n v="140.712635335513"/>
    <n v="1604"/>
  </r>
  <r>
    <x v="13"/>
    <x v="2"/>
    <x v="7"/>
    <n v="16.045707702636701"/>
    <n v="140.712635335513"/>
    <n v="1604"/>
  </r>
  <r>
    <x v="13"/>
    <x v="4"/>
    <x v="7"/>
    <n v="16.045707702636701"/>
    <n v="140.712635335513"/>
    <n v="1604"/>
  </r>
  <r>
    <x v="13"/>
    <x v="3"/>
    <x v="7"/>
    <n v="16.045707702636701"/>
    <n v="140.712635335513"/>
    <n v="1604"/>
  </r>
  <r>
    <x v="8"/>
    <x v="4"/>
    <x v="9"/>
    <n v="1"/>
    <n v="92.179647373450095"/>
    <n v="895"/>
  </r>
  <r>
    <x v="8"/>
    <x v="0"/>
    <x v="9"/>
    <n v="1"/>
    <n v="92.179647373450095"/>
    <n v="895"/>
  </r>
  <r>
    <x v="8"/>
    <x v="3"/>
    <x v="9"/>
    <n v="1"/>
    <n v="92.179647373450095"/>
    <n v="895"/>
  </r>
  <r>
    <x v="8"/>
    <x v="1"/>
    <x v="9"/>
    <n v="1"/>
    <n v="92.179647373450095"/>
    <n v="895"/>
  </r>
  <r>
    <x v="8"/>
    <x v="2"/>
    <x v="9"/>
    <n v="1"/>
    <n v="92.179647373450095"/>
    <n v="895"/>
  </r>
  <r>
    <x v="2"/>
    <x v="3"/>
    <x v="10"/>
    <n v="64"/>
    <n v="765.31831584798397"/>
    <n v="4503"/>
  </r>
  <r>
    <x v="2"/>
    <x v="0"/>
    <x v="10"/>
    <n v="64"/>
    <n v="765.31831584798397"/>
    <n v="4503"/>
  </r>
  <r>
    <x v="2"/>
    <x v="2"/>
    <x v="10"/>
    <n v="64"/>
    <n v="765.31831584798397"/>
    <n v="4503"/>
  </r>
  <r>
    <x v="2"/>
    <x v="1"/>
    <x v="10"/>
    <n v="64"/>
    <n v="765.31831584798397"/>
    <n v="4503"/>
  </r>
  <r>
    <x v="2"/>
    <x v="4"/>
    <x v="10"/>
    <n v="64"/>
    <n v="765.31831584798397"/>
    <n v="4503"/>
  </r>
  <r>
    <x v="14"/>
    <x v="1"/>
    <x v="0"/>
    <n v="38.270286560058501"/>
    <n v="277.23064729221102"/>
    <n v="1820"/>
  </r>
  <r>
    <x v="14"/>
    <x v="4"/>
    <x v="0"/>
    <n v="38.270286560058501"/>
    <n v="277.23064729221102"/>
    <n v="1820"/>
  </r>
  <r>
    <x v="14"/>
    <x v="2"/>
    <x v="0"/>
    <n v="38.270286560058501"/>
    <n v="277.23064729221102"/>
    <n v="1820"/>
  </r>
  <r>
    <x v="14"/>
    <x v="0"/>
    <x v="0"/>
    <n v="38.270286560058501"/>
    <n v="277.23064729221102"/>
    <n v="1820"/>
  </r>
  <r>
    <x v="14"/>
    <x v="3"/>
    <x v="0"/>
    <n v="38.270286560058501"/>
    <n v="277.23064729221102"/>
    <n v="1820"/>
  </r>
  <r>
    <x v="1"/>
    <x v="1"/>
    <x v="11"/>
    <n v="8"/>
    <n v="107.831327985916"/>
    <n v="838.5"/>
  </r>
  <r>
    <x v="1"/>
    <x v="0"/>
    <x v="11"/>
    <n v="8"/>
    <n v="107.831327985916"/>
    <n v="838.5"/>
  </r>
  <r>
    <x v="1"/>
    <x v="2"/>
    <x v="11"/>
    <n v="8"/>
    <n v="107.831327985916"/>
    <n v="838.5"/>
  </r>
  <r>
    <x v="1"/>
    <x v="3"/>
    <x v="11"/>
    <n v="8"/>
    <n v="107.831327985916"/>
    <n v="838.5"/>
  </r>
  <r>
    <x v="1"/>
    <x v="4"/>
    <x v="11"/>
    <n v="8"/>
    <n v="107.831327985916"/>
    <n v="838.5"/>
  </r>
  <r>
    <x v="1"/>
    <x v="1"/>
    <x v="5"/>
    <n v="6.6666666666666599"/>
    <n v="70.721849702923805"/>
    <n v="925"/>
  </r>
  <r>
    <x v="1"/>
    <x v="0"/>
    <x v="5"/>
    <n v="6.6666666666666599"/>
    <n v="70.721849702923805"/>
    <n v="925"/>
  </r>
  <r>
    <x v="1"/>
    <x v="2"/>
    <x v="5"/>
    <n v="6.6666666666666599"/>
    <n v="70.721849702923805"/>
    <n v="925"/>
  </r>
  <r>
    <x v="1"/>
    <x v="3"/>
    <x v="5"/>
    <n v="6.6666666666666599"/>
    <n v="70.721849702923805"/>
    <n v="925"/>
  </r>
  <r>
    <x v="1"/>
    <x v="4"/>
    <x v="5"/>
    <n v="6.6666666666666599"/>
    <n v="70.721849702923805"/>
    <n v="925"/>
  </r>
  <r>
    <x v="13"/>
    <x v="1"/>
    <x v="3"/>
    <n v="29"/>
    <n v="194.51887903105199"/>
    <n v="1604"/>
  </r>
  <r>
    <x v="13"/>
    <x v="0"/>
    <x v="3"/>
    <n v="29"/>
    <n v="194.51887903105199"/>
    <n v="1604"/>
  </r>
  <r>
    <x v="13"/>
    <x v="2"/>
    <x v="3"/>
    <n v="29"/>
    <n v="194.51887903105199"/>
    <n v="1604"/>
  </r>
  <r>
    <x v="13"/>
    <x v="4"/>
    <x v="3"/>
    <n v="29"/>
    <n v="194.51887903105199"/>
    <n v="1604"/>
  </r>
  <r>
    <x v="13"/>
    <x v="3"/>
    <x v="3"/>
    <n v="29"/>
    <n v="194.51887903105199"/>
    <n v="1604"/>
  </r>
  <r>
    <x v="13"/>
    <x v="1"/>
    <x v="5"/>
    <n v="10.641486167907701"/>
    <n v="69.440762730760596"/>
    <n v="1604"/>
  </r>
  <r>
    <x v="13"/>
    <x v="0"/>
    <x v="5"/>
    <n v="10.641486167907701"/>
    <n v="69.440762730760596"/>
    <n v="1604"/>
  </r>
  <r>
    <x v="13"/>
    <x v="2"/>
    <x v="5"/>
    <n v="10.641486167907701"/>
    <n v="69.440762730760596"/>
    <n v="1604"/>
  </r>
  <r>
    <x v="13"/>
    <x v="4"/>
    <x v="5"/>
    <n v="10.641486167907701"/>
    <n v="69.440762730760596"/>
    <n v="1604"/>
  </r>
  <r>
    <x v="13"/>
    <x v="3"/>
    <x v="5"/>
    <n v="10.641486167907701"/>
    <n v="69.440762730760596"/>
    <n v="1604"/>
  </r>
  <r>
    <x v="0"/>
    <x v="0"/>
    <x v="13"/>
    <n v="158.15124511718699"/>
    <n v="608.93440033020499"/>
    <n v="1159.54602050781"/>
  </r>
  <r>
    <x v="10"/>
    <x v="2"/>
    <x v="3"/>
    <n v="29"/>
    <n v="214.140888185362"/>
    <n v="973.200927734375"/>
  </r>
  <r>
    <x v="10"/>
    <x v="0"/>
    <x v="3"/>
    <n v="29"/>
    <n v="214.140888185362"/>
    <n v="973.200927734375"/>
  </r>
  <r>
    <x v="10"/>
    <x v="3"/>
    <x v="3"/>
    <n v="29"/>
    <n v="214.140888185362"/>
    <n v="973.200927734375"/>
  </r>
  <r>
    <x v="10"/>
    <x v="4"/>
    <x v="3"/>
    <n v="29"/>
    <n v="214.140888185362"/>
    <n v="973.200927734375"/>
  </r>
  <r>
    <x v="10"/>
    <x v="1"/>
    <x v="3"/>
    <n v="29"/>
    <n v="214.140888185362"/>
    <n v="973.200927734375"/>
  </r>
  <r>
    <x v="13"/>
    <x v="1"/>
    <x v="9"/>
    <n v="1"/>
    <n v="97.479642338152402"/>
    <n v="1604"/>
  </r>
  <r>
    <x v="13"/>
    <x v="0"/>
    <x v="9"/>
    <n v="1"/>
    <n v="97.479642338152402"/>
    <n v="1604"/>
  </r>
  <r>
    <x v="13"/>
    <x v="2"/>
    <x v="9"/>
    <n v="1"/>
    <n v="97.479642338152402"/>
    <n v="1604"/>
  </r>
  <r>
    <x v="13"/>
    <x v="4"/>
    <x v="9"/>
    <n v="1"/>
    <n v="97.479642338152402"/>
    <n v="1604"/>
  </r>
  <r>
    <x v="13"/>
    <x v="3"/>
    <x v="9"/>
    <n v="1"/>
    <n v="97.479642338152402"/>
    <n v="1604"/>
  </r>
  <r>
    <x v="12"/>
    <x v="3"/>
    <x v="1"/>
    <n v="46"/>
    <n v="370.56127719367498"/>
    <n v="1638.5"/>
  </r>
  <r>
    <x v="12"/>
    <x v="2"/>
    <x v="1"/>
    <n v="46"/>
    <n v="370.56127719367498"/>
    <n v="1638.5"/>
  </r>
  <r>
    <x v="12"/>
    <x v="0"/>
    <x v="1"/>
    <n v="46"/>
    <n v="370.56127719367498"/>
    <n v="1638.5"/>
  </r>
  <r>
    <x v="12"/>
    <x v="1"/>
    <x v="1"/>
    <n v="46"/>
    <n v="370.56127719367498"/>
    <n v="1638.5"/>
  </r>
  <r>
    <x v="12"/>
    <x v="4"/>
    <x v="1"/>
    <n v="46"/>
    <n v="370.56127719367498"/>
    <n v="1638.5"/>
  </r>
  <r>
    <x v="7"/>
    <x v="1"/>
    <x v="9"/>
    <n v="4.9567809104919398"/>
    <n v="72.240288071014902"/>
    <n v="2039.04309082031"/>
  </r>
  <r>
    <x v="7"/>
    <x v="4"/>
    <x v="9"/>
    <n v="4.9567809104919398"/>
    <n v="72.240288071014902"/>
    <n v="2039.04309082031"/>
  </r>
  <r>
    <x v="7"/>
    <x v="0"/>
    <x v="9"/>
    <n v="4.9567809104919398"/>
    <n v="72.240288071014902"/>
    <n v="2039.04309082031"/>
  </r>
  <r>
    <x v="7"/>
    <x v="3"/>
    <x v="9"/>
    <n v="4.9567809104919398"/>
    <n v="72.240288071014902"/>
    <n v="2039.04309082031"/>
  </r>
  <r>
    <x v="7"/>
    <x v="2"/>
    <x v="9"/>
    <n v="4.9567809104919398"/>
    <n v="72.240288071014902"/>
    <n v="2039.04309082031"/>
  </r>
  <r>
    <x v="3"/>
    <x v="0"/>
    <x v="11"/>
    <n v="8"/>
    <n v="113.650645287439"/>
    <n v="1020.5640258789"/>
  </r>
  <r>
    <x v="3"/>
    <x v="2"/>
    <x v="11"/>
    <n v="8"/>
    <n v="113.650645287439"/>
    <n v="1020.5640258789"/>
  </r>
  <r>
    <x v="3"/>
    <x v="4"/>
    <x v="11"/>
    <n v="8"/>
    <n v="113.650645287439"/>
    <n v="1020.5640258789"/>
  </r>
  <r>
    <x v="3"/>
    <x v="3"/>
    <x v="11"/>
    <n v="8"/>
    <n v="113.650645287439"/>
    <n v="1020.5640258789"/>
  </r>
  <r>
    <x v="3"/>
    <x v="1"/>
    <x v="11"/>
    <n v="8"/>
    <n v="113.650645287439"/>
    <n v="1020.5640258789"/>
  </r>
  <r>
    <x v="9"/>
    <x v="1"/>
    <x v="6"/>
    <n v="57.25"/>
    <n v="610.16218429303399"/>
    <n v="2617"/>
  </r>
  <r>
    <x v="9"/>
    <x v="4"/>
    <x v="6"/>
    <n v="57.25"/>
    <n v="610.16218429303399"/>
    <n v="2617"/>
  </r>
  <r>
    <x v="9"/>
    <x v="0"/>
    <x v="6"/>
    <n v="57.25"/>
    <n v="610.16218429303399"/>
    <n v="2617"/>
  </r>
  <r>
    <x v="9"/>
    <x v="3"/>
    <x v="6"/>
    <n v="57.25"/>
    <n v="610.16218429303399"/>
    <n v="2617"/>
  </r>
  <r>
    <x v="9"/>
    <x v="2"/>
    <x v="6"/>
    <n v="57.25"/>
    <n v="610.16218429303399"/>
    <n v="2617"/>
  </r>
  <r>
    <x v="1"/>
    <x v="1"/>
    <x v="13"/>
    <n v="37"/>
    <n v="283.61080014297897"/>
    <n v="1169.5"/>
  </r>
  <r>
    <x v="1"/>
    <x v="0"/>
    <x v="13"/>
    <n v="37"/>
    <n v="283.61080014297897"/>
    <n v="1169.5"/>
  </r>
  <r>
    <x v="1"/>
    <x v="2"/>
    <x v="13"/>
    <n v="37"/>
    <n v="283.61080014297897"/>
    <n v="1169.5"/>
  </r>
  <r>
    <x v="1"/>
    <x v="3"/>
    <x v="13"/>
    <n v="37"/>
    <n v="283.61080014297897"/>
    <n v="1169.5"/>
  </r>
  <r>
    <x v="1"/>
    <x v="4"/>
    <x v="13"/>
    <n v="37"/>
    <n v="283.61080014297897"/>
    <n v="1169.5"/>
  </r>
  <r>
    <x v="13"/>
    <x v="1"/>
    <x v="6"/>
    <n v="58"/>
    <n v="531.18064533721702"/>
    <n v="2639"/>
  </r>
  <r>
    <x v="13"/>
    <x v="0"/>
    <x v="6"/>
    <n v="58"/>
    <n v="531.18064533721702"/>
    <n v="2639"/>
  </r>
  <r>
    <x v="13"/>
    <x v="2"/>
    <x v="6"/>
    <n v="58"/>
    <n v="531.18064533721702"/>
    <n v="2639"/>
  </r>
  <r>
    <x v="13"/>
    <x v="4"/>
    <x v="6"/>
    <n v="58"/>
    <n v="531.18064533721702"/>
    <n v="2639"/>
  </r>
  <r>
    <x v="13"/>
    <x v="3"/>
    <x v="6"/>
    <n v="58"/>
    <n v="531.18064533721702"/>
    <n v="2639"/>
  </r>
  <r>
    <x v="9"/>
    <x v="1"/>
    <x v="10"/>
    <n v="59.5"/>
    <n v="800.15201723287305"/>
    <n v="4503"/>
  </r>
  <r>
    <x v="9"/>
    <x v="4"/>
    <x v="10"/>
    <n v="59.5"/>
    <n v="800.15201723287305"/>
    <n v="4503"/>
  </r>
  <r>
    <x v="9"/>
    <x v="0"/>
    <x v="10"/>
    <n v="59.5"/>
    <n v="800.15201723287305"/>
    <n v="4503"/>
  </r>
  <r>
    <x v="9"/>
    <x v="3"/>
    <x v="10"/>
    <n v="59.5"/>
    <n v="800.15201723287305"/>
    <n v="4503"/>
  </r>
  <r>
    <x v="9"/>
    <x v="2"/>
    <x v="10"/>
    <n v="59.5"/>
    <n v="800.15201723287305"/>
    <n v="4503"/>
  </r>
  <r>
    <x v="5"/>
    <x v="2"/>
    <x v="13"/>
    <n v="37"/>
    <n v="261.35142227166301"/>
    <n v="2323.99438476562"/>
  </r>
  <r>
    <x v="5"/>
    <x v="0"/>
    <x v="13"/>
    <n v="37"/>
    <n v="261.35142227166301"/>
    <n v="2323.99438476562"/>
  </r>
  <r>
    <x v="5"/>
    <x v="1"/>
    <x v="13"/>
    <n v="37"/>
    <n v="261.35142227166301"/>
    <n v="2323.99438476562"/>
  </r>
  <r>
    <x v="5"/>
    <x v="3"/>
    <x v="13"/>
    <n v="37"/>
    <n v="261.35142227166301"/>
    <n v="2323.99438476562"/>
  </r>
  <r>
    <x v="5"/>
    <x v="4"/>
    <x v="13"/>
    <n v="37"/>
    <n v="261.35142227166301"/>
    <n v="2323.99438476562"/>
  </r>
  <r>
    <x v="8"/>
    <x v="4"/>
    <x v="12"/>
    <n v="50.178787231445298"/>
    <n v="297.35591036667199"/>
    <n v="1420"/>
  </r>
  <r>
    <x v="8"/>
    <x v="0"/>
    <x v="12"/>
    <n v="50.178787231445298"/>
    <n v="297.35591036667199"/>
    <n v="1420"/>
  </r>
  <r>
    <x v="8"/>
    <x v="3"/>
    <x v="12"/>
    <n v="50.178787231445298"/>
    <n v="297.35591036667199"/>
    <n v="1420"/>
  </r>
  <r>
    <x v="8"/>
    <x v="1"/>
    <x v="12"/>
    <n v="50.178787231445298"/>
    <n v="297.35591036667199"/>
    <n v="1420"/>
  </r>
  <r>
    <x v="8"/>
    <x v="2"/>
    <x v="12"/>
    <n v="50.178787231445298"/>
    <n v="297.35591036667199"/>
    <n v="1420"/>
  </r>
  <r>
    <x v="8"/>
    <x v="4"/>
    <x v="5"/>
    <n v="10.641486167907701"/>
    <n v="72.593713891102695"/>
    <n v="1017.0909118652301"/>
  </r>
  <r>
    <x v="8"/>
    <x v="0"/>
    <x v="5"/>
    <n v="10.641486167907701"/>
    <n v="72.593713891102695"/>
    <n v="1017.0909118652301"/>
  </r>
  <r>
    <x v="8"/>
    <x v="3"/>
    <x v="5"/>
    <n v="10.641486167907701"/>
    <n v="72.593713891102695"/>
    <n v="1017.0909118652301"/>
  </r>
  <r>
    <x v="8"/>
    <x v="1"/>
    <x v="5"/>
    <n v="10.641486167907701"/>
    <n v="72.593713891102695"/>
    <n v="1017.0909118652301"/>
  </r>
  <r>
    <x v="8"/>
    <x v="2"/>
    <x v="5"/>
    <n v="10.641486167907701"/>
    <n v="72.593713891102695"/>
    <n v="1017.0909118652301"/>
  </r>
  <r>
    <x v="4"/>
    <x v="2"/>
    <x v="2"/>
    <n v="20.6301956176757"/>
    <n v="171.943329986555"/>
    <n v="1577.64282226562"/>
  </r>
  <r>
    <x v="4"/>
    <x v="4"/>
    <x v="2"/>
    <n v="20.6301956176757"/>
    <n v="171.943329986555"/>
    <n v="1577.64282226562"/>
  </r>
  <r>
    <x v="4"/>
    <x v="0"/>
    <x v="2"/>
    <n v="20.6301956176757"/>
    <n v="171.943329986555"/>
    <n v="1577.64282226562"/>
  </r>
  <r>
    <x v="4"/>
    <x v="3"/>
    <x v="2"/>
    <n v="20.6301956176757"/>
    <n v="171.943329986555"/>
    <n v="1577.64282226562"/>
  </r>
  <r>
    <x v="4"/>
    <x v="1"/>
    <x v="2"/>
    <n v="20.6301956176757"/>
    <n v="171.943329986555"/>
    <n v="1577.64282226562"/>
  </r>
  <r>
    <x v="3"/>
    <x v="0"/>
    <x v="8"/>
    <n v="52"/>
    <n v="466.825255565205"/>
    <n v="2080"/>
  </r>
  <r>
    <x v="3"/>
    <x v="2"/>
    <x v="8"/>
    <n v="52"/>
    <n v="466.825255565205"/>
    <n v="2080"/>
  </r>
  <r>
    <x v="3"/>
    <x v="4"/>
    <x v="8"/>
    <n v="52"/>
    <n v="466.825255565205"/>
    <n v="2080"/>
  </r>
  <r>
    <x v="3"/>
    <x v="3"/>
    <x v="8"/>
    <n v="52"/>
    <n v="466.825255565205"/>
    <n v="2080"/>
  </r>
  <r>
    <x v="3"/>
    <x v="1"/>
    <x v="8"/>
    <n v="52"/>
    <n v="466.825255565205"/>
    <n v="2080"/>
  </r>
  <r>
    <x v="12"/>
    <x v="3"/>
    <x v="0"/>
    <n v="33"/>
    <n v="232.67695187048199"/>
    <n v="1164"/>
  </r>
  <r>
    <x v="12"/>
    <x v="2"/>
    <x v="0"/>
    <n v="33"/>
    <n v="232.67695187048199"/>
    <n v="1164"/>
  </r>
  <r>
    <x v="12"/>
    <x v="0"/>
    <x v="0"/>
    <n v="33"/>
    <n v="232.67695187048199"/>
    <n v="1164"/>
  </r>
  <r>
    <x v="12"/>
    <x v="1"/>
    <x v="0"/>
    <n v="33"/>
    <n v="232.67695187048199"/>
    <n v="1164"/>
  </r>
  <r>
    <x v="12"/>
    <x v="4"/>
    <x v="0"/>
    <n v="33"/>
    <n v="232.67695187048199"/>
    <n v="1164"/>
  </r>
  <r>
    <x v="4"/>
    <x v="2"/>
    <x v="13"/>
    <n v="37"/>
    <n v="280.105848918937"/>
    <n v="2426.31225585937"/>
  </r>
  <r>
    <x v="4"/>
    <x v="4"/>
    <x v="13"/>
    <n v="37"/>
    <n v="280.105848918937"/>
    <n v="2426.31225585937"/>
  </r>
  <r>
    <x v="4"/>
    <x v="0"/>
    <x v="13"/>
    <n v="37"/>
    <n v="280.105848918937"/>
    <n v="2426.31225585937"/>
  </r>
  <r>
    <x v="4"/>
    <x v="3"/>
    <x v="13"/>
    <n v="37"/>
    <n v="280.105848918937"/>
    <n v="2426.31225585937"/>
  </r>
  <r>
    <x v="4"/>
    <x v="1"/>
    <x v="13"/>
    <n v="37"/>
    <n v="280.105848918937"/>
    <n v="2426.31225585937"/>
  </r>
  <r>
    <x v="13"/>
    <x v="1"/>
    <x v="1"/>
    <n v="46"/>
    <n v="349.57640692257399"/>
    <n v="1611.09338378906"/>
  </r>
  <r>
    <x v="13"/>
    <x v="0"/>
    <x v="1"/>
    <n v="46"/>
    <n v="349.57640692257399"/>
    <n v="1611.09338378906"/>
  </r>
  <r>
    <x v="13"/>
    <x v="2"/>
    <x v="1"/>
    <n v="46"/>
    <n v="349.57640692257399"/>
    <n v="1611.09338378906"/>
  </r>
  <r>
    <x v="13"/>
    <x v="4"/>
    <x v="1"/>
    <n v="46"/>
    <n v="349.57640692257399"/>
    <n v="1611.09338378906"/>
  </r>
  <r>
    <x v="13"/>
    <x v="3"/>
    <x v="1"/>
    <n v="46"/>
    <n v="349.57640692257399"/>
    <n v="1611.09338378906"/>
  </r>
  <r>
    <x v="12"/>
    <x v="3"/>
    <x v="5"/>
    <n v="11.449758529663001"/>
    <n v="64.355886437903195"/>
    <n v="1164"/>
  </r>
  <r>
    <x v="12"/>
    <x v="2"/>
    <x v="5"/>
    <n v="11.449758529663001"/>
    <n v="64.355886437903195"/>
    <n v="1164"/>
  </r>
  <r>
    <x v="12"/>
    <x v="0"/>
    <x v="5"/>
    <n v="11.449758529663001"/>
    <n v="64.355886437903195"/>
    <n v="1164"/>
  </r>
  <r>
    <x v="12"/>
    <x v="1"/>
    <x v="5"/>
    <n v="11.449758529663001"/>
    <n v="64.355886437903195"/>
    <n v="1164"/>
  </r>
  <r>
    <x v="12"/>
    <x v="4"/>
    <x v="5"/>
    <n v="11.449758529663001"/>
    <n v="64.355886437903195"/>
    <n v="1164"/>
  </r>
  <r>
    <x v="8"/>
    <x v="4"/>
    <x v="3"/>
    <n v="31.506893157958899"/>
    <n v="207.331410613835"/>
    <n v="1335"/>
  </r>
  <r>
    <x v="8"/>
    <x v="0"/>
    <x v="3"/>
    <n v="31.506893157958899"/>
    <n v="207.331410613835"/>
    <n v="1335"/>
  </r>
  <r>
    <x v="8"/>
    <x v="3"/>
    <x v="3"/>
    <n v="31.506893157958899"/>
    <n v="207.331410613835"/>
    <n v="1335"/>
  </r>
  <r>
    <x v="8"/>
    <x v="1"/>
    <x v="3"/>
    <n v="31.506893157958899"/>
    <n v="207.331410613835"/>
    <n v="1335"/>
  </r>
  <r>
    <x v="8"/>
    <x v="2"/>
    <x v="3"/>
    <n v="31.506893157958899"/>
    <n v="207.331410613835"/>
    <n v="1335"/>
  </r>
  <r>
    <x v="15"/>
    <x v="3"/>
    <x v="8"/>
    <n v="52"/>
    <n v="474.363395075016"/>
    <n v="2080"/>
  </r>
  <r>
    <x v="15"/>
    <x v="1"/>
    <x v="8"/>
    <n v="52"/>
    <n v="474.363395075016"/>
    <n v="2080"/>
  </r>
  <r>
    <x v="15"/>
    <x v="4"/>
    <x v="8"/>
    <n v="52"/>
    <n v="474.363395075016"/>
    <n v="2080"/>
  </r>
  <r>
    <x v="15"/>
    <x v="0"/>
    <x v="8"/>
    <n v="52"/>
    <n v="474.363395075016"/>
    <n v="2080"/>
  </r>
  <r>
    <x v="15"/>
    <x v="2"/>
    <x v="8"/>
    <n v="52"/>
    <n v="474.363395075016"/>
    <n v="2080"/>
  </r>
  <r>
    <x v="9"/>
    <x v="1"/>
    <x v="3"/>
    <n v="29"/>
    <n v="238.82772633760601"/>
    <n v="1972.16784667968"/>
  </r>
  <r>
    <x v="9"/>
    <x v="4"/>
    <x v="3"/>
    <n v="29"/>
    <n v="238.82772633760601"/>
    <n v="1972.16784667968"/>
  </r>
  <r>
    <x v="9"/>
    <x v="0"/>
    <x v="3"/>
    <n v="29"/>
    <n v="238.82772633760601"/>
    <n v="1972.16784667968"/>
  </r>
  <r>
    <x v="9"/>
    <x v="3"/>
    <x v="3"/>
    <n v="29"/>
    <n v="238.82772633760601"/>
    <n v="1972.16784667968"/>
  </r>
  <r>
    <x v="9"/>
    <x v="2"/>
    <x v="3"/>
    <n v="29"/>
    <n v="238.82772633760601"/>
    <n v="1972.16784667968"/>
  </r>
  <r>
    <x v="10"/>
    <x v="2"/>
    <x v="0"/>
    <n v="33"/>
    <n v="243.933982209997"/>
    <n v="1056.26062011718"/>
  </r>
  <r>
    <x v="10"/>
    <x v="0"/>
    <x v="0"/>
    <n v="33"/>
    <n v="243.933982209997"/>
    <n v="1056.26062011718"/>
  </r>
  <r>
    <x v="10"/>
    <x v="3"/>
    <x v="0"/>
    <n v="33"/>
    <n v="243.933982209997"/>
    <n v="1056.26062011718"/>
  </r>
  <r>
    <x v="10"/>
    <x v="4"/>
    <x v="0"/>
    <n v="33"/>
    <n v="243.933982209997"/>
    <n v="1056.26062011718"/>
  </r>
  <r>
    <x v="10"/>
    <x v="1"/>
    <x v="0"/>
    <n v="33"/>
    <n v="243.933982209997"/>
    <n v="1056.26062011718"/>
  </r>
  <r>
    <x v="12"/>
    <x v="3"/>
    <x v="13"/>
    <n v="37"/>
    <n v="268.68522792992098"/>
    <n v="1236"/>
  </r>
  <r>
    <x v="12"/>
    <x v="2"/>
    <x v="13"/>
    <n v="37"/>
    <n v="268.68522792992098"/>
    <n v="1236"/>
  </r>
  <r>
    <x v="12"/>
    <x v="0"/>
    <x v="13"/>
    <n v="37"/>
    <n v="268.68522792992098"/>
    <n v="1236"/>
  </r>
  <r>
    <x v="12"/>
    <x v="1"/>
    <x v="13"/>
    <n v="37"/>
    <n v="268.68522792992098"/>
    <n v="1236"/>
  </r>
  <r>
    <x v="12"/>
    <x v="4"/>
    <x v="13"/>
    <n v="37"/>
    <n v="268.68522792992098"/>
    <n v="1236"/>
  </r>
  <r>
    <x v="0"/>
    <x v="0"/>
    <x v="5"/>
    <n v="79.882518768310504"/>
    <n v="309.67435722885898"/>
    <n v="553.32908121744697"/>
  </r>
  <r>
    <x v="5"/>
    <x v="2"/>
    <x v="9"/>
    <n v="1"/>
    <n v="96.002566327166406"/>
    <n v="895"/>
  </r>
  <r>
    <x v="5"/>
    <x v="0"/>
    <x v="9"/>
    <n v="1"/>
    <n v="96.002566327166406"/>
    <n v="895"/>
  </r>
  <r>
    <x v="5"/>
    <x v="1"/>
    <x v="9"/>
    <n v="1"/>
    <n v="96.002566327166406"/>
    <n v="895"/>
  </r>
  <r>
    <x v="5"/>
    <x v="3"/>
    <x v="9"/>
    <n v="1"/>
    <n v="96.002566327166406"/>
    <n v="895"/>
  </r>
  <r>
    <x v="5"/>
    <x v="4"/>
    <x v="9"/>
    <n v="1"/>
    <n v="96.002566327166406"/>
    <n v="895"/>
  </r>
  <r>
    <x v="13"/>
    <x v="1"/>
    <x v="0"/>
    <n v="33"/>
    <n v="222.46183162582"/>
    <n v="1604"/>
  </r>
  <r>
    <x v="13"/>
    <x v="0"/>
    <x v="0"/>
    <n v="33"/>
    <n v="222.46183162582"/>
    <n v="1604"/>
  </r>
  <r>
    <x v="13"/>
    <x v="2"/>
    <x v="0"/>
    <n v="33"/>
    <n v="222.46183162582"/>
    <n v="1604"/>
  </r>
  <r>
    <x v="13"/>
    <x v="4"/>
    <x v="0"/>
    <n v="33"/>
    <n v="222.46183162582"/>
    <n v="1604"/>
  </r>
  <r>
    <x v="13"/>
    <x v="3"/>
    <x v="0"/>
    <n v="33"/>
    <n v="222.46183162582"/>
    <n v="1604"/>
  </r>
  <r>
    <x v="8"/>
    <x v="4"/>
    <x v="6"/>
    <n v="68.985083770751899"/>
    <n v="531.77385233994096"/>
    <n v="2639"/>
  </r>
  <r>
    <x v="8"/>
    <x v="0"/>
    <x v="6"/>
    <n v="68.985083770751899"/>
    <n v="531.77385233994096"/>
    <n v="2639"/>
  </r>
  <r>
    <x v="8"/>
    <x v="3"/>
    <x v="6"/>
    <n v="68.985083770751899"/>
    <n v="531.77385233994096"/>
    <n v="2639"/>
  </r>
  <r>
    <x v="8"/>
    <x v="1"/>
    <x v="6"/>
    <n v="68.985083770751899"/>
    <n v="531.77385233994096"/>
    <n v="2639"/>
  </r>
  <r>
    <x v="8"/>
    <x v="2"/>
    <x v="6"/>
    <n v="68.985083770751899"/>
    <n v="531.77385233994096"/>
    <n v="2639"/>
  </r>
  <r>
    <x v="5"/>
    <x v="2"/>
    <x v="8"/>
    <n v="52"/>
    <n v="433.15203716660102"/>
    <n v="3052.908203125"/>
  </r>
  <r>
    <x v="5"/>
    <x v="0"/>
    <x v="8"/>
    <n v="52"/>
    <n v="433.15203716660102"/>
    <n v="3052.908203125"/>
  </r>
  <r>
    <x v="5"/>
    <x v="1"/>
    <x v="8"/>
    <n v="52"/>
    <n v="433.15203716660102"/>
    <n v="3052.908203125"/>
  </r>
  <r>
    <x v="5"/>
    <x v="3"/>
    <x v="8"/>
    <n v="52"/>
    <n v="433.15203716660102"/>
    <n v="3052.908203125"/>
  </r>
  <r>
    <x v="5"/>
    <x v="4"/>
    <x v="8"/>
    <n v="52"/>
    <n v="433.15203716660102"/>
    <n v="3052.908203125"/>
  </r>
  <r>
    <x v="8"/>
    <x v="4"/>
    <x v="13"/>
    <n v="44.0164794921875"/>
    <n v="258.74918626825098"/>
    <n v="1415"/>
  </r>
  <r>
    <x v="8"/>
    <x v="0"/>
    <x v="13"/>
    <n v="44.0164794921875"/>
    <n v="258.74918626825098"/>
    <n v="1415"/>
  </r>
  <r>
    <x v="8"/>
    <x v="3"/>
    <x v="13"/>
    <n v="44.0164794921875"/>
    <n v="258.74918626825098"/>
    <n v="1415"/>
  </r>
  <r>
    <x v="8"/>
    <x v="1"/>
    <x v="13"/>
    <n v="44.0164794921875"/>
    <n v="258.74918626825098"/>
    <n v="1415"/>
  </r>
  <r>
    <x v="8"/>
    <x v="2"/>
    <x v="13"/>
    <n v="44.0164794921875"/>
    <n v="258.74918626825098"/>
    <n v="1415"/>
  </r>
  <r>
    <x v="15"/>
    <x v="3"/>
    <x v="7"/>
    <n v="16.045707702636701"/>
    <n v="162.69436427873799"/>
    <n v="780"/>
  </r>
  <r>
    <x v="15"/>
    <x v="1"/>
    <x v="7"/>
    <n v="16.045707702636701"/>
    <n v="162.69436427873799"/>
    <n v="780"/>
  </r>
  <r>
    <x v="15"/>
    <x v="4"/>
    <x v="7"/>
    <n v="16.045707702636701"/>
    <n v="162.69436427873799"/>
    <n v="780"/>
  </r>
  <r>
    <x v="15"/>
    <x v="0"/>
    <x v="7"/>
    <n v="16.045707702636701"/>
    <n v="162.69436427873799"/>
    <n v="780"/>
  </r>
  <r>
    <x v="15"/>
    <x v="2"/>
    <x v="7"/>
    <n v="16.045707702636701"/>
    <n v="162.69436427873799"/>
    <n v="7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8E6642-C765-A148-8AE2-079E1BF004C5}" name="PivotTable1" cacheId="32" dataOnRows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>
  <location ref="A3:B53" firstHeaderRow="1" firstDataRow="1" firstDataCol="1"/>
  <pivotFields count="6">
    <pivotField axis="axisRow" showAll="0">
      <items count="17">
        <item x="11"/>
        <item x="8"/>
        <item x="13"/>
        <item x="5"/>
        <item x="2"/>
        <item x="4"/>
        <item x="3"/>
        <item x="9"/>
        <item x="15"/>
        <item x="1"/>
        <item x="10"/>
        <item x="12"/>
        <item x="7"/>
        <item x="6"/>
        <item x="14"/>
        <item x="0"/>
        <item t="default"/>
      </items>
    </pivotField>
    <pivotField dataField="1" showAll="0">
      <items count="6">
        <item x="4"/>
        <item x="3"/>
        <item x="2"/>
        <item x="0"/>
        <item x="1"/>
        <item t="default"/>
      </items>
    </pivotField>
    <pivotField showAll="0"/>
    <pivotField showAll="0"/>
    <pivotField dataField="1" showAll="0">
      <items count="152">
        <item x="71"/>
        <item x="105"/>
        <item x="139"/>
        <item x="45"/>
        <item x="26"/>
        <item x="68"/>
        <item x="6"/>
        <item x="81"/>
        <item x="46"/>
        <item x="23"/>
        <item x="27"/>
        <item x="142"/>
        <item x="130"/>
        <item x="83"/>
        <item x="52"/>
        <item x="87"/>
        <item x="141"/>
        <item x="17"/>
        <item x="127"/>
        <item x="144"/>
        <item x="74"/>
        <item x="126"/>
        <item x="72"/>
        <item x="62"/>
        <item x="150"/>
        <item x="104"/>
        <item x="110"/>
        <item x="19"/>
        <item x="128"/>
        <item x="75"/>
        <item x="15"/>
        <item x="14"/>
        <item x="82"/>
        <item x="35"/>
        <item x="12"/>
        <item x="42"/>
        <item x="137"/>
        <item x="36"/>
        <item x="44"/>
        <item x="113"/>
        <item x="118"/>
        <item x="148"/>
        <item x="4"/>
        <item x="28"/>
        <item x="108"/>
        <item x="49"/>
        <item x="140"/>
        <item x="55"/>
        <item x="116"/>
        <item x="34"/>
        <item x="101"/>
        <item x="124"/>
        <item x="97"/>
        <item x="91"/>
        <item x="70"/>
        <item x="135"/>
        <item x="25"/>
        <item x="5"/>
        <item x="94"/>
        <item x="54"/>
        <item x="111"/>
        <item x="56"/>
        <item x="114"/>
        <item x="30"/>
        <item x="131"/>
        <item x="16"/>
        <item x="89"/>
        <item x="3"/>
        <item x="107"/>
        <item x="77"/>
        <item x="84"/>
        <item x="59"/>
        <item x="67"/>
        <item x="32"/>
        <item x="136"/>
        <item x="102"/>
        <item x="22"/>
        <item x="50"/>
        <item x="64"/>
        <item x="106"/>
        <item x="8"/>
        <item x="147"/>
        <item x="76"/>
        <item x="115"/>
        <item x="146"/>
        <item x="134"/>
        <item x="85"/>
        <item x="121"/>
        <item x="40"/>
        <item x="129"/>
        <item x="103"/>
        <item x="73"/>
        <item x="38"/>
        <item x="58"/>
        <item x="63"/>
        <item x="143"/>
        <item x="61"/>
        <item x="51"/>
        <item x="66"/>
        <item x="95"/>
        <item x="119"/>
        <item x="79"/>
        <item x="117"/>
        <item x="123"/>
        <item x="60"/>
        <item x="33"/>
        <item x="109"/>
        <item x="132"/>
        <item x="88"/>
        <item x="9"/>
        <item x="138"/>
        <item x="100"/>
        <item x="24"/>
        <item x="10"/>
        <item x="98"/>
        <item x="149"/>
        <item x="93"/>
        <item x="80"/>
        <item x="125"/>
        <item x="2"/>
        <item x="90"/>
        <item x="92"/>
        <item x="122"/>
        <item x="39"/>
        <item x="65"/>
        <item x="20"/>
        <item x="86"/>
        <item x="47"/>
        <item x="99"/>
        <item x="11"/>
        <item x="31"/>
        <item x="7"/>
        <item x="0"/>
        <item x="29"/>
        <item x="96"/>
        <item x="37"/>
        <item x="21"/>
        <item x="78"/>
        <item x="69"/>
        <item x="53"/>
        <item x="13"/>
        <item x="145"/>
        <item x="41"/>
        <item x="120"/>
        <item x="133"/>
        <item x="18"/>
        <item x="57"/>
        <item x="48"/>
        <item x="1"/>
        <item x="43"/>
        <item x="112"/>
        <item t="default"/>
      </items>
    </pivotField>
    <pivotField showAll="0"/>
  </pivotFields>
  <rowFields count="2">
    <field x="0"/>
    <field x="-2"/>
  </rowFields>
  <rowItems count="50">
    <i>
      <x/>
    </i>
    <i r="1">
      <x/>
    </i>
    <i r="1" i="1">
      <x v="1"/>
    </i>
    <i>
      <x v="1"/>
    </i>
    <i r="1">
      <x/>
    </i>
    <i r="1" i="1">
      <x v="1"/>
    </i>
    <i>
      <x v="2"/>
    </i>
    <i r="1">
      <x/>
    </i>
    <i r="1" i="1">
      <x v="1"/>
    </i>
    <i>
      <x v="3"/>
    </i>
    <i r="1">
      <x/>
    </i>
    <i r="1" i="1">
      <x v="1"/>
    </i>
    <i>
      <x v="4"/>
    </i>
    <i r="1">
      <x/>
    </i>
    <i r="1" i="1">
      <x v="1"/>
    </i>
    <i>
      <x v="5"/>
    </i>
    <i r="1">
      <x/>
    </i>
    <i r="1" i="1">
      <x v="1"/>
    </i>
    <i>
      <x v="6"/>
    </i>
    <i r="1">
      <x/>
    </i>
    <i r="1" i="1">
      <x v="1"/>
    </i>
    <i>
      <x v="7"/>
    </i>
    <i r="1">
      <x/>
    </i>
    <i r="1" i="1">
      <x v="1"/>
    </i>
    <i>
      <x v="8"/>
    </i>
    <i r="1">
      <x/>
    </i>
    <i r="1" i="1">
      <x v="1"/>
    </i>
    <i>
      <x v="9"/>
    </i>
    <i r="1">
      <x/>
    </i>
    <i r="1" i="1">
      <x v="1"/>
    </i>
    <i>
      <x v="10"/>
    </i>
    <i r="1">
      <x/>
    </i>
    <i r="1" i="1">
      <x v="1"/>
    </i>
    <i>
      <x v="11"/>
    </i>
    <i r="1">
      <x/>
    </i>
    <i r="1" i="1">
      <x v="1"/>
    </i>
    <i>
      <x v="12"/>
    </i>
    <i r="1">
      <x/>
    </i>
    <i r="1" i="1">
      <x v="1"/>
    </i>
    <i>
      <x v="13"/>
    </i>
    <i r="1">
      <x/>
    </i>
    <i r="1" i="1">
      <x v="1"/>
    </i>
    <i>
      <x v="14"/>
    </i>
    <i r="1">
      <x/>
    </i>
    <i r="1" i="1">
      <x v="1"/>
    </i>
    <i>
      <x v="15"/>
    </i>
    <i r="1">
      <x/>
    </i>
    <i r="1" i="1">
      <x v="1"/>
    </i>
    <i t="grand">
      <x/>
    </i>
    <i t="grand" i="1">
      <x/>
    </i>
  </rowItems>
  <colItems count="1">
    <i/>
  </colItems>
  <dataFields count="2">
    <dataField name="Sum of bf_avg" fld="4" baseField="0" baseItem="0"/>
    <dataField name="Count of region" fld="1" subtotal="count" baseField="0" baseItem="0"/>
  </dataFields>
  <chartFormats count="3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1"/>
          </reference>
          <reference field="0" count="1" selected="0">
            <x v="9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1"/>
          </reference>
          <reference field="0" count="1" selected="0">
            <x v="10"/>
          </reference>
        </references>
      </pivotArea>
    </chartFormat>
    <chartFormat chart="0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0" format="24">
      <pivotArea type="data" outline="0" fieldPosition="0">
        <references count="2">
          <reference field="4294967294" count="1" selected="0">
            <x v="1"/>
          </reference>
          <reference field="0" count="1" selected="0">
            <x v="11"/>
          </reference>
        </references>
      </pivotArea>
    </chartFormat>
    <chartFormat chart="0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0" format="26">
      <pivotArea type="data" outline="0" fieldPosition="0">
        <references count="2">
          <reference field="4294967294" count="1" selected="0">
            <x v="1"/>
          </reference>
          <reference field="0" count="1" selected="0">
            <x v="12"/>
          </reference>
        </references>
      </pivotArea>
    </chartFormat>
    <chartFormat chart="0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0" format="28">
      <pivotArea type="data" outline="0" fieldPosition="0">
        <references count="2">
          <reference field="4294967294" count="1" selected="0">
            <x v="1"/>
          </reference>
          <reference field="0" count="1" selected="0">
            <x v="13"/>
          </reference>
        </references>
      </pivotArea>
    </chartFormat>
    <chartFormat chart="0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0" format="30">
      <pivotArea type="data" outline="0" fieldPosition="0">
        <references count="2">
          <reference field="4294967294" count="1" selected="0">
            <x v="1"/>
          </reference>
          <reference field="0" count="1" selected="0">
            <x v="14"/>
          </reference>
        </references>
      </pivotArea>
    </chartFormat>
    <chartFormat chart="0" format="31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0" format="32">
      <pivotArea type="data" outline="0" fieldPosition="0">
        <references count="2">
          <reference field="4294967294" count="1" selected="0">
            <x v="1"/>
          </reference>
          <reference field="0" count="1" selected="0">
            <x v="1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C09A17-55E3-864E-ADC3-85D26E7A864E}" name="PivotTable2" cacheId="3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9" firstHeaderRow="1" firstDataRow="1" firstDataCol="1"/>
  <pivotFields count="7">
    <pivotField showAll="0">
      <items count="12">
        <item x="8"/>
        <item x="5"/>
        <item x="2"/>
        <item x="4"/>
        <item x="3"/>
        <item x="9"/>
        <item x="1"/>
        <item x="10"/>
        <item x="7"/>
        <item x="6"/>
        <item x="0"/>
        <item t="default"/>
      </items>
    </pivotField>
    <pivotField axis="axisRow" showAll="0">
      <items count="6">
        <item x="4"/>
        <item x="3"/>
        <item x="2"/>
        <item x="0"/>
        <item x="1"/>
        <item t="default"/>
      </items>
    </pivotField>
    <pivotField showAll="0">
      <items count="13">
        <item x="9"/>
        <item x="6"/>
        <item x="5"/>
        <item x="8"/>
        <item x="1"/>
        <item x="2"/>
        <item x="11"/>
        <item x="7"/>
        <item x="4"/>
        <item x="0"/>
        <item x="3"/>
        <item x="10"/>
        <item t="default"/>
      </items>
    </pivotField>
    <pivotField showAll="0"/>
    <pivotField dataField="1"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bf_avg" fld="4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by regions" cacheId="39" applyNumberFormats="0" applyBorderFormats="0" applyFontFormats="0" applyPatternFormats="0" applyAlignmentFormats="0" applyWidthHeightFormats="0" dataCaption="" updatedVersion="7" compact="0" compactData="0">
  <location ref="A1:P8" firstHeaderRow="1" firstDataRow="2" firstDataCol="1"/>
  <pivotFields count="6">
    <pivotField name="dep_yearmo" compact="0" numFmtId="164" outline="0" multipleItemSelectionAllowed="1" showAll="0"/>
    <pivotField name="region" axis="axisRow" compact="0" outline="0" multipleItemSelectionAllowed="1" showAll="0" sortType="ascending">
      <items count="6">
        <item x="4"/>
        <item x="3"/>
        <item x="2"/>
        <item x="0"/>
        <item x="1"/>
        <item t="default"/>
      </items>
    </pivotField>
    <pivotField name="booking_class" axis="axisCol" compact="0" outline="0" multipleItemSelectionAllowed="1" showAll="0" sortType="ascending">
      <items count="15">
        <item x="9"/>
        <item x="6"/>
        <item x="5"/>
        <item x="8"/>
        <item x="1"/>
        <item x="13"/>
        <item x="12"/>
        <item x="2"/>
        <item x="11"/>
        <item x="7"/>
        <item x="4"/>
        <item x="0"/>
        <item x="3"/>
        <item x="10"/>
        <item t="default"/>
      </items>
    </pivotField>
    <pivotField name="bf_min" compact="0" outline="0" multipleItemSelectionAllowed="1" showAll="0"/>
    <pivotField name="bf_avg" dataField="1" compact="0" outline="0" multipleItemSelectionAllowed="1" showAll="0"/>
    <pivotField name="bf_max" compact="0" outline="0" multipleItemSelectionAllowe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dataFields count="1">
    <dataField name="AVERAGE of bf_avg" fld="4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overall" cacheId="39" applyNumberFormats="0" applyBorderFormats="0" applyFontFormats="0" applyPatternFormats="0" applyAlignmentFormats="0" applyWidthHeightFormats="0" dataCaption="" updatedVersion="7" compact="0" compactData="0">
  <location ref="A1:P19" firstHeaderRow="1" firstDataRow="2" firstDataCol="1"/>
  <pivotFields count="6">
    <pivotField name="dep_yearmo" axis="axisRow" compact="0" numFmtId="164" outline="0" multipleItemSelectionAllowed="1" showAll="0" sortType="ascending">
      <items count="17">
        <item x="11"/>
        <item x="8"/>
        <item x="13"/>
        <item x="5"/>
        <item x="2"/>
        <item x="4"/>
        <item x="3"/>
        <item x="9"/>
        <item x="15"/>
        <item x="1"/>
        <item x="10"/>
        <item x="12"/>
        <item x="7"/>
        <item x="6"/>
        <item x="14"/>
        <item x="0"/>
        <item t="default"/>
      </items>
    </pivotField>
    <pivotField name="region" compact="0" outline="0" multipleItemSelectionAllowed="1" showAll="0"/>
    <pivotField name="booking_class" axis="axisCol" compact="0" outline="0" multipleItemSelectionAllowed="1" showAll="0" sortType="ascending">
      <items count="15">
        <item x="9"/>
        <item x="6"/>
        <item x="5"/>
        <item x="8"/>
        <item x="1"/>
        <item x="13"/>
        <item x="12"/>
        <item x="2"/>
        <item x="11"/>
        <item x="7"/>
        <item x="4"/>
        <item x="0"/>
        <item x="3"/>
        <item x="10"/>
        <item t="default"/>
      </items>
    </pivotField>
    <pivotField name="bf_min" compact="0" outline="0" multipleItemSelectionAllowed="1" showAll="0"/>
    <pivotField name="bf_avg" dataField="1" compact="0" outline="0" multipleItemSelectionAllowed="1" showAll="0"/>
    <pivotField name="bf_max" compact="0" outline="0" multipleItemSelectionAllowed="1"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2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dataFields count="1">
    <dataField name="AVERAGE of bf_avg" fld="4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Domestic Brazil" cacheId="39" applyNumberFormats="0" applyBorderFormats="0" applyFontFormats="0" applyPatternFormats="0" applyAlignmentFormats="0" applyWidthHeightFormats="0" dataCaption="" updatedVersion="7" compact="0" compactData="0">
  <location ref="A3:P20" firstHeaderRow="1" firstDataRow="2" firstDataCol="1" rowPageCount="1" colPageCount="1"/>
  <pivotFields count="6">
    <pivotField name="dep_yearmo" axis="axisRow" compact="0" numFmtId="164" outline="0" multipleItemSelectionAllowed="1" showAll="0" sortType="ascending">
      <items count="17">
        <item x="11"/>
        <item x="8"/>
        <item x="13"/>
        <item x="5"/>
        <item x="2"/>
        <item x="4"/>
        <item x="3"/>
        <item x="9"/>
        <item x="15"/>
        <item x="1"/>
        <item x="10"/>
        <item x="12"/>
        <item x="7"/>
        <item x="6"/>
        <item x="14"/>
        <item x="0"/>
        <item t="default"/>
      </items>
    </pivotField>
    <pivotField name="region" axis="axisPage" compact="0" outline="0" multipleItemSelectionAllowed="1" showAll="0">
      <items count="6">
        <item h="1" x="0"/>
        <item h="1" x="1"/>
        <item h="1" x="2"/>
        <item h="1" x="3"/>
        <item x="4"/>
        <item t="default"/>
      </items>
    </pivotField>
    <pivotField name="booking_class" axis="axisCol" compact="0" outline="0" multipleItemSelectionAllowed="1" showAll="0" sortType="ascending">
      <items count="15">
        <item x="9"/>
        <item x="6"/>
        <item x="5"/>
        <item x="8"/>
        <item x="1"/>
        <item x="13"/>
        <item x="12"/>
        <item x="2"/>
        <item x="11"/>
        <item x="7"/>
        <item x="4"/>
        <item x="0"/>
        <item x="3"/>
        <item x="10"/>
        <item t="default"/>
      </items>
    </pivotField>
    <pivotField name="bf_min" compact="0" outline="0" multipleItemSelectionAllowed="1" showAll="0"/>
    <pivotField name="bf_avg" dataField="1" compact="0" outline="0" multipleItemSelectionAllowed="1" showAll="0"/>
    <pivotField name="bf_max" compact="0" outline="0" multipleItemSelectionAllowed="1"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2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pageFields count="1">
    <pageField fld="1" hier="0"/>
  </pageFields>
  <dataFields count="1">
    <dataField name="AVERAGE of bf_avg" fld="4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Long Haul" cacheId="39" applyNumberFormats="0" applyBorderFormats="0" applyFontFormats="0" applyPatternFormats="0" applyAlignmentFormats="0" applyWidthHeightFormats="0" dataCaption="" updatedVersion="7" compact="0" compactData="0">
  <location ref="A3:P20" firstHeaderRow="1" firstDataRow="2" firstDataCol="1" rowPageCount="1" colPageCount="1"/>
  <pivotFields count="6">
    <pivotField name="dep_yearmo" axis="axisRow" compact="0" numFmtId="164" outline="0" multipleItemSelectionAllowed="1" showAll="0" sortType="ascending">
      <items count="17">
        <item x="11"/>
        <item x="8"/>
        <item x="13"/>
        <item x="5"/>
        <item x="2"/>
        <item x="4"/>
        <item x="3"/>
        <item x="9"/>
        <item x="15"/>
        <item x="1"/>
        <item x="10"/>
        <item x="12"/>
        <item x="7"/>
        <item x="6"/>
        <item x="14"/>
        <item x="0"/>
        <item t="default"/>
      </items>
    </pivotField>
    <pivotField name="region" axis="axisPage" compact="0" outline="0" multipleItemSelectionAllowed="1" showAll="0">
      <items count="6">
        <item h="1" x="0"/>
        <item h="1" x="1"/>
        <item h="1" x="2"/>
        <item x="3"/>
        <item h="1" x="4"/>
        <item t="default"/>
      </items>
    </pivotField>
    <pivotField name="booking_class" axis="axisCol" compact="0" outline="0" multipleItemSelectionAllowed="1" showAll="0" sortType="ascending">
      <items count="15">
        <item x="9"/>
        <item x="6"/>
        <item x="5"/>
        <item x="8"/>
        <item x="1"/>
        <item x="13"/>
        <item x="12"/>
        <item x="2"/>
        <item x="11"/>
        <item x="7"/>
        <item x="4"/>
        <item x="0"/>
        <item x="3"/>
        <item x="10"/>
        <item t="default"/>
      </items>
    </pivotField>
    <pivotField name="bf_min" compact="0" outline="0" multipleItemSelectionAllowed="1" showAll="0"/>
    <pivotField name="bf_avg" dataField="1" compact="0" outline="0" multipleItemSelectionAllowed="1" showAll="0"/>
    <pivotField name="bf_max" compact="0" outline="0" multipleItemSelectionAllowed="1"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2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pageFields count="1">
    <pageField fld="1" hier="0"/>
  </pageFields>
  <dataFields count="1">
    <dataField name="AVERAGE of bf_avg" fld="4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NorthCone" cacheId="39" applyNumberFormats="0" applyBorderFormats="0" applyFontFormats="0" applyPatternFormats="0" applyAlignmentFormats="0" applyWidthHeightFormats="0" dataCaption="" updatedVersion="7" compact="0" compactData="0">
  <location ref="A3:P20" firstHeaderRow="1" firstDataRow="2" firstDataCol="1" rowPageCount="1" colPageCount="1"/>
  <pivotFields count="6">
    <pivotField name="dep_yearmo" axis="axisRow" compact="0" numFmtId="164" outline="0" multipleItemSelectionAllowed="1" showAll="0" sortType="ascending">
      <items count="17">
        <item x="11"/>
        <item x="8"/>
        <item x="13"/>
        <item x="5"/>
        <item x="2"/>
        <item x="4"/>
        <item x="3"/>
        <item x="9"/>
        <item x="15"/>
        <item x="1"/>
        <item x="10"/>
        <item x="12"/>
        <item x="7"/>
        <item x="6"/>
        <item x="14"/>
        <item x="0"/>
        <item t="default"/>
      </items>
    </pivotField>
    <pivotField name="region" axis="axisPage" compact="0" outline="0" multipleItemSelectionAllowed="1" showAll="0">
      <items count="6">
        <item h="1" x="0"/>
        <item h="1" x="1"/>
        <item x="2"/>
        <item h="1" x="3"/>
        <item h="1" x="4"/>
        <item t="default"/>
      </items>
    </pivotField>
    <pivotField name="booking_class" axis="axisCol" compact="0" outline="0" multipleItemSelectionAllowed="1" showAll="0" sortType="ascending">
      <items count="15">
        <item x="9"/>
        <item x="6"/>
        <item x="5"/>
        <item x="8"/>
        <item x="1"/>
        <item x="13"/>
        <item x="12"/>
        <item x="2"/>
        <item x="11"/>
        <item x="7"/>
        <item x="4"/>
        <item x="0"/>
        <item x="3"/>
        <item x="10"/>
        <item t="default"/>
      </items>
    </pivotField>
    <pivotField name="bf_min" compact="0" outline="0" multipleItemSelectionAllowed="1" showAll="0"/>
    <pivotField name="bf_avg" dataField="1" compact="0" outline="0" multipleItemSelectionAllowed="1" showAll="0"/>
    <pivotField name="bf_max" compact="0" outline="0" multipleItemSelectionAllowed="1"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2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pageFields count="1">
    <pageField fld="1" hier="0"/>
  </pageFields>
  <dataFields count="1">
    <dataField name="AVERAGE of bf_avg" fld="4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SouthCone" cacheId="39" applyNumberFormats="0" applyBorderFormats="0" applyFontFormats="0" applyPatternFormats="0" applyAlignmentFormats="0" applyWidthHeightFormats="0" dataCaption="" updatedVersion="7" compact="0" compactData="0">
  <location ref="A3:P20" firstHeaderRow="1" firstDataRow="2" firstDataCol="1" rowPageCount="1" colPageCount="1"/>
  <pivotFields count="6">
    <pivotField name="dep_yearmo" axis="axisRow" compact="0" numFmtId="164" outline="0" multipleItemSelectionAllowed="1" showAll="0" sortType="ascending">
      <items count="17">
        <item x="11"/>
        <item x="8"/>
        <item x="13"/>
        <item x="5"/>
        <item x="2"/>
        <item x="4"/>
        <item x="3"/>
        <item x="9"/>
        <item x="15"/>
        <item x="1"/>
        <item x="10"/>
        <item x="12"/>
        <item x="7"/>
        <item x="6"/>
        <item x="14"/>
        <item x="0"/>
        <item t="default"/>
      </items>
    </pivotField>
    <pivotField name="region" axis="axisPage" compact="0" outline="0" multipleItemSelectionAllowed="1" showAll="0">
      <items count="6">
        <item h="1" x="0"/>
        <item x="1"/>
        <item h="1" x="2"/>
        <item h="1" x="3"/>
        <item h="1" x="4"/>
        <item t="default"/>
      </items>
    </pivotField>
    <pivotField name="booking_class" axis="axisCol" compact="0" outline="0" multipleItemSelectionAllowed="1" showAll="0" sortType="ascending">
      <items count="15">
        <item x="9"/>
        <item x="6"/>
        <item x="5"/>
        <item x="8"/>
        <item x="1"/>
        <item x="13"/>
        <item x="12"/>
        <item x="2"/>
        <item x="11"/>
        <item x="7"/>
        <item x="4"/>
        <item x="0"/>
        <item x="3"/>
        <item x="10"/>
        <item t="default"/>
      </items>
    </pivotField>
    <pivotField name="bf_min" compact="0" outline="0" multipleItemSelectionAllowed="1" showAll="0"/>
    <pivotField name="bf_avg" dataField="1" compact="0" outline="0" multipleItemSelectionAllowed="1" showAll="0"/>
    <pivotField name="bf_max" compact="0" outline="0" multipleItemSelectionAllowed="1" showAl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2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colItems>
  <pageFields count="1">
    <pageField fld="1" hier="0"/>
  </pageFields>
  <dataFields count="1">
    <dataField name="AVERAGE of bf_avg" fld="4" subtotal="average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2ACF1-FACB-A04C-A87E-5AE8F2933BF9}">
  <dimension ref="A3:B53"/>
  <sheetViews>
    <sheetView workbookViewId="0">
      <selection activeCell="J17" sqref="J17"/>
    </sheetView>
  </sheetViews>
  <sheetFormatPr baseColWidth="10" defaultRowHeight="13" x14ac:dyDescent="0.15"/>
  <cols>
    <col min="1" max="1" width="18.1640625" bestFit="1" customWidth="1"/>
    <col min="2" max="2" width="12.1640625" bestFit="1" customWidth="1"/>
  </cols>
  <sheetData>
    <row r="3" spans="1:2" x14ac:dyDescent="0.15">
      <c r="A3" s="26" t="s">
        <v>29</v>
      </c>
    </row>
    <row r="4" spans="1:2" x14ac:dyDescent="0.15">
      <c r="A4" s="28">
        <v>44531</v>
      </c>
      <c r="B4" s="15"/>
    </row>
    <row r="5" spans="1:2" x14ac:dyDescent="0.15">
      <c r="A5" s="29" t="s">
        <v>28</v>
      </c>
      <c r="B5" s="15">
        <v>12545.600074495411</v>
      </c>
    </row>
    <row r="6" spans="1:2" x14ac:dyDescent="0.15">
      <c r="A6" s="29" t="s">
        <v>31</v>
      </c>
      <c r="B6" s="15">
        <v>51</v>
      </c>
    </row>
    <row r="7" spans="1:2" x14ac:dyDescent="0.15">
      <c r="A7" s="28">
        <v>44562</v>
      </c>
      <c r="B7" s="15"/>
    </row>
    <row r="8" spans="1:2" x14ac:dyDescent="0.15">
      <c r="A8" s="29" t="s">
        <v>28</v>
      </c>
      <c r="B8" s="15">
        <v>11630.026632421546</v>
      </c>
    </row>
    <row r="9" spans="1:2" x14ac:dyDescent="0.15">
      <c r="A9" s="29" t="s">
        <v>31</v>
      </c>
      <c r="B9" s="15">
        <v>40</v>
      </c>
    </row>
    <row r="10" spans="1:2" x14ac:dyDescent="0.15">
      <c r="A10" s="28">
        <v>44593</v>
      </c>
      <c r="B10" s="15"/>
    </row>
    <row r="11" spans="1:2" x14ac:dyDescent="0.15">
      <c r="A11" s="29" t="s">
        <v>28</v>
      </c>
      <c r="B11" s="15">
        <v>9246.624312225098</v>
      </c>
    </row>
    <row r="12" spans="1:2" x14ac:dyDescent="0.15">
      <c r="A12" s="29" t="s">
        <v>31</v>
      </c>
      <c r="B12" s="15">
        <v>30</v>
      </c>
    </row>
    <row r="13" spans="1:2" x14ac:dyDescent="0.15">
      <c r="A13" s="28">
        <v>44621</v>
      </c>
      <c r="B13" s="15"/>
    </row>
    <row r="14" spans="1:2" x14ac:dyDescent="0.15">
      <c r="A14" s="29" t="s">
        <v>28</v>
      </c>
      <c r="B14" s="15">
        <v>11159.655981159931</v>
      </c>
    </row>
    <row r="15" spans="1:2" x14ac:dyDescent="0.15">
      <c r="A15" s="29" t="s">
        <v>31</v>
      </c>
      <c r="B15" s="15">
        <v>45</v>
      </c>
    </row>
    <row r="16" spans="1:2" x14ac:dyDescent="0.15">
      <c r="A16" s="28">
        <v>44652</v>
      </c>
      <c r="B16" s="15"/>
    </row>
    <row r="17" spans="1:2" x14ac:dyDescent="0.15">
      <c r="A17" s="29" t="s">
        <v>28</v>
      </c>
      <c r="B17" s="15">
        <v>15283.530340253274</v>
      </c>
    </row>
    <row r="18" spans="1:2" x14ac:dyDescent="0.15">
      <c r="A18" s="29" t="s">
        <v>31</v>
      </c>
      <c r="B18" s="15">
        <v>60</v>
      </c>
    </row>
    <row r="19" spans="1:2" x14ac:dyDescent="0.15">
      <c r="A19" s="28">
        <v>44682</v>
      </c>
      <c r="B19" s="15"/>
    </row>
    <row r="20" spans="1:2" x14ac:dyDescent="0.15">
      <c r="A20" s="29" t="s">
        <v>28</v>
      </c>
      <c r="B20" s="15">
        <v>13569.153045727337</v>
      </c>
    </row>
    <row r="21" spans="1:2" x14ac:dyDescent="0.15">
      <c r="A21" s="29" t="s">
        <v>31</v>
      </c>
      <c r="B21" s="15">
        <v>50</v>
      </c>
    </row>
    <row r="22" spans="1:2" x14ac:dyDescent="0.15">
      <c r="A22" s="28">
        <v>44713</v>
      </c>
      <c r="B22" s="15"/>
    </row>
    <row r="23" spans="1:2" x14ac:dyDescent="0.15">
      <c r="A23" s="29" t="s">
        <v>28</v>
      </c>
      <c r="B23" s="15">
        <v>17624.059307012132</v>
      </c>
    </row>
    <row r="24" spans="1:2" x14ac:dyDescent="0.15">
      <c r="A24" s="29" t="s">
        <v>31</v>
      </c>
      <c r="B24" s="15">
        <v>60</v>
      </c>
    </row>
    <row r="25" spans="1:2" x14ac:dyDescent="0.15">
      <c r="A25" s="28">
        <v>44743</v>
      </c>
      <c r="B25" s="15"/>
    </row>
    <row r="26" spans="1:2" x14ac:dyDescent="0.15">
      <c r="A26" s="29" t="s">
        <v>28</v>
      </c>
      <c r="B26" s="15">
        <v>8772.1120607525445</v>
      </c>
    </row>
    <row r="27" spans="1:2" x14ac:dyDescent="0.15">
      <c r="A27" s="29" t="s">
        <v>31</v>
      </c>
      <c r="B27" s="15">
        <v>35</v>
      </c>
    </row>
    <row r="28" spans="1:2" x14ac:dyDescent="0.15">
      <c r="A28" s="28">
        <v>44774</v>
      </c>
      <c r="B28" s="15"/>
    </row>
    <row r="29" spans="1:2" x14ac:dyDescent="0.15">
      <c r="A29" s="29" t="s">
        <v>28</v>
      </c>
      <c r="B29" s="15">
        <v>14021.208565983847</v>
      </c>
    </row>
    <row r="30" spans="1:2" x14ac:dyDescent="0.15">
      <c r="A30" s="29" t="s">
        <v>31</v>
      </c>
      <c r="B30" s="15">
        <v>45</v>
      </c>
    </row>
    <row r="31" spans="1:2" x14ac:dyDescent="0.15">
      <c r="A31" s="28">
        <v>44805</v>
      </c>
      <c r="B31" s="15"/>
    </row>
    <row r="32" spans="1:2" x14ac:dyDescent="0.15">
      <c r="A32" s="29" t="s">
        <v>28</v>
      </c>
      <c r="B32" s="15">
        <v>14345.169661485957</v>
      </c>
    </row>
    <row r="33" spans="1:2" x14ac:dyDescent="0.15">
      <c r="A33" s="29" t="s">
        <v>31</v>
      </c>
      <c r="B33" s="15">
        <v>50</v>
      </c>
    </row>
    <row r="34" spans="1:2" x14ac:dyDescent="0.15">
      <c r="A34" s="28">
        <v>44835</v>
      </c>
      <c r="B34" s="15"/>
    </row>
    <row r="35" spans="1:2" x14ac:dyDescent="0.15">
      <c r="A35" s="29" t="s">
        <v>28</v>
      </c>
      <c r="B35" s="15">
        <v>18125.884406845522</v>
      </c>
    </row>
    <row r="36" spans="1:2" x14ac:dyDescent="0.15">
      <c r="A36" s="29" t="s">
        <v>31</v>
      </c>
      <c r="B36" s="15">
        <v>60</v>
      </c>
    </row>
    <row r="37" spans="1:2" x14ac:dyDescent="0.15">
      <c r="A37" s="28">
        <v>44866</v>
      </c>
      <c r="B37" s="15"/>
    </row>
    <row r="38" spans="1:2" x14ac:dyDescent="0.15">
      <c r="A38" s="29" t="s">
        <v>28</v>
      </c>
      <c r="B38" s="15">
        <v>9232.6551452376807</v>
      </c>
    </row>
    <row r="39" spans="1:2" x14ac:dyDescent="0.15">
      <c r="A39" s="29" t="s">
        <v>31</v>
      </c>
      <c r="B39" s="15">
        <v>35</v>
      </c>
    </row>
    <row r="40" spans="1:2" x14ac:dyDescent="0.15">
      <c r="A40" s="28">
        <v>44896</v>
      </c>
      <c r="B40" s="15"/>
    </row>
    <row r="41" spans="1:2" x14ac:dyDescent="0.15">
      <c r="A41" s="29" t="s">
        <v>28</v>
      </c>
      <c r="B41" s="15">
        <v>16739.186204997481</v>
      </c>
    </row>
    <row r="42" spans="1:2" x14ac:dyDescent="0.15">
      <c r="A42" s="29" t="s">
        <v>31</v>
      </c>
      <c r="B42" s="15">
        <v>50</v>
      </c>
    </row>
    <row r="43" spans="1:2" x14ac:dyDescent="0.15">
      <c r="A43" s="28">
        <v>44927</v>
      </c>
      <c r="B43" s="15"/>
    </row>
    <row r="44" spans="1:2" x14ac:dyDescent="0.15">
      <c r="A44" s="29" t="s">
        <v>28</v>
      </c>
      <c r="B44" s="15">
        <v>15275.152214411281</v>
      </c>
    </row>
    <row r="45" spans="1:2" x14ac:dyDescent="0.15">
      <c r="A45" s="29" t="s">
        <v>31</v>
      </c>
      <c r="B45" s="15">
        <v>45</v>
      </c>
    </row>
    <row r="46" spans="1:2" x14ac:dyDescent="0.15">
      <c r="A46" s="28">
        <v>44958</v>
      </c>
      <c r="B46" s="15"/>
    </row>
    <row r="47" spans="1:2" x14ac:dyDescent="0.15">
      <c r="A47" s="29" t="s">
        <v>28</v>
      </c>
      <c r="B47" s="15">
        <v>18831.784418732204</v>
      </c>
    </row>
    <row r="48" spans="1:2" x14ac:dyDescent="0.15">
      <c r="A48" s="29" t="s">
        <v>31</v>
      </c>
      <c r="B48" s="15">
        <v>60</v>
      </c>
    </row>
    <row r="49" spans="1:2" x14ac:dyDescent="0.15">
      <c r="A49" s="28">
        <v>44986</v>
      </c>
      <c r="B49" s="15"/>
    </row>
    <row r="50" spans="1:2" x14ac:dyDescent="0.15">
      <c r="A50" s="29" t="s">
        <v>28</v>
      </c>
      <c r="B50" s="15">
        <v>3297.3791146607214</v>
      </c>
    </row>
    <row r="51" spans="1:2" x14ac:dyDescent="0.15">
      <c r="A51" s="29" t="s">
        <v>31</v>
      </c>
      <c r="B51" s="15">
        <v>7</v>
      </c>
    </row>
    <row r="52" spans="1:2" x14ac:dyDescent="0.15">
      <c r="A52" s="27" t="s">
        <v>30</v>
      </c>
      <c r="B52" s="15">
        <v>209699.18148640179</v>
      </c>
    </row>
    <row r="53" spans="1:2" x14ac:dyDescent="0.15">
      <c r="A53" s="27" t="s">
        <v>32</v>
      </c>
      <c r="B53" s="15">
        <v>723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65"/>
  <sheetViews>
    <sheetView tabSelected="1" topLeftCell="B1" zoomScale="184" zoomScaleNormal="120" workbookViewId="0">
      <selection activeCell="F4" sqref="F4"/>
    </sheetView>
  </sheetViews>
  <sheetFormatPr baseColWidth="10" defaultColWidth="12.6640625" defaultRowHeight="15.75" customHeight="1" x14ac:dyDescent="0.15"/>
  <sheetData>
    <row r="1" spans="1:1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33</v>
      </c>
    </row>
    <row r="2" spans="1:10" ht="15.75" customHeight="1" x14ac:dyDescent="0.15">
      <c r="A2" s="2">
        <v>44986</v>
      </c>
      <c r="B2" s="1" t="s">
        <v>6</v>
      </c>
      <c r="C2" s="1" t="s">
        <v>7</v>
      </c>
      <c r="D2" s="1">
        <v>143.30439758300699</v>
      </c>
      <c r="E2" s="1">
        <v>547.52577971592802</v>
      </c>
      <c r="F2" s="1">
        <v>1072.81567382812</v>
      </c>
      <c r="G2">
        <f>SQRT(E2)</f>
        <v>23.399268785924232</v>
      </c>
      <c r="J2">
        <f>SQRT(F2)</f>
        <v>32.753865021217266</v>
      </c>
    </row>
    <row r="3" spans="1:10" ht="15.75" customHeight="1" x14ac:dyDescent="0.15">
      <c r="A3" s="2">
        <v>44986</v>
      </c>
      <c r="B3" s="1" t="s">
        <v>6</v>
      </c>
      <c r="C3" s="1" t="s">
        <v>8</v>
      </c>
      <c r="D3" s="1">
        <v>216.24761962890599</v>
      </c>
      <c r="E3" s="1">
        <v>812.49295312482695</v>
      </c>
      <c r="F3" s="1">
        <v>1374.87341308593</v>
      </c>
      <c r="G3">
        <f t="shared" ref="G3:G66" si="0">SQRT(E3)</f>
        <v>28.504262016842794</v>
      </c>
      <c r="J3">
        <f t="shared" ref="J3:J20" si="1">SQRT(F3)</f>
        <v>37.079285498589776</v>
      </c>
    </row>
    <row r="4" spans="1:10" ht="15.75" customHeight="1" x14ac:dyDescent="0.15">
      <c r="A4" s="2">
        <v>44986</v>
      </c>
      <c r="B4" s="1" t="s">
        <v>6</v>
      </c>
      <c r="C4" s="1" t="s">
        <v>9</v>
      </c>
      <c r="D4" s="1">
        <v>117.48377990722599</v>
      </c>
      <c r="E4" s="1">
        <v>428.890569284153</v>
      </c>
      <c r="F4" s="1">
        <v>817.90411376953102</v>
      </c>
      <c r="G4">
        <f t="shared" si="0"/>
        <v>20.70967332635049</v>
      </c>
      <c r="H4">
        <f>SUM(D2:D100)</f>
        <v>3666.7107637578765</v>
      </c>
      <c r="I4">
        <f>STDEV(F2:F20)</f>
        <v>360.32680902710422</v>
      </c>
      <c r="J4">
        <f t="shared" si="1"/>
        <v>28.599022951309561</v>
      </c>
    </row>
    <row r="5" spans="1:10" ht="15.75" customHeight="1" x14ac:dyDescent="0.15">
      <c r="A5" s="2">
        <v>44805</v>
      </c>
      <c r="B5" s="1" t="s">
        <v>10</v>
      </c>
      <c r="C5" s="1" t="s">
        <v>11</v>
      </c>
      <c r="D5" s="1">
        <v>29</v>
      </c>
      <c r="E5" s="1">
        <v>216.48793162963401</v>
      </c>
      <c r="F5" s="1">
        <v>973.200927734375</v>
      </c>
      <c r="G5">
        <f t="shared" si="0"/>
        <v>14.713528863927715</v>
      </c>
      <c r="H5">
        <f>AVERAGE(D2:D12)</f>
        <v>62.175125815651455</v>
      </c>
      <c r="J5">
        <f t="shared" si="1"/>
        <v>31.196168478426561</v>
      </c>
    </row>
    <row r="6" spans="1:10" ht="15.75" customHeight="1" x14ac:dyDescent="0.15">
      <c r="A6" s="2">
        <v>44805</v>
      </c>
      <c r="B6" s="1" t="s">
        <v>6</v>
      </c>
      <c r="C6" s="1" t="s">
        <v>11</v>
      </c>
      <c r="D6" s="1">
        <v>29</v>
      </c>
      <c r="E6" s="1">
        <v>216.48793162963401</v>
      </c>
      <c r="F6" s="1">
        <v>973.200927734375</v>
      </c>
      <c r="G6">
        <f t="shared" si="0"/>
        <v>14.713528863927715</v>
      </c>
      <c r="H6">
        <f>STDEV(D2:D22)</f>
        <v>52.333006640579953</v>
      </c>
      <c r="J6">
        <f t="shared" si="1"/>
        <v>31.196168478426561</v>
      </c>
    </row>
    <row r="7" spans="1:10" ht="15.75" customHeight="1" x14ac:dyDescent="0.15">
      <c r="A7" s="2">
        <v>44805</v>
      </c>
      <c r="B7" s="1" t="s">
        <v>12</v>
      </c>
      <c r="C7" s="1" t="s">
        <v>11</v>
      </c>
      <c r="D7" s="1">
        <v>29</v>
      </c>
      <c r="E7" s="1">
        <v>216.48793162963401</v>
      </c>
      <c r="F7" s="1">
        <v>973.200927734375</v>
      </c>
      <c r="G7">
        <f t="shared" si="0"/>
        <v>14.713528863927715</v>
      </c>
      <c r="J7">
        <f t="shared" si="1"/>
        <v>31.196168478426561</v>
      </c>
    </row>
    <row r="8" spans="1:10" ht="15.75" customHeight="1" x14ac:dyDescent="0.15">
      <c r="A8" s="2">
        <v>44805</v>
      </c>
      <c r="B8" s="1" t="s">
        <v>13</v>
      </c>
      <c r="C8" s="1" t="s">
        <v>11</v>
      </c>
      <c r="D8" s="1">
        <v>29</v>
      </c>
      <c r="E8" s="1">
        <v>216.48793162963401</v>
      </c>
      <c r="F8" s="1">
        <v>973.200927734375</v>
      </c>
      <c r="G8">
        <f t="shared" si="0"/>
        <v>14.713528863927715</v>
      </c>
      <c r="J8">
        <f t="shared" si="1"/>
        <v>31.196168478426561</v>
      </c>
    </row>
    <row r="9" spans="1:10" ht="15.75" customHeight="1" x14ac:dyDescent="0.15">
      <c r="A9" s="2">
        <v>44805</v>
      </c>
      <c r="B9" s="1" t="s">
        <v>14</v>
      </c>
      <c r="C9" s="1" t="s">
        <v>11</v>
      </c>
      <c r="D9" s="1">
        <v>29</v>
      </c>
      <c r="E9" s="1">
        <v>216.48793162963401</v>
      </c>
      <c r="F9" s="1">
        <v>973.200927734375</v>
      </c>
      <c r="G9">
        <f t="shared" si="0"/>
        <v>14.713528863927715</v>
      </c>
      <c r="J9">
        <f t="shared" si="1"/>
        <v>31.196168478426561</v>
      </c>
    </row>
    <row r="10" spans="1:10" ht="15.75" customHeight="1" x14ac:dyDescent="0.15">
      <c r="A10" s="2">
        <v>44652</v>
      </c>
      <c r="B10" s="1" t="s">
        <v>13</v>
      </c>
      <c r="C10" s="1" t="s">
        <v>9</v>
      </c>
      <c r="D10" s="1">
        <v>20.6301956176757</v>
      </c>
      <c r="E10" s="1">
        <v>174.198605196925</v>
      </c>
      <c r="F10" s="1">
        <v>1577.64282226562</v>
      </c>
      <c r="G10">
        <f t="shared" si="0"/>
        <v>13.198431921896063</v>
      </c>
      <c r="J10">
        <f t="shared" si="1"/>
        <v>39.719552140798619</v>
      </c>
    </row>
    <row r="11" spans="1:10" ht="15.75" customHeight="1" x14ac:dyDescent="0.15">
      <c r="A11" s="2">
        <v>44652</v>
      </c>
      <c r="B11" s="1" t="s">
        <v>6</v>
      </c>
      <c r="C11" s="1" t="s">
        <v>9</v>
      </c>
      <c r="D11" s="1">
        <v>20.6301956176757</v>
      </c>
      <c r="E11" s="1">
        <v>174.198605196925</v>
      </c>
      <c r="F11" s="1">
        <v>1577.64282226562</v>
      </c>
      <c r="G11">
        <f t="shared" si="0"/>
        <v>13.198431921896063</v>
      </c>
      <c r="J11">
        <f t="shared" si="1"/>
        <v>39.719552140798619</v>
      </c>
    </row>
    <row r="12" spans="1:10" ht="15.75" customHeight="1" x14ac:dyDescent="0.15">
      <c r="A12" s="2">
        <v>44652</v>
      </c>
      <c r="B12" s="1" t="s">
        <v>12</v>
      </c>
      <c r="C12" s="1" t="s">
        <v>9</v>
      </c>
      <c r="D12" s="1">
        <v>20.6301956176757</v>
      </c>
      <c r="E12" s="1">
        <v>174.198605196925</v>
      </c>
      <c r="F12" s="1">
        <v>1577.64282226562</v>
      </c>
      <c r="G12">
        <f t="shared" si="0"/>
        <v>13.198431921896063</v>
      </c>
      <c r="J12">
        <f t="shared" si="1"/>
        <v>39.719552140798619</v>
      </c>
    </row>
    <row r="13" spans="1:10" ht="15.75" customHeight="1" x14ac:dyDescent="0.15">
      <c r="A13" s="2">
        <v>44652</v>
      </c>
      <c r="B13" s="1" t="s">
        <v>10</v>
      </c>
      <c r="C13" s="1" t="s">
        <v>9</v>
      </c>
      <c r="D13" s="1">
        <v>20.6301956176757</v>
      </c>
      <c r="E13" s="1">
        <v>174.198605196925</v>
      </c>
      <c r="F13" s="1">
        <v>1577.64282226562</v>
      </c>
      <c r="G13">
        <f t="shared" si="0"/>
        <v>13.198431921896063</v>
      </c>
      <c r="J13">
        <f t="shared" si="1"/>
        <v>39.719552140798619</v>
      </c>
    </row>
    <row r="14" spans="1:10" ht="15.75" customHeight="1" x14ac:dyDescent="0.15">
      <c r="A14" s="2">
        <v>44652</v>
      </c>
      <c r="B14" s="1" t="s">
        <v>14</v>
      </c>
      <c r="C14" s="1" t="s">
        <v>9</v>
      </c>
      <c r="D14" s="1">
        <v>20.6301956176757</v>
      </c>
      <c r="E14" s="1">
        <v>174.198605196925</v>
      </c>
      <c r="F14" s="1">
        <v>1577.64282226562</v>
      </c>
      <c r="G14">
        <f t="shared" si="0"/>
        <v>13.198431921896063</v>
      </c>
      <c r="J14">
        <f t="shared" si="1"/>
        <v>39.719552140798619</v>
      </c>
    </row>
    <row r="15" spans="1:10" ht="15.75" customHeight="1" x14ac:dyDescent="0.15">
      <c r="A15" s="2">
        <v>44713</v>
      </c>
      <c r="B15" s="1" t="s">
        <v>6</v>
      </c>
      <c r="C15" s="1" t="s">
        <v>15</v>
      </c>
      <c r="D15" s="1">
        <v>25</v>
      </c>
      <c r="E15" s="1">
        <v>194.38031713026399</v>
      </c>
      <c r="F15" s="1">
        <v>1756.73498535156</v>
      </c>
      <c r="G15">
        <f t="shared" si="0"/>
        <v>13.942034181935719</v>
      </c>
      <c r="J15">
        <f t="shared" si="1"/>
        <v>41.913422496278685</v>
      </c>
    </row>
    <row r="16" spans="1:10" ht="15.75" customHeight="1" x14ac:dyDescent="0.15">
      <c r="A16" s="2">
        <v>44713</v>
      </c>
      <c r="B16" s="1" t="s">
        <v>12</v>
      </c>
      <c r="C16" s="1" t="s">
        <v>15</v>
      </c>
      <c r="D16" s="1">
        <v>25</v>
      </c>
      <c r="E16" s="1">
        <v>194.38031713026399</v>
      </c>
      <c r="F16" s="1">
        <v>1756.73498535156</v>
      </c>
      <c r="G16">
        <f t="shared" si="0"/>
        <v>13.942034181935719</v>
      </c>
      <c r="J16">
        <f t="shared" si="1"/>
        <v>41.913422496278685</v>
      </c>
    </row>
    <row r="17" spans="1:10" ht="15.75" customHeight="1" x14ac:dyDescent="0.15">
      <c r="A17" s="2">
        <v>44713</v>
      </c>
      <c r="B17" s="1" t="s">
        <v>14</v>
      </c>
      <c r="C17" s="1" t="s">
        <v>15</v>
      </c>
      <c r="D17" s="1">
        <v>25</v>
      </c>
      <c r="E17" s="1">
        <v>194.38031713026399</v>
      </c>
      <c r="F17" s="1">
        <v>1756.73498535156</v>
      </c>
      <c r="G17">
        <f t="shared" si="0"/>
        <v>13.942034181935719</v>
      </c>
      <c r="J17">
        <f t="shared" si="1"/>
        <v>41.913422496278685</v>
      </c>
    </row>
    <row r="18" spans="1:10" ht="15.75" customHeight="1" x14ac:dyDescent="0.15">
      <c r="A18" s="2">
        <v>44713</v>
      </c>
      <c r="B18" s="1" t="s">
        <v>13</v>
      </c>
      <c r="C18" s="1" t="s">
        <v>15</v>
      </c>
      <c r="D18" s="1">
        <v>25</v>
      </c>
      <c r="E18" s="1">
        <v>194.38031713026399</v>
      </c>
      <c r="F18" s="1">
        <v>1756.73498535156</v>
      </c>
      <c r="G18">
        <f t="shared" si="0"/>
        <v>13.942034181935719</v>
      </c>
      <c r="J18">
        <f t="shared" si="1"/>
        <v>41.913422496278685</v>
      </c>
    </row>
    <row r="19" spans="1:10" ht="15.75" customHeight="1" x14ac:dyDescent="0.15">
      <c r="A19" s="2">
        <v>44713</v>
      </c>
      <c r="B19" s="1" t="s">
        <v>10</v>
      </c>
      <c r="C19" s="1" t="s">
        <v>15</v>
      </c>
      <c r="D19" s="1">
        <v>25</v>
      </c>
      <c r="E19" s="1">
        <v>194.38031713026399</v>
      </c>
      <c r="F19" s="1">
        <v>1756.73498535156</v>
      </c>
      <c r="G19">
        <f t="shared" si="0"/>
        <v>13.942034181935719</v>
      </c>
      <c r="J19">
        <f t="shared" si="1"/>
        <v>41.913422496278685</v>
      </c>
    </row>
    <row r="20" spans="1:10" ht="15.75" customHeight="1" x14ac:dyDescent="0.15">
      <c r="A20" s="2">
        <v>44682</v>
      </c>
      <c r="B20" s="1" t="s">
        <v>12</v>
      </c>
      <c r="C20" s="1" t="s">
        <v>16</v>
      </c>
      <c r="D20" s="1">
        <v>6</v>
      </c>
      <c r="E20" s="1">
        <v>80.622654574438599</v>
      </c>
      <c r="F20" s="1">
        <v>925</v>
      </c>
      <c r="G20">
        <f t="shared" si="0"/>
        <v>8.979011892989039</v>
      </c>
      <c r="J20">
        <f t="shared" si="1"/>
        <v>30.413812651491099</v>
      </c>
    </row>
    <row r="21" spans="1:10" ht="15.75" customHeight="1" x14ac:dyDescent="0.15">
      <c r="A21" s="2">
        <v>44682</v>
      </c>
      <c r="B21" s="1" t="s">
        <v>14</v>
      </c>
      <c r="C21" s="1" t="s">
        <v>16</v>
      </c>
      <c r="D21" s="1">
        <v>6</v>
      </c>
      <c r="E21" s="1">
        <v>80.622654574438599</v>
      </c>
      <c r="F21" s="1">
        <v>925</v>
      </c>
      <c r="G21">
        <f t="shared" si="0"/>
        <v>8.979011892989039</v>
      </c>
    </row>
    <row r="22" spans="1:10" ht="15.75" customHeight="1" x14ac:dyDescent="0.15">
      <c r="A22" s="2">
        <v>44682</v>
      </c>
      <c r="B22" s="1" t="s">
        <v>6</v>
      </c>
      <c r="C22" s="1" t="s">
        <v>16</v>
      </c>
      <c r="D22" s="1">
        <v>6</v>
      </c>
      <c r="E22" s="1">
        <v>80.622654574438599</v>
      </c>
      <c r="F22" s="1">
        <v>925</v>
      </c>
      <c r="G22">
        <f t="shared" si="0"/>
        <v>8.979011892989039</v>
      </c>
    </row>
    <row r="23" spans="1:10" ht="15.75" customHeight="1" x14ac:dyDescent="0.15">
      <c r="A23" s="2">
        <v>44682</v>
      </c>
      <c r="B23" s="1" t="s">
        <v>13</v>
      </c>
      <c r="C23" s="1" t="s">
        <v>16</v>
      </c>
      <c r="D23" s="1">
        <v>6</v>
      </c>
      <c r="E23" s="1">
        <v>80.622654574438599</v>
      </c>
      <c r="F23" s="1">
        <v>925</v>
      </c>
      <c r="G23">
        <f t="shared" si="0"/>
        <v>8.979011892989039</v>
      </c>
    </row>
    <row r="24" spans="1:10" ht="15.75" customHeight="1" x14ac:dyDescent="0.15">
      <c r="A24" s="2">
        <v>44682</v>
      </c>
      <c r="B24" s="1" t="s">
        <v>10</v>
      </c>
      <c r="C24" s="1" t="s">
        <v>16</v>
      </c>
      <c r="D24" s="1">
        <v>6</v>
      </c>
      <c r="E24" s="1">
        <v>80.622654574438599</v>
      </c>
      <c r="F24" s="1">
        <v>925</v>
      </c>
      <c r="G24">
        <f t="shared" si="0"/>
        <v>8.979011892989039</v>
      </c>
    </row>
    <row r="25" spans="1:10" ht="15.75" customHeight="1" x14ac:dyDescent="0.15">
      <c r="A25" s="2">
        <v>44621</v>
      </c>
      <c r="B25" s="1" t="s">
        <v>12</v>
      </c>
      <c r="C25" s="1" t="s">
        <v>17</v>
      </c>
      <c r="D25" s="1">
        <v>58</v>
      </c>
      <c r="E25" s="1">
        <v>544.87181109786002</v>
      </c>
      <c r="F25" s="1">
        <v>2299</v>
      </c>
      <c r="G25">
        <f t="shared" si="0"/>
        <v>23.342489393761326</v>
      </c>
    </row>
    <row r="26" spans="1:10" ht="15.75" customHeight="1" x14ac:dyDescent="0.15">
      <c r="A26" s="2">
        <v>44621</v>
      </c>
      <c r="B26" s="1" t="s">
        <v>6</v>
      </c>
      <c r="C26" s="1" t="s">
        <v>17</v>
      </c>
      <c r="D26" s="1">
        <v>58</v>
      </c>
      <c r="E26" s="1">
        <v>544.87181109786002</v>
      </c>
      <c r="F26" s="1">
        <v>2299</v>
      </c>
      <c r="G26">
        <f t="shared" si="0"/>
        <v>23.342489393761326</v>
      </c>
    </row>
    <row r="27" spans="1:10" ht="15.75" customHeight="1" x14ac:dyDescent="0.15">
      <c r="A27" s="2">
        <v>44621</v>
      </c>
      <c r="B27" s="1" t="s">
        <v>10</v>
      </c>
      <c r="C27" s="1" t="s">
        <v>17</v>
      </c>
      <c r="D27" s="1">
        <v>58</v>
      </c>
      <c r="E27" s="1">
        <v>544.87181109786002</v>
      </c>
      <c r="F27" s="1">
        <v>2299</v>
      </c>
      <c r="G27">
        <f t="shared" si="0"/>
        <v>23.342489393761326</v>
      </c>
    </row>
    <row r="28" spans="1:10" ht="15.75" customHeight="1" x14ac:dyDescent="0.15">
      <c r="A28" s="2">
        <v>44621</v>
      </c>
      <c r="B28" s="1" t="s">
        <v>13</v>
      </c>
      <c r="C28" s="1" t="s">
        <v>17</v>
      </c>
      <c r="D28" s="1">
        <v>58</v>
      </c>
      <c r="E28" s="1">
        <v>544.87181109786002</v>
      </c>
      <c r="F28" s="1">
        <v>2299</v>
      </c>
      <c r="G28">
        <f t="shared" si="0"/>
        <v>23.342489393761326</v>
      </c>
    </row>
    <row r="29" spans="1:10" ht="15.75" customHeight="1" x14ac:dyDescent="0.15">
      <c r="A29" s="2">
        <v>44621</v>
      </c>
      <c r="B29" s="1" t="s">
        <v>14</v>
      </c>
      <c r="C29" s="1" t="s">
        <v>17</v>
      </c>
      <c r="D29" s="1">
        <v>58</v>
      </c>
      <c r="E29" s="1">
        <v>544.87181109786002</v>
      </c>
      <c r="F29" s="1">
        <v>2299</v>
      </c>
      <c r="G29">
        <f t="shared" si="0"/>
        <v>23.342489393761326</v>
      </c>
    </row>
    <row r="30" spans="1:10" ht="15.75" customHeight="1" x14ac:dyDescent="0.15">
      <c r="A30" s="2">
        <v>44713</v>
      </c>
      <c r="B30" s="1" t="s">
        <v>6</v>
      </c>
      <c r="C30" s="1" t="s">
        <v>7</v>
      </c>
      <c r="D30" s="1">
        <v>33</v>
      </c>
      <c r="E30" s="1">
        <v>247.05766860419101</v>
      </c>
      <c r="F30" s="1">
        <v>2194.56420898437</v>
      </c>
      <c r="G30">
        <f t="shared" si="0"/>
        <v>15.718068221132997</v>
      </c>
    </row>
    <row r="31" spans="1:10" ht="15.75" customHeight="1" x14ac:dyDescent="0.15">
      <c r="A31" s="2">
        <v>44713</v>
      </c>
      <c r="B31" s="1" t="s">
        <v>12</v>
      </c>
      <c r="C31" s="1" t="s">
        <v>7</v>
      </c>
      <c r="D31" s="1">
        <v>33</v>
      </c>
      <c r="E31" s="1">
        <v>247.05766860419101</v>
      </c>
      <c r="F31" s="1">
        <v>2194.56420898437</v>
      </c>
      <c r="G31">
        <f t="shared" si="0"/>
        <v>15.718068221132997</v>
      </c>
    </row>
    <row r="32" spans="1:10" ht="15.75" customHeight="1" x14ac:dyDescent="0.15">
      <c r="A32" s="2">
        <v>44713</v>
      </c>
      <c r="B32" s="1" t="s">
        <v>14</v>
      </c>
      <c r="C32" s="1" t="s">
        <v>7</v>
      </c>
      <c r="D32" s="1">
        <v>33</v>
      </c>
      <c r="E32" s="1">
        <v>247.05766860419101</v>
      </c>
      <c r="F32" s="1">
        <v>2194.56420898437</v>
      </c>
      <c r="G32">
        <f t="shared" si="0"/>
        <v>15.718068221132997</v>
      </c>
    </row>
    <row r="33" spans="1:7" ht="15.75" customHeight="1" x14ac:dyDescent="0.15">
      <c r="A33" s="2">
        <v>44713</v>
      </c>
      <c r="B33" s="1" t="s">
        <v>13</v>
      </c>
      <c r="C33" s="1" t="s">
        <v>7</v>
      </c>
      <c r="D33" s="1">
        <v>33</v>
      </c>
      <c r="E33" s="1">
        <v>247.05766860419101</v>
      </c>
      <c r="F33" s="1">
        <v>2194.56420898437</v>
      </c>
      <c r="G33">
        <f t="shared" si="0"/>
        <v>15.718068221132997</v>
      </c>
    </row>
    <row r="34" spans="1:7" ht="15.75" customHeight="1" x14ac:dyDescent="0.15">
      <c r="A34" s="2">
        <v>44713</v>
      </c>
      <c r="B34" s="1" t="s">
        <v>10</v>
      </c>
      <c r="C34" s="1" t="s">
        <v>7</v>
      </c>
      <c r="D34" s="1">
        <v>33</v>
      </c>
      <c r="E34" s="1">
        <v>247.05766860419101</v>
      </c>
      <c r="F34" s="1">
        <v>2194.56420898437</v>
      </c>
      <c r="G34">
        <f t="shared" si="0"/>
        <v>15.718068221132997</v>
      </c>
    </row>
    <row r="35" spans="1:7" ht="15.75" customHeight="1" x14ac:dyDescent="0.15">
      <c r="A35" s="2">
        <v>44652</v>
      </c>
      <c r="B35" s="1" t="s">
        <v>13</v>
      </c>
      <c r="C35" s="1" t="s">
        <v>8</v>
      </c>
      <c r="D35" s="1">
        <v>43.615669597278902</v>
      </c>
      <c r="E35" s="1">
        <v>381.44976043361299</v>
      </c>
      <c r="F35" s="1">
        <v>3018.64916992187</v>
      </c>
      <c r="G35">
        <f t="shared" si="0"/>
        <v>19.530738860412143</v>
      </c>
    </row>
    <row r="36" spans="1:7" ht="15.75" customHeight="1" x14ac:dyDescent="0.15">
      <c r="A36" s="2">
        <v>44652</v>
      </c>
      <c r="B36" s="1" t="s">
        <v>6</v>
      </c>
      <c r="C36" s="1" t="s">
        <v>8</v>
      </c>
      <c r="D36" s="1">
        <v>43.615669597278902</v>
      </c>
      <c r="E36" s="1">
        <v>381.44976043361299</v>
      </c>
      <c r="F36" s="1">
        <v>3018.64916992187</v>
      </c>
      <c r="G36">
        <f t="shared" si="0"/>
        <v>19.530738860412143</v>
      </c>
    </row>
    <row r="37" spans="1:7" ht="15.75" customHeight="1" x14ac:dyDescent="0.15">
      <c r="A37" s="2">
        <v>44652</v>
      </c>
      <c r="B37" s="1" t="s">
        <v>12</v>
      </c>
      <c r="C37" s="1" t="s">
        <v>8</v>
      </c>
      <c r="D37" s="1">
        <v>43.615669597278902</v>
      </c>
      <c r="E37" s="1">
        <v>381.44976043361299</v>
      </c>
      <c r="F37" s="1">
        <v>3018.64916992187</v>
      </c>
      <c r="G37">
        <f t="shared" si="0"/>
        <v>19.530738860412143</v>
      </c>
    </row>
    <row r="38" spans="1:7" ht="15.75" customHeight="1" x14ac:dyDescent="0.15">
      <c r="A38" s="2">
        <v>44652</v>
      </c>
      <c r="B38" s="1" t="s">
        <v>10</v>
      </c>
      <c r="C38" s="1" t="s">
        <v>8</v>
      </c>
      <c r="D38" s="1">
        <v>43.615669597278902</v>
      </c>
      <c r="E38" s="1">
        <v>381.44976043361299</v>
      </c>
      <c r="F38" s="1">
        <v>3018.64916992187</v>
      </c>
      <c r="G38">
        <f t="shared" si="0"/>
        <v>19.530738860412143</v>
      </c>
    </row>
    <row r="39" spans="1:7" ht="15.75" customHeight="1" x14ac:dyDescent="0.15">
      <c r="A39" s="2">
        <v>44652</v>
      </c>
      <c r="B39" s="1" t="s">
        <v>14</v>
      </c>
      <c r="C39" s="1" t="s">
        <v>8</v>
      </c>
      <c r="D39" s="1">
        <v>43.615669597278902</v>
      </c>
      <c r="E39" s="1">
        <v>381.44976043361299</v>
      </c>
      <c r="F39" s="1">
        <v>3018.64916992187</v>
      </c>
      <c r="G39">
        <f t="shared" si="0"/>
        <v>19.530738860412143</v>
      </c>
    </row>
    <row r="40" spans="1:7" ht="15.75" customHeight="1" x14ac:dyDescent="0.15">
      <c r="A40" s="2">
        <v>44986</v>
      </c>
      <c r="B40" s="1" t="s">
        <v>6</v>
      </c>
      <c r="C40" s="1" t="s">
        <v>18</v>
      </c>
      <c r="D40" s="1">
        <v>106.51002502441401</v>
      </c>
      <c r="E40" s="1">
        <v>389.51733800494901</v>
      </c>
      <c r="F40" s="1">
        <v>730.419677734375</v>
      </c>
      <c r="G40">
        <f t="shared" si="0"/>
        <v>19.736193604769614</v>
      </c>
    </row>
    <row r="41" spans="1:7" ht="15.75" customHeight="1" x14ac:dyDescent="0.15">
      <c r="A41" s="2">
        <v>44927</v>
      </c>
      <c r="B41" s="1" t="s">
        <v>13</v>
      </c>
      <c r="C41" s="1" t="s">
        <v>19</v>
      </c>
      <c r="D41" s="1">
        <v>52</v>
      </c>
      <c r="E41" s="1">
        <v>516.69228013723705</v>
      </c>
      <c r="F41" s="1">
        <v>3760</v>
      </c>
      <c r="G41">
        <f t="shared" si="0"/>
        <v>22.730866242561831</v>
      </c>
    </row>
    <row r="42" spans="1:7" ht="15.75" customHeight="1" x14ac:dyDescent="0.15">
      <c r="A42" s="2">
        <v>44927</v>
      </c>
      <c r="B42" s="1" t="s">
        <v>10</v>
      </c>
      <c r="C42" s="1" t="s">
        <v>19</v>
      </c>
      <c r="D42" s="1">
        <v>52</v>
      </c>
      <c r="E42" s="1">
        <v>516.69228013723705</v>
      </c>
      <c r="F42" s="1">
        <v>3760</v>
      </c>
      <c r="G42">
        <f t="shared" si="0"/>
        <v>22.730866242561831</v>
      </c>
    </row>
    <row r="43" spans="1:7" ht="15.75" customHeight="1" x14ac:dyDescent="0.15">
      <c r="A43" s="2">
        <v>44927</v>
      </c>
      <c r="B43" s="1" t="s">
        <v>6</v>
      </c>
      <c r="C43" s="1" t="s">
        <v>19</v>
      </c>
      <c r="D43" s="1">
        <v>52</v>
      </c>
      <c r="E43" s="1">
        <v>516.69228013723705</v>
      </c>
      <c r="F43" s="1">
        <v>3760</v>
      </c>
      <c r="G43">
        <f t="shared" si="0"/>
        <v>22.730866242561831</v>
      </c>
    </row>
    <row r="44" spans="1:7" ht="15.75" customHeight="1" x14ac:dyDescent="0.15">
      <c r="A44" s="2">
        <v>44927</v>
      </c>
      <c r="B44" s="1" t="s">
        <v>14</v>
      </c>
      <c r="C44" s="1" t="s">
        <v>19</v>
      </c>
      <c r="D44" s="1">
        <v>52</v>
      </c>
      <c r="E44" s="1">
        <v>516.69228013723705</v>
      </c>
      <c r="F44" s="1">
        <v>3760</v>
      </c>
      <c r="G44">
        <f t="shared" si="0"/>
        <v>22.730866242561831</v>
      </c>
    </row>
    <row r="45" spans="1:7" ht="15.75" customHeight="1" x14ac:dyDescent="0.15">
      <c r="A45" s="2">
        <v>44927</v>
      </c>
      <c r="B45" s="1" t="s">
        <v>12</v>
      </c>
      <c r="C45" s="1" t="s">
        <v>19</v>
      </c>
      <c r="D45" s="1">
        <v>52</v>
      </c>
      <c r="E45" s="1">
        <v>516.69228013723705</v>
      </c>
      <c r="F45" s="1">
        <v>3760</v>
      </c>
      <c r="G45">
        <f t="shared" si="0"/>
        <v>22.730866242561831</v>
      </c>
    </row>
    <row r="46" spans="1:7" ht="15.75" customHeight="1" x14ac:dyDescent="0.15">
      <c r="A46" s="2">
        <v>44713</v>
      </c>
      <c r="B46" s="1" t="s">
        <v>6</v>
      </c>
      <c r="C46" s="1" t="s">
        <v>18</v>
      </c>
      <c r="D46" s="1">
        <v>16.045707702636701</v>
      </c>
      <c r="E46" s="1">
        <v>157.407186864366</v>
      </c>
      <c r="F46" s="1">
        <v>900</v>
      </c>
      <c r="G46">
        <f t="shared" si="0"/>
        <v>12.546202089252589</v>
      </c>
    </row>
    <row r="47" spans="1:7" ht="15.75" customHeight="1" x14ac:dyDescent="0.15">
      <c r="A47" s="2">
        <v>44713</v>
      </c>
      <c r="B47" s="1" t="s">
        <v>12</v>
      </c>
      <c r="C47" s="1" t="s">
        <v>18</v>
      </c>
      <c r="D47" s="1">
        <v>16.045707702636701</v>
      </c>
      <c r="E47" s="1">
        <v>157.407186864366</v>
      </c>
      <c r="F47" s="1">
        <v>900</v>
      </c>
      <c r="G47">
        <f t="shared" si="0"/>
        <v>12.546202089252589</v>
      </c>
    </row>
    <row r="48" spans="1:7" ht="13" x14ac:dyDescent="0.15">
      <c r="A48" s="2">
        <v>44713</v>
      </c>
      <c r="B48" s="1" t="s">
        <v>14</v>
      </c>
      <c r="C48" s="1" t="s">
        <v>18</v>
      </c>
      <c r="D48" s="1">
        <v>16.045707702636701</v>
      </c>
      <c r="E48" s="1">
        <v>157.407186864366</v>
      </c>
      <c r="F48" s="1">
        <v>900</v>
      </c>
      <c r="G48">
        <f t="shared" si="0"/>
        <v>12.546202089252589</v>
      </c>
    </row>
    <row r="49" spans="1:7" ht="13" x14ac:dyDescent="0.15">
      <c r="A49" s="2">
        <v>44713</v>
      </c>
      <c r="B49" s="1" t="s">
        <v>13</v>
      </c>
      <c r="C49" s="1" t="s">
        <v>18</v>
      </c>
      <c r="D49" s="1">
        <v>16.045707702636701</v>
      </c>
      <c r="E49" s="1">
        <v>157.407186864366</v>
      </c>
      <c r="F49" s="1">
        <v>900</v>
      </c>
      <c r="G49">
        <f t="shared" si="0"/>
        <v>12.546202089252589</v>
      </c>
    </row>
    <row r="50" spans="1:7" ht="13" x14ac:dyDescent="0.15">
      <c r="A50" s="2">
        <v>44713</v>
      </c>
      <c r="B50" s="1" t="s">
        <v>10</v>
      </c>
      <c r="C50" s="1" t="s">
        <v>18</v>
      </c>
      <c r="D50" s="1">
        <v>16.045707702636701</v>
      </c>
      <c r="E50" s="1">
        <v>157.407186864366</v>
      </c>
      <c r="F50" s="1">
        <v>900</v>
      </c>
      <c r="G50">
        <f t="shared" si="0"/>
        <v>12.546202089252589</v>
      </c>
    </row>
    <row r="51" spans="1:7" ht="13" x14ac:dyDescent="0.15">
      <c r="A51" s="3">
        <v>44896</v>
      </c>
      <c r="B51" s="1" t="s">
        <v>10</v>
      </c>
      <c r="C51" s="1" t="s">
        <v>17</v>
      </c>
      <c r="D51" s="1">
        <v>58</v>
      </c>
      <c r="E51" s="1">
        <v>607.88058614859403</v>
      </c>
      <c r="F51" s="1">
        <v>2699</v>
      </c>
      <c r="G51">
        <f t="shared" si="0"/>
        <v>24.655234457384381</v>
      </c>
    </row>
    <row r="52" spans="1:7" ht="13" x14ac:dyDescent="0.15">
      <c r="A52" s="3">
        <v>44896</v>
      </c>
      <c r="B52" s="1" t="s">
        <v>14</v>
      </c>
      <c r="C52" s="1" t="s">
        <v>17</v>
      </c>
      <c r="D52" s="1">
        <v>58</v>
      </c>
      <c r="E52" s="1">
        <v>607.88058614859403</v>
      </c>
      <c r="F52" s="1">
        <v>2699</v>
      </c>
      <c r="G52">
        <f t="shared" si="0"/>
        <v>24.655234457384381</v>
      </c>
    </row>
    <row r="53" spans="1:7" ht="13" x14ac:dyDescent="0.15">
      <c r="A53" s="3">
        <v>44896</v>
      </c>
      <c r="B53" s="1" t="s">
        <v>6</v>
      </c>
      <c r="C53" s="1" t="s">
        <v>17</v>
      </c>
      <c r="D53" s="1">
        <v>58</v>
      </c>
      <c r="E53" s="1">
        <v>607.88058614859403</v>
      </c>
      <c r="F53" s="1">
        <v>2699</v>
      </c>
      <c r="G53">
        <f t="shared" si="0"/>
        <v>24.655234457384381</v>
      </c>
    </row>
    <row r="54" spans="1:7" ht="13" x14ac:dyDescent="0.15">
      <c r="A54" s="3">
        <v>44896</v>
      </c>
      <c r="B54" s="1" t="s">
        <v>13</v>
      </c>
      <c r="C54" s="1" t="s">
        <v>17</v>
      </c>
      <c r="D54" s="1">
        <v>58</v>
      </c>
      <c r="E54" s="1">
        <v>607.88058614859403</v>
      </c>
      <c r="F54" s="1">
        <v>2699</v>
      </c>
      <c r="G54">
        <f t="shared" si="0"/>
        <v>24.655234457384381</v>
      </c>
    </row>
    <row r="55" spans="1:7" ht="13" x14ac:dyDescent="0.15">
      <c r="A55" s="3">
        <v>44896</v>
      </c>
      <c r="B55" s="1" t="s">
        <v>12</v>
      </c>
      <c r="C55" s="1" t="s">
        <v>17</v>
      </c>
      <c r="D55" s="1">
        <v>58</v>
      </c>
      <c r="E55" s="1">
        <v>607.88058614859403</v>
      </c>
      <c r="F55" s="1">
        <v>2699</v>
      </c>
      <c r="G55">
        <f t="shared" si="0"/>
        <v>24.655234457384381</v>
      </c>
    </row>
    <row r="56" spans="1:7" ht="13" x14ac:dyDescent="0.15">
      <c r="A56" s="2">
        <v>44652</v>
      </c>
      <c r="B56" s="1" t="s">
        <v>13</v>
      </c>
      <c r="C56" s="1" t="s">
        <v>18</v>
      </c>
      <c r="D56" s="1">
        <v>16.045707702636701</v>
      </c>
      <c r="E56" s="1">
        <v>156.18415945218001</v>
      </c>
      <c r="F56" s="1">
        <v>1183.7857142857099</v>
      </c>
      <c r="G56">
        <f t="shared" si="0"/>
        <v>12.497366100590156</v>
      </c>
    </row>
    <row r="57" spans="1:7" ht="13" x14ac:dyDescent="0.15">
      <c r="A57" s="2">
        <v>44652</v>
      </c>
      <c r="B57" s="1" t="s">
        <v>6</v>
      </c>
      <c r="C57" s="1" t="s">
        <v>18</v>
      </c>
      <c r="D57" s="1">
        <v>16.045707702636701</v>
      </c>
      <c r="E57" s="1">
        <v>156.18415945218001</v>
      </c>
      <c r="F57" s="1">
        <v>1183.7857142857099</v>
      </c>
      <c r="G57">
        <f t="shared" si="0"/>
        <v>12.497366100590156</v>
      </c>
    </row>
    <row r="58" spans="1:7" ht="13" x14ac:dyDescent="0.15">
      <c r="A58" s="2">
        <v>44652</v>
      </c>
      <c r="B58" s="1" t="s">
        <v>12</v>
      </c>
      <c r="C58" s="1" t="s">
        <v>18</v>
      </c>
      <c r="D58" s="1">
        <v>16.045707702636701</v>
      </c>
      <c r="E58" s="1">
        <v>156.18415945218001</v>
      </c>
      <c r="F58" s="1">
        <v>1183.7857142857099</v>
      </c>
      <c r="G58">
        <f t="shared" si="0"/>
        <v>12.497366100590156</v>
      </c>
    </row>
    <row r="59" spans="1:7" ht="13" x14ac:dyDescent="0.15">
      <c r="A59" s="2">
        <v>44652</v>
      </c>
      <c r="B59" s="1" t="s">
        <v>10</v>
      </c>
      <c r="C59" s="1" t="s">
        <v>18</v>
      </c>
      <c r="D59" s="1">
        <v>16.045707702636701</v>
      </c>
      <c r="E59" s="1">
        <v>156.18415945218001</v>
      </c>
      <c r="F59" s="1">
        <v>1183.7857142857099</v>
      </c>
      <c r="G59">
        <f t="shared" si="0"/>
        <v>12.497366100590156</v>
      </c>
    </row>
    <row r="60" spans="1:7" ht="13" x14ac:dyDescent="0.15">
      <c r="A60" s="2">
        <v>44652</v>
      </c>
      <c r="B60" s="1" t="s">
        <v>14</v>
      </c>
      <c r="C60" s="1" t="s">
        <v>18</v>
      </c>
      <c r="D60" s="1">
        <v>16.045707702636701</v>
      </c>
      <c r="E60" s="1">
        <v>156.18415945218001</v>
      </c>
      <c r="F60" s="1">
        <v>1183.7857142857099</v>
      </c>
      <c r="G60">
        <f t="shared" si="0"/>
        <v>12.497366100590156</v>
      </c>
    </row>
    <row r="61" spans="1:7" ht="13" x14ac:dyDescent="0.15">
      <c r="A61" s="2">
        <v>44562</v>
      </c>
      <c r="B61" s="1" t="s">
        <v>14</v>
      </c>
      <c r="C61" s="1" t="s">
        <v>18</v>
      </c>
      <c r="D61" s="1">
        <v>16.045707702636701</v>
      </c>
      <c r="E61" s="1">
        <v>150.74422729516101</v>
      </c>
      <c r="F61" s="1">
        <v>1215</v>
      </c>
      <c r="G61">
        <f t="shared" si="0"/>
        <v>12.277794072843909</v>
      </c>
    </row>
    <row r="62" spans="1:7" ht="13" x14ac:dyDescent="0.15">
      <c r="A62" s="2">
        <v>44562</v>
      </c>
      <c r="B62" s="1" t="s">
        <v>6</v>
      </c>
      <c r="C62" s="1" t="s">
        <v>18</v>
      </c>
      <c r="D62" s="1">
        <v>16.045707702636701</v>
      </c>
      <c r="E62" s="1">
        <v>150.74422729516101</v>
      </c>
      <c r="F62" s="1">
        <v>1215</v>
      </c>
      <c r="G62">
        <f t="shared" si="0"/>
        <v>12.277794072843909</v>
      </c>
    </row>
    <row r="63" spans="1:7" ht="13" x14ac:dyDescent="0.15">
      <c r="A63" s="2">
        <v>44562</v>
      </c>
      <c r="B63" s="1" t="s">
        <v>13</v>
      </c>
      <c r="C63" s="1" t="s">
        <v>18</v>
      </c>
      <c r="D63" s="1">
        <v>16.045707702636701</v>
      </c>
      <c r="E63" s="1">
        <v>150.74422729516101</v>
      </c>
      <c r="F63" s="1">
        <v>1215</v>
      </c>
      <c r="G63">
        <f t="shared" si="0"/>
        <v>12.277794072843909</v>
      </c>
    </row>
    <row r="64" spans="1:7" ht="13" x14ac:dyDescent="0.15">
      <c r="A64" s="2">
        <v>44562</v>
      </c>
      <c r="B64" s="1" t="s">
        <v>10</v>
      </c>
      <c r="C64" s="1" t="s">
        <v>18</v>
      </c>
      <c r="D64" s="1">
        <v>16.045707702636701</v>
      </c>
      <c r="E64" s="1">
        <v>150.74422729516101</v>
      </c>
      <c r="F64" s="1">
        <v>1215</v>
      </c>
      <c r="G64">
        <f t="shared" si="0"/>
        <v>12.277794072843909</v>
      </c>
    </row>
    <row r="65" spans="1:7" ht="13" x14ac:dyDescent="0.15">
      <c r="A65" s="2">
        <v>44562</v>
      </c>
      <c r="B65" s="1" t="s">
        <v>12</v>
      </c>
      <c r="C65" s="1" t="s">
        <v>18</v>
      </c>
      <c r="D65" s="1">
        <v>16.045707702636701</v>
      </c>
      <c r="E65" s="1">
        <v>150.74422729516101</v>
      </c>
      <c r="F65" s="1">
        <v>1215</v>
      </c>
      <c r="G65">
        <f t="shared" si="0"/>
        <v>12.277794072843909</v>
      </c>
    </row>
    <row r="66" spans="1:7" ht="13" x14ac:dyDescent="0.15">
      <c r="A66" s="2">
        <v>44743</v>
      </c>
      <c r="B66" s="1" t="s">
        <v>10</v>
      </c>
      <c r="C66" s="1" t="s">
        <v>15</v>
      </c>
      <c r="D66" s="1">
        <v>25</v>
      </c>
      <c r="E66" s="1">
        <v>215.266524428515</v>
      </c>
      <c r="F66" s="1">
        <v>1756.73498535156</v>
      </c>
      <c r="G66">
        <f t="shared" si="0"/>
        <v>14.671963891330806</v>
      </c>
    </row>
    <row r="67" spans="1:7" ht="13" x14ac:dyDescent="0.15">
      <c r="A67" s="2">
        <v>44743</v>
      </c>
      <c r="B67" s="1" t="s">
        <v>14</v>
      </c>
      <c r="C67" s="1" t="s">
        <v>15</v>
      </c>
      <c r="D67" s="1">
        <v>25</v>
      </c>
      <c r="E67" s="1">
        <v>215.266524428515</v>
      </c>
      <c r="F67" s="1">
        <v>1756.73498535156</v>
      </c>
      <c r="G67">
        <f t="shared" ref="G67:G130" si="2">SQRT(E67)</f>
        <v>14.671963891330806</v>
      </c>
    </row>
    <row r="68" spans="1:7" ht="13" x14ac:dyDescent="0.15">
      <c r="A68" s="2">
        <v>44743</v>
      </c>
      <c r="B68" s="1" t="s">
        <v>6</v>
      </c>
      <c r="C68" s="1" t="s">
        <v>15</v>
      </c>
      <c r="D68" s="1">
        <v>25</v>
      </c>
      <c r="E68" s="1">
        <v>215.266524428515</v>
      </c>
      <c r="F68" s="1">
        <v>1756.73498535156</v>
      </c>
      <c r="G68">
        <f t="shared" si="2"/>
        <v>14.671963891330806</v>
      </c>
    </row>
    <row r="69" spans="1:7" ht="13" x14ac:dyDescent="0.15">
      <c r="A69" s="2">
        <v>44743</v>
      </c>
      <c r="B69" s="1" t="s">
        <v>13</v>
      </c>
      <c r="C69" s="1" t="s">
        <v>15</v>
      </c>
      <c r="D69" s="1">
        <v>25</v>
      </c>
      <c r="E69" s="1">
        <v>215.266524428515</v>
      </c>
      <c r="F69" s="1">
        <v>1756.73498535156</v>
      </c>
      <c r="G69">
        <f t="shared" si="2"/>
        <v>14.671963891330806</v>
      </c>
    </row>
    <row r="70" spans="1:7" ht="13" x14ac:dyDescent="0.15">
      <c r="A70" s="2">
        <v>44743</v>
      </c>
      <c r="B70" s="1" t="s">
        <v>12</v>
      </c>
      <c r="C70" s="1" t="s">
        <v>15</v>
      </c>
      <c r="D70" s="1">
        <v>25</v>
      </c>
      <c r="E70" s="1">
        <v>215.266524428515</v>
      </c>
      <c r="F70" s="1">
        <v>1756.73498535156</v>
      </c>
      <c r="G70">
        <f t="shared" si="2"/>
        <v>14.671963891330806</v>
      </c>
    </row>
    <row r="71" spans="1:7" ht="13" x14ac:dyDescent="0.15">
      <c r="A71" s="3">
        <v>44835</v>
      </c>
      <c r="B71" s="1" t="s">
        <v>12</v>
      </c>
      <c r="C71" s="1" t="s">
        <v>20</v>
      </c>
      <c r="D71" s="1">
        <v>4</v>
      </c>
      <c r="E71" s="1">
        <v>103.130635270556</v>
      </c>
      <c r="F71" s="1">
        <v>895</v>
      </c>
      <c r="G71">
        <f t="shared" si="2"/>
        <v>10.155325463546504</v>
      </c>
    </row>
    <row r="72" spans="1:7" ht="13" x14ac:dyDescent="0.15">
      <c r="A72" s="3">
        <v>44835</v>
      </c>
      <c r="B72" s="1" t="s">
        <v>6</v>
      </c>
      <c r="C72" s="1" t="s">
        <v>20</v>
      </c>
      <c r="D72" s="1">
        <v>4</v>
      </c>
      <c r="E72" s="1">
        <v>103.130635270556</v>
      </c>
      <c r="F72" s="1">
        <v>895</v>
      </c>
      <c r="G72">
        <f t="shared" si="2"/>
        <v>10.155325463546504</v>
      </c>
    </row>
    <row r="73" spans="1:7" ht="13" x14ac:dyDescent="0.15">
      <c r="A73" s="3">
        <v>44835</v>
      </c>
      <c r="B73" s="1" t="s">
        <v>13</v>
      </c>
      <c r="C73" s="1" t="s">
        <v>20</v>
      </c>
      <c r="D73" s="1">
        <v>4</v>
      </c>
      <c r="E73" s="1">
        <v>103.130635270556</v>
      </c>
      <c r="F73" s="1">
        <v>895</v>
      </c>
      <c r="G73">
        <f t="shared" si="2"/>
        <v>10.155325463546504</v>
      </c>
    </row>
    <row r="74" spans="1:7" ht="13" x14ac:dyDescent="0.15">
      <c r="A74" s="3">
        <v>44835</v>
      </c>
      <c r="B74" s="1" t="s">
        <v>14</v>
      </c>
      <c r="C74" s="1" t="s">
        <v>20</v>
      </c>
      <c r="D74" s="1">
        <v>4</v>
      </c>
      <c r="E74" s="1">
        <v>103.130635270556</v>
      </c>
      <c r="F74" s="1">
        <v>895</v>
      </c>
      <c r="G74">
        <f t="shared" si="2"/>
        <v>10.155325463546504</v>
      </c>
    </row>
    <row r="75" spans="1:7" ht="13" x14ac:dyDescent="0.15">
      <c r="A75" s="3">
        <v>44835</v>
      </c>
      <c r="B75" s="1" t="s">
        <v>10</v>
      </c>
      <c r="C75" s="1" t="s">
        <v>20</v>
      </c>
      <c r="D75" s="1">
        <v>4</v>
      </c>
      <c r="E75" s="1">
        <v>103.130635270556</v>
      </c>
      <c r="F75" s="1">
        <v>895</v>
      </c>
      <c r="G75">
        <f t="shared" si="2"/>
        <v>10.155325463546504</v>
      </c>
    </row>
    <row r="76" spans="1:7" ht="13" x14ac:dyDescent="0.15">
      <c r="A76" s="2">
        <v>44713</v>
      </c>
      <c r="B76" s="1" t="s">
        <v>6</v>
      </c>
      <c r="C76" s="1" t="s">
        <v>21</v>
      </c>
      <c r="D76" s="1">
        <v>64</v>
      </c>
      <c r="E76" s="1">
        <v>780.81449823100797</v>
      </c>
      <c r="F76" s="1">
        <v>4503</v>
      </c>
      <c r="G76">
        <f t="shared" si="2"/>
        <v>27.943058140278918</v>
      </c>
    </row>
    <row r="77" spans="1:7" ht="13" x14ac:dyDescent="0.15">
      <c r="A77" s="2">
        <v>44713</v>
      </c>
      <c r="B77" s="1" t="s">
        <v>12</v>
      </c>
      <c r="C77" s="1" t="s">
        <v>21</v>
      </c>
      <c r="D77" s="1">
        <v>64</v>
      </c>
      <c r="E77" s="1">
        <v>780.81449823100797</v>
      </c>
      <c r="F77" s="1">
        <v>4503</v>
      </c>
      <c r="G77">
        <f t="shared" si="2"/>
        <v>27.943058140278918</v>
      </c>
    </row>
    <row r="78" spans="1:7" ht="13" x14ac:dyDescent="0.15">
      <c r="A78" s="2">
        <v>44713</v>
      </c>
      <c r="B78" s="1" t="s">
        <v>14</v>
      </c>
      <c r="C78" s="1" t="s">
        <v>21</v>
      </c>
      <c r="D78" s="1">
        <v>64</v>
      </c>
      <c r="E78" s="1">
        <v>780.81449823100797</v>
      </c>
      <c r="F78" s="1">
        <v>4503</v>
      </c>
      <c r="G78">
        <f t="shared" si="2"/>
        <v>27.943058140278918</v>
      </c>
    </row>
    <row r="79" spans="1:7" ht="13" x14ac:dyDescent="0.15">
      <c r="A79" s="2">
        <v>44713</v>
      </c>
      <c r="B79" s="1" t="s">
        <v>13</v>
      </c>
      <c r="C79" s="1" t="s">
        <v>21</v>
      </c>
      <c r="D79" s="1">
        <v>64</v>
      </c>
      <c r="E79" s="1">
        <v>780.81449823100797</v>
      </c>
      <c r="F79" s="1">
        <v>4503</v>
      </c>
      <c r="G79">
        <f t="shared" si="2"/>
        <v>27.943058140278918</v>
      </c>
    </row>
    <row r="80" spans="1:7" ht="13" x14ac:dyDescent="0.15">
      <c r="A80" s="2">
        <v>44713</v>
      </c>
      <c r="B80" s="1" t="s">
        <v>10</v>
      </c>
      <c r="C80" s="1" t="s">
        <v>21</v>
      </c>
      <c r="D80" s="1">
        <v>64</v>
      </c>
      <c r="E80" s="1">
        <v>780.81449823100797</v>
      </c>
      <c r="F80" s="1">
        <v>4503</v>
      </c>
      <c r="G80">
        <f t="shared" si="2"/>
        <v>27.943058140278918</v>
      </c>
    </row>
    <row r="81" spans="1:7" ht="13" x14ac:dyDescent="0.15">
      <c r="A81" s="2">
        <v>44652</v>
      </c>
      <c r="B81" s="1" t="s">
        <v>13</v>
      </c>
      <c r="C81" s="1" t="s">
        <v>22</v>
      </c>
      <c r="D81" s="1">
        <v>8</v>
      </c>
      <c r="E81" s="1">
        <v>118.62173176469101</v>
      </c>
      <c r="F81" s="1">
        <v>1175</v>
      </c>
      <c r="G81">
        <f t="shared" si="2"/>
        <v>10.891360418455125</v>
      </c>
    </row>
    <row r="82" spans="1:7" ht="13" x14ac:dyDescent="0.15">
      <c r="A82" s="2">
        <v>44652</v>
      </c>
      <c r="B82" s="1" t="s">
        <v>6</v>
      </c>
      <c r="C82" s="1" t="s">
        <v>22</v>
      </c>
      <c r="D82" s="1">
        <v>8</v>
      </c>
      <c r="E82" s="1">
        <v>118.62173176469101</v>
      </c>
      <c r="F82" s="1">
        <v>1175</v>
      </c>
      <c r="G82">
        <f t="shared" si="2"/>
        <v>10.891360418455125</v>
      </c>
    </row>
    <row r="83" spans="1:7" ht="13" x14ac:dyDescent="0.15">
      <c r="A83" s="2">
        <v>44652</v>
      </c>
      <c r="B83" s="1" t="s">
        <v>12</v>
      </c>
      <c r="C83" s="1" t="s">
        <v>22</v>
      </c>
      <c r="D83" s="1">
        <v>8</v>
      </c>
      <c r="E83" s="1">
        <v>118.62173176469101</v>
      </c>
      <c r="F83" s="1">
        <v>1175</v>
      </c>
      <c r="G83">
        <f t="shared" si="2"/>
        <v>10.891360418455125</v>
      </c>
    </row>
    <row r="84" spans="1:7" ht="13" x14ac:dyDescent="0.15">
      <c r="A84" s="2">
        <v>44652</v>
      </c>
      <c r="B84" s="1" t="s">
        <v>10</v>
      </c>
      <c r="C84" s="1" t="s">
        <v>22</v>
      </c>
      <c r="D84" s="1">
        <v>8</v>
      </c>
      <c r="E84" s="1">
        <v>118.62173176469101</v>
      </c>
      <c r="F84" s="1">
        <v>1175</v>
      </c>
      <c r="G84">
        <f t="shared" si="2"/>
        <v>10.891360418455125</v>
      </c>
    </row>
    <row r="85" spans="1:7" ht="13" x14ac:dyDescent="0.15">
      <c r="A85" s="2">
        <v>44652</v>
      </c>
      <c r="B85" s="1" t="s">
        <v>14</v>
      </c>
      <c r="C85" s="1" t="s">
        <v>22</v>
      </c>
      <c r="D85" s="1">
        <v>8</v>
      </c>
      <c r="E85" s="1">
        <v>118.62173176469101</v>
      </c>
      <c r="F85" s="1">
        <v>1175</v>
      </c>
      <c r="G85">
        <f t="shared" si="2"/>
        <v>10.891360418455125</v>
      </c>
    </row>
    <row r="86" spans="1:7" ht="13" x14ac:dyDescent="0.15">
      <c r="A86" s="3">
        <v>44835</v>
      </c>
      <c r="B86" s="1" t="s">
        <v>12</v>
      </c>
      <c r="C86" s="1" t="s">
        <v>19</v>
      </c>
      <c r="D86" s="1">
        <v>52</v>
      </c>
      <c r="E86" s="1">
        <v>466.35683522453098</v>
      </c>
      <c r="F86" s="1">
        <v>1846.5</v>
      </c>
      <c r="G86">
        <f t="shared" si="2"/>
        <v>21.595296599596196</v>
      </c>
    </row>
    <row r="87" spans="1:7" ht="13" x14ac:dyDescent="0.15">
      <c r="A87" s="3">
        <v>44835</v>
      </c>
      <c r="B87" s="1" t="s">
        <v>6</v>
      </c>
      <c r="C87" s="1" t="s">
        <v>19</v>
      </c>
      <c r="D87" s="1">
        <v>52</v>
      </c>
      <c r="E87" s="1">
        <v>466.35683522453098</v>
      </c>
      <c r="F87" s="1">
        <v>1846.5</v>
      </c>
      <c r="G87">
        <f t="shared" si="2"/>
        <v>21.595296599596196</v>
      </c>
    </row>
    <row r="88" spans="1:7" ht="13" x14ac:dyDescent="0.15">
      <c r="A88" s="3">
        <v>44835</v>
      </c>
      <c r="B88" s="1" t="s">
        <v>13</v>
      </c>
      <c r="C88" s="1" t="s">
        <v>19</v>
      </c>
      <c r="D88" s="1">
        <v>52</v>
      </c>
      <c r="E88" s="1">
        <v>466.35683522453098</v>
      </c>
      <c r="F88" s="1">
        <v>1846.5</v>
      </c>
      <c r="G88">
        <f t="shared" si="2"/>
        <v>21.595296599596196</v>
      </c>
    </row>
    <row r="89" spans="1:7" ht="13" x14ac:dyDescent="0.15">
      <c r="A89" s="3">
        <v>44835</v>
      </c>
      <c r="B89" s="1" t="s">
        <v>14</v>
      </c>
      <c r="C89" s="1" t="s">
        <v>19</v>
      </c>
      <c r="D89" s="1">
        <v>52</v>
      </c>
      <c r="E89" s="1">
        <v>466.35683522453098</v>
      </c>
      <c r="F89" s="1">
        <v>1846.5</v>
      </c>
      <c r="G89">
        <f t="shared" si="2"/>
        <v>21.595296599596196</v>
      </c>
    </row>
    <row r="90" spans="1:7" ht="13" x14ac:dyDescent="0.15">
      <c r="A90" s="3">
        <v>44835</v>
      </c>
      <c r="B90" s="1" t="s">
        <v>10</v>
      </c>
      <c r="C90" s="1" t="s">
        <v>19</v>
      </c>
      <c r="D90" s="1">
        <v>52</v>
      </c>
      <c r="E90" s="1">
        <v>466.35683522453098</v>
      </c>
      <c r="F90" s="1">
        <v>1846.5</v>
      </c>
      <c r="G90">
        <f t="shared" si="2"/>
        <v>21.595296599596196</v>
      </c>
    </row>
    <row r="91" spans="1:7" ht="13" x14ac:dyDescent="0.15">
      <c r="A91" s="3">
        <v>44835</v>
      </c>
      <c r="B91" s="1" t="s">
        <v>12</v>
      </c>
      <c r="C91" s="1" t="s">
        <v>17</v>
      </c>
      <c r="D91" s="1">
        <v>57.25</v>
      </c>
      <c r="E91" s="1">
        <v>588.81133427065402</v>
      </c>
      <c r="F91" s="1">
        <v>2540</v>
      </c>
      <c r="G91">
        <f t="shared" si="2"/>
        <v>24.265434969739445</v>
      </c>
    </row>
    <row r="92" spans="1:7" ht="13" x14ac:dyDescent="0.15">
      <c r="A92" s="3">
        <v>44835</v>
      </c>
      <c r="B92" s="1" t="s">
        <v>6</v>
      </c>
      <c r="C92" s="1" t="s">
        <v>17</v>
      </c>
      <c r="D92" s="1">
        <v>57.25</v>
      </c>
      <c r="E92" s="1">
        <v>588.81133427065402</v>
      </c>
      <c r="F92" s="1">
        <v>2540</v>
      </c>
      <c r="G92">
        <f t="shared" si="2"/>
        <v>24.265434969739445</v>
      </c>
    </row>
    <row r="93" spans="1:7" ht="13" x14ac:dyDescent="0.15">
      <c r="A93" s="3">
        <v>44835</v>
      </c>
      <c r="B93" s="1" t="s">
        <v>13</v>
      </c>
      <c r="C93" s="1" t="s">
        <v>17</v>
      </c>
      <c r="D93" s="1">
        <v>57.25</v>
      </c>
      <c r="E93" s="1">
        <v>588.81133427065402</v>
      </c>
      <c r="F93" s="1">
        <v>2540</v>
      </c>
      <c r="G93">
        <f t="shared" si="2"/>
        <v>24.265434969739445</v>
      </c>
    </row>
    <row r="94" spans="1:7" ht="13" x14ac:dyDescent="0.15">
      <c r="A94" s="3">
        <v>44835</v>
      </c>
      <c r="B94" s="1" t="s">
        <v>14</v>
      </c>
      <c r="C94" s="1" t="s">
        <v>17</v>
      </c>
      <c r="D94" s="1">
        <v>57.25</v>
      </c>
      <c r="E94" s="1">
        <v>588.81133427065402</v>
      </c>
      <c r="F94" s="1">
        <v>2540</v>
      </c>
      <c r="G94">
        <f t="shared" si="2"/>
        <v>24.265434969739445</v>
      </c>
    </row>
    <row r="95" spans="1:7" ht="13" x14ac:dyDescent="0.15">
      <c r="A95" s="3">
        <v>44835</v>
      </c>
      <c r="B95" s="1" t="s">
        <v>10</v>
      </c>
      <c r="C95" s="1" t="s">
        <v>17</v>
      </c>
      <c r="D95" s="1">
        <v>57.25</v>
      </c>
      <c r="E95" s="1">
        <v>588.81133427065402</v>
      </c>
      <c r="F95" s="1">
        <v>2540</v>
      </c>
      <c r="G95">
        <f t="shared" si="2"/>
        <v>24.265434969739445</v>
      </c>
    </row>
    <row r="96" spans="1:7" ht="13" x14ac:dyDescent="0.15">
      <c r="A96" s="2">
        <v>44682</v>
      </c>
      <c r="B96" s="1" t="s">
        <v>12</v>
      </c>
      <c r="C96" s="1" t="s">
        <v>7</v>
      </c>
      <c r="D96" s="1">
        <v>33</v>
      </c>
      <c r="E96" s="1">
        <v>243.69845021218799</v>
      </c>
      <c r="F96" s="1">
        <v>2181.83984375</v>
      </c>
      <c r="G96">
        <f t="shared" si="2"/>
        <v>15.610843994230036</v>
      </c>
    </row>
    <row r="97" spans="1:7" ht="13" x14ac:dyDescent="0.15">
      <c r="A97" s="2">
        <v>44682</v>
      </c>
      <c r="B97" s="1" t="s">
        <v>14</v>
      </c>
      <c r="C97" s="1" t="s">
        <v>7</v>
      </c>
      <c r="D97" s="1">
        <v>33</v>
      </c>
      <c r="E97" s="1">
        <v>243.69845021218799</v>
      </c>
      <c r="F97" s="1">
        <v>2181.83984375</v>
      </c>
      <c r="G97">
        <f t="shared" si="2"/>
        <v>15.610843994230036</v>
      </c>
    </row>
    <row r="98" spans="1:7" ht="13" x14ac:dyDescent="0.15">
      <c r="A98" s="2">
        <v>44682</v>
      </c>
      <c r="B98" s="1" t="s">
        <v>6</v>
      </c>
      <c r="C98" s="1" t="s">
        <v>7</v>
      </c>
      <c r="D98" s="1">
        <v>33</v>
      </c>
      <c r="E98" s="1">
        <v>243.69845021218799</v>
      </c>
      <c r="F98" s="1">
        <v>2181.83984375</v>
      </c>
      <c r="G98">
        <f t="shared" si="2"/>
        <v>15.610843994230036</v>
      </c>
    </row>
    <row r="99" spans="1:7" ht="13" x14ac:dyDescent="0.15">
      <c r="A99" s="2">
        <v>44682</v>
      </c>
      <c r="B99" s="1" t="s">
        <v>13</v>
      </c>
      <c r="C99" s="1" t="s">
        <v>7</v>
      </c>
      <c r="D99" s="1">
        <v>33</v>
      </c>
      <c r="E99" s="1">
        <v>243.69845021218799</v>
      </c>
      <c r="F99" s="1">
        <v>2181.83984375</v>
      </c>
      <c r="G99">
        <f t="shared" si="2"/>
        <v>15.610843994230036</v>
      </c>
    </row>
    <row r="100" spans="1:7" ht="13" x14ac:dyDescent="0.15">
      <c r="A100" s="2">
        <v>44682</v>
      </c>
      <c r="B100" s="1" t="s">
        <v>10</v>
      </c>
      <c r="C100" s="1" t="s">
        <v>7</v>
      </c>
      <c r="D100" s="1">
        <v>33</v>
      </c>
      <c r="E100" s="1">
        <v>243.69845021218799</v>
      </c>
      <c r="F100" s="1">
        <v>2181.83984375</v>
      </c>
      <c r="G100">
        <f t="shared" si="2"/>
        <v>15.610843994230036</v>
      </c>
    </row>
    <row r="101" spans="1:7" ht="13" x14ac:dyDescent="0.15">
      <c r="A101" s="3">
        <v>44531</v>
      </c>
      <c r="B101" s="1" t="s">
        <v>14</v>
      </c>
      <c r="C101" s="1" t="s">
        <v>20</v>
      </c>
      <c r="D101" s="1">
        <v>5.7248792648315403</v>
      </c>
      <c r="E101" s="1">
        <v>84.742477777688705</v>
      </c>
      <c r="F101" s="1">
        <v>838.27273559570301</v>
      </c>
      <c r="G101">
        <f t="shared" si="2"/>
        <v>9.2055677596598411</v>
      </c>
    </row>
    <row r="102" spans="1:7" ht="13" x14ac:dyDescent="0.15">
      <c r="A102" s="3">
        <v>44531</v>
      </c>
      <c r="B102" s="1" t="s">
        <v>6</v>
      </c>
      <c r="C102" s="1" t="s">
        <v>20</v>
      </c>
      <c r="D102" s="1">
        <v>5.7248792648315403</v>
      </c>
      <c r="E102" s="1">
        <v>84.742477777688705</v>
      </c>
      <c r="F102" s="1">
        <v>838.27273559570301</v>
      </c>
      <c r="G102">
        <f t="shared" si="2"/>
        <v>9.2055677596598411</v>
      </c>
    </row>
    <row r="103" spans="1:7" ht="13" x14ac:dyDescent="0.15">
      <c r="A103" s="3">
        <v>44531</v>
      </c>
      <c r="B103" s="1" t="s">
        <v>10</v>
      </c>
      <c r="C103" s="1" t="s">
        <v>20</v>
      </c>
      <c r="D103" s="1">
        <v>5.7248792648315403</v>
      </c>
      <c r="E103" s="1">
        <v>84.742477777688705</v>
      </c>
      <c r="F103" s="1">
        <v>838.27273559570301</v>
      </c>
      <c r="G103">
        <f t="shared" si="2"/>
        <v>9.2055677596598411</v>
      </c>
    </row>
    <row r="104" spans="1:7" ht="13" x14ac:dyDescent="0.15">
      <c r="A104" s="3">
        <v>44531</v>
      </c>
      <c r="B104" s="1" t="s">
        <v>12</v>
      </c>
      <c r="C104" s="1" t="s">
        <v>20</v>
      </c>
      <c r="D104" s="1">
        <v>5.7248792648315403</v>
      </c>
      <c r="E104" s="1">
        <v>84.742477777688705</v>
      </c>
      <c r="F104" s="1">
        <v>838.27273559570301</v>
      </c>
      <c r="G104">
        <f t="shared" si="2"/>
        <v>9.2055677596598411</v>
      </c>
    </row>
    <row r="105" spans="1:7" ht="13" x14ac:dyDescent="0.15">
      <c r="A105" s="3">
        <v>44531</v>
      </c>
      <c r="B105" s="1" t="s">
        <v>13</v>
      </c>
      <c r="C105" s="1" t="s">
        <v>20</v>
      </c>
      <c r="D105" s="1">
        <v>5.7248792648315403</v>
      </c>
      <c r="E105" s="1">
        <v>84.742477777688705</v>
      </c>
      <c r="F105" s="1">
        <v>838.27273559570301</v>
      </c>
      <c r="G105">
        <f t="shared" si="2"/>
        <v>9.2055677596598411</v>
      </c>
    </row>
    <row r="106" spans="1:7" ht="13" x14ac:dyDescent="0.15">
      <c r="A106" s="2">
        <v>44713</v>
      </c>
      <c r="B106" s="1" t="s">
        <v>6</v>
      </c>
      <c r="C106" s="1" t="s">
        <v>8</v>
      </c>
      <c r="D106" s="1">
        <v>46</v>
      </c>
      <c r="E106" s="1">
        <v>388.33786990491097</v>
      </c>
      <c r="F106" s="1">
        <v>1697.5</v>
      </c>
      <c r="G106">
        <f t="shared" si="2"/>
        <v>19.706290110137701</v>
      </c>
    </row>
    <row r="107" spans="1:7" ht="13" x14ac:dyDescent="0.15">
      <c r="A107" s="2">
        <v>44713</v>
      </c>
      <c r="B107" s="1" t="s">
        <v>12</v>
      </c>
      <c r="C107" s="1" t="s">
        <v>8</v>
      </c>
      <c r="D107" s="1">
        <v>46</v>
      </c>
      <c r="E107" s="1">
        <v>388.33786990491097</v>
      </c>
      <c r="F107" s="1">
        <v>1697.5</v>
      </c>
      <c r="G107">
        <f t="shared" si="2"/>
        <v>19.706290110137701</v>
      </c>
    </row>
    <row r="108" spans="1:7" ht="13" x14ac:dyDescent="0.15">
      <c r="A108" s="2">
        <v>44713</v>
      </c>
      <c r="B108" s="1" t="s">
        <v>14</v>
      </c>
      <c r="C108" s="1" t="s">
        <v>8</v>
      </c>
      <c r="D108" s="1">
        <v>46</v>
      </c>
      <c r="E108" s="1">
        <v>388.33786990491097</v>
      </c>
      <c r="F108" s="1">
        <v>1697.5</v>
      </c>
      <c r="G108">
        <f t="shared" si="2"/>
        <v>19.706290110137701</v>
      </c>
    </row>
    <row r="109" spans="1:7" ht="13" x14ac:dyDescent="0.15">
      <c r="A109" s="2">
        <v>44713</v>
      </c>
      <c r="B109" s="1" t="s">
        <v>13</v>
      </c>
      <c r="C109" s="1" t="s">
        <v>8</v>
      </c>
      <c r="D109" s="1">
        <v>46</v>
      </c>
      <c r="E109" s="1">
        <v>388.33786990491097</v>
      </c>
      <c r="F109" s="1">
        <v>1697.5</v>
      </c>
      <c r="G109">
        <f t="shared" si="2"/>
        <v>19.706290110137701</v>
      </c>
    </row>
    <row r="110" spans="1:7" ht="13" x14ac:dyDescent="0.15">
      <c r="A110" s="2">
        <v>44713</v>
      </c>
      <c r="B110" s="1" t="s">
        <v>10</v>
      </c>
      <c r="C110" s="1" t="s">
        <v>8</v>
      </c>
      <c r="D110" s="1">
        <v>46</v>
      </c>
      <c r="E110" s="1">
        <v>388.33786990491097</v>
      </c>
      <c r="F110" s="1">
        <v>1697.5</v>
      </c>
      <c r="G110">
        <f t="shared" si="2"/>
        <v>19.706290110137701</v>
      </c>
    </row>
    <row r="111" spans="1:7" ht="13" x14ac:dyDescent="0.15">
      <c r="A111" s="2">
        <v>44805</v>
      </c>
      <c r="B111" s="1" t="s">
        <v>10</v>
      </c>
      <c r="C111" s="1" t="s">
        <v>15</v>
      </c>
      <c r="D111" s="1">
        <v>25</v>
      </c>
      <c r="E111" s="1">
        <v>193.942563919023</v>
      </c>
      <c r="F111" s="1">
        <v>887.48645019531205</v>
      </c>
      <c r="G111">
        <f t="shared" si="2"/>
        <v>13.9263262894068</v>
      </c>
    </row>
    <row r="112" spans="1:7" ht="13" x14ac:dyDescent="0.15">
      <c r="A112" s="2">
        <v>44805</v>
      </c>
      <c r="B112" s="1" t="s">
        <v>6</v>
      </c>
      <c r="C112" s="1" t="s">
        <v>15</v>
      </c>
      <c r="D112" s="1">
        <v>25</v>
      </c>
      <c r="E112" s="1">
        <v>193.942563919023</v>
      </c>
      <c r="F112" s="1">
        <v>887.48645019531205</v>
      </c>
      <c r="G112">
        <f t="shared" si="2"/>
        <v>13.9263262894068</v>
      </c>
    </row>
    <row r="113" spans="1:7" ht="13" x14ac:dyDescent="0.15">
      <c r="A113" s="2">
        <v>44805</v>
      </c>
      <c r="B113" s="1" t="s">
        <v>12</v>
      </c>
      <c r="C113" s="1" t="s">
        <v>15</v>
      </c>
      <c r="D113" s="1">
        <v>25</v>
      </c>
      <c r="E113" s="1">
        <v>193.942563919023</v>
      </c>
      <c r="F113" s="1">
        <v>887.48645019531205</v>
      </c>
      <c r="G113">
        <f t="shared" si="2"/>
        <v>13.9263262894068</v>
      </c>
    </row>
    <row r="114" spans="1:7" ht="13" x14ac:dyDescent="0.15">
      <c r="A114" s="2">
        <v>44805</v>
      </c>
      <c r="B114" s="1" t="s">
        <v>13</v>
      </c>
      <c r="C114" s="1" t="s">
        <v>15</v>
      </c>
      <c r="D114" s="1">
        <v>25</v>
      </c>
      <c r="E114" s="1">
        <v>193.942563919023</v>
      </c>
      <c r="F114" s="1">
        <v>887.48645019531205</v>
      </c>
      <c r="G114">
        <f t="shared" si="2"/>
        <v>13.9263262894068</v>
      </c>
    </row>
    <row r="115" spans="1:7" ht="13" x14ac:dyDescent="0.15">
      <c r="A115" s="2">
        <v>44805</v>
      </c>
      <c r="B115" s="1" t="s">
        <v>14</v>
      </c>
      <c r="C115" s="1" t="s">
        <v>15</v>
      </c>
      <c r="D115" s="1">
        <v>25</v>
      </c>
      <c r="E115" s="1">
        <v>193.942563919023</v>
      </c>
      <c r="F115" s="1">
        <v>887.48645019531205</v>
      </c>
      <c r="G115">
        <f t="shared" si="2"/>
        <v>13.9263262894068</v>
      </c>
    </row>
    <row r="116" spans="1:7" ht="13" x14ac:dyDescent="0.15">
      <c r="A116" s="2">
        <v>44743</v>
      </c>
      <c r="B116" s="1" t="s">
        <v>10</v>
      </c>
      <c r="C116" s="1" t="s">
        <v>20</v>
      </c>
      <c r="D116" s="1">
        <v>3</v>
      </c>
      <c r="E116" s="1">
        <v>75.906196455876398</v>
      </c>
      <c r="F116" s="1">
        <v>991</v>
      </c>
      <c r="G116">
        <f t="shared" si="2"/>
        <v>8.7124162237508145</v>
      </c>
    </row>
    <row r="117" spans="1:7" ht="13" x14ac:dyDescent="0.15">
      <c r="A117" s="2">
        <v>44743</v>
      </c>
      <c r="B117" s="1" t="s">
        <v>14</v>
      </c>
      <c r="C117" s="1" t="s">
        <v>20</v>
      </c>
      <c r="D117" s="1">
        <v>3</v>
      </c>
      <c r="E117" s="1">
        <v>75.906196455876398</v>
      </c>
      <c r="F117" s="1">
        <v>991</v>
      </c>
      <c r="G117">
        <f t="shared" si="2"/>
        <v>8.7124162237508145</v>
      </c>
    </row>
    <row r="118" spans="1:7" ht="13" x14ac:dyDescent="0.15">
      <c r="A118" s="2">
        <v>44743</v>
      </c>
      <c r="B118" s="1" t="s">
        <v>6</v>
      </c>
      <c r="C118" s="1" t="s">
        <v>20</v>
      </c>
      <c r="D118" s="1">
        <v>3</v>
      </c>
      <c r="E118" s="1">
        <v>75.906196455876398</v>
      </c>
      <c r="F118" s="1">
        <v>991</v>
      </c>
      <c r="G118">
        <f t="shared" si="2"/>
        <v>8.7124162237508145</v>
      </c>
    </row>
    <row r="119" spans="1:7" ht="13" x14ac:dyDescent="0.15">
      <c r="A119" s="2">
        <v>44743</v>
      </c>
      <c r="B119" s="1" t="s">
        <v>13</v>
      </c>
      <c r="C119" s="1" t="s">
        <v>20</v>
      </c>
      <c r="D119" s="1">
        <v>3</v>
      </c>
      <c r="E119" s="1">
        <v>75.906196455876398</v>
      </c>
      <c r="F119" s="1">
        <v>991</v>
      </c>
      <c r="G119">
        <f t="shared" si="2"/>
        <v>8.7124162237508145</v>
      </c>
    </row>
    <row r="120" spans="1:7" ht="13" x14ac:dyDescent="0.15">
      <c r="A120" s="2">
        <v>44743</v>
      </c>
      <c r="B120" s="1" t="s">
        <v>12</v>
      </c>
      <c r="C120" s="1" t="s">
        <v>20</v>
      </c>
      <c r="D120" s="1">
        <v>3</v>
      </c>
      <c r="E120" s="1">
        <v>75.906196455876398</v>
      </c>
      <c r="F120" s="1">
        <v>991</v>
      </c>
      <c r="G120">
        <f t="shared" si="2"/>
        <v>8.7124162237508145</v>
      </c>
    </row>
    <row r="121" spans="1:7" ht="13" x14ac:dyDescent="0.15">
      <c r="A121" s="2">
        <v>44713</v>
      </c>
      <c r="B121" s="1" t="s">
        <v>6</v>
      </c>
      <c r="C121" s="1" t="s">
        <v>20</v>
      </c>
      <c r="D121" s="1">
        <v>1</v>
      </c>
      <c r="E121" s="1">
        <v>89.076176927241704</v>
      </c>
      <c r="F121" s="1">
        <v>895</v>
      </c>
      <c r="G121">
        <f t="shared" si="2"/>
        <v>9.4380176375784401</v>
      </c>
    </row>
    <row r="122" spans="1:7" ht="13" x14ac:dyDescent="0.15">
      <c r="A122" s="2">
        <v>44713</v>
      </c>
      <c r="B122" s="1" t="s">
        <v>12</v>
      </c>
      <c r="C122" s="1" t="s">
        <v>20</v>
      </c>
      <c r="D122" s="1">
        <v>1</v>
      </c>
      <c r="E122" s="1">
        <v>89.076176927241704</v>
      </c>
      <c r="F122" s="1">
        <v>895</v>
      </c>
      <c r="G122">
        <f t="shared" si="2"/>
        <v>9.4380176375784401</v>
      </c>
    </row>
    <row r="123" spans="1:7" ht="13" x14ac:dyDescent="0.15">
      <c r="A123" s="2">
        <v>44713</v>
      </c>
      <c r="B123" s="1" t="s">
        <v>14</v>
      </c>
      <c r="C123" s="1" t="s">
        <v>20</v>
      </c>
      <c r="D123" s="1">
        <v>1</v>
      </c>
      <c r="E123" s="1">
        <v>89.076176927241704</v>
      </c>
      <c r="F123" s="1">
        <v>895</v>
      </c>
      <c r="G123">
        <f t="shared" si="2"/>
        <v>9.4380176375784401</v>
      </c>
    </row>
    <row r="124" spans="1:7" ht="13" x14ac:dyDescent="0.15">
      <c r="A124" s="2">
        <v>44713</v>
      </c>
      <c r="B124" s="1" t="s">
        <v>13</v>
      </c>
      <c r="C124" s="1" t="s">
        <v>20</v>
      </c>
      <c r="D124" s="1">
        <v>1</v>
      </c>
      <c r="E124" s="1">
        <v>89.076176927241704</v>
      </c>
      <c r="F124" s="1">
        <v>895</v>
      </c>
      <c r="G124">
        <f t="shared" si="2"/>
        <v>9.4380176375784401</v>
      </c>
    </row>
    <row r="125" spans="1:7" ht="13" x14ac:dyDescent="0.15">
      <c r="A125" s="2">
        <v>44713</v>
      </c>
      <c r="B125" s="1" t="s">
        <v>10</v>
      </c>
      <c r="C125" s="1" t="s">
        <v>20</v>
      </c>
      <c r="D125" s="1">
        <v>1</v>
      </c>
      <c r="E125" s="1">
        <v>89.076176927241704</v>
      </c>
      <c r="F125" s="1">
        <v>895</v>
      </c>
      <c r="G125">
        <f t="shared" si="2"/>
        <v>9.4380176375784401</v>
      </c>
    </row>
    <row r="126" spans="1:7" ht="13" x14ac:dyDescent="0.15">
      <c r="A126" s="2">
        <v>44713</v>
      </c>
      <c r="B126" s="1" t="s">
        <v>6</v>
      </c>
      <c r="C126" s="1" t="s">
        <v>9</v>
      </c>
      <c r="D126" s="1">
        <v>20.6301956176757</v>
      </c>
      <c r="E126" s="1">
        <v>174.79286917086301</v>
      </c>
      <c r="F126" s="1">
        <v>1577.64282226562</v>
      </c>
      <c r="G126">
        <f t="shared" si="2"/>
        <v>13.220925427929128</v>
      </c>
    </row>
    <row r="127" spans="1:7" ht="13" x14ac:dyDescent="0.15">
      <c r="A127" s="2">
        <v>44713</v>
      </c>
      <c r="B127" s="1" t="s">
        <v>12</v>
      </c>
      <c r="C127" s="1" t="s">
        <v>9</v>
      </c>
      <c r="D127" s="1">
        <v>20.6301956176757</v>
      </c>
      <c r="E127" s="1">
        <v>174.79286917086301</v>
      </c>
      <c r="F127" s="1">
        <v>1577.64282226562</v>
      </c>
      <c r="G127">
        <f t="shared" si="2"/>
        <v>13.220925427929128</v>
      </c>
    </row>
    <row r="128" spans="1:7" ht="13" x14ac:dyDescent="0.15">
      <c r="A128" s="2">
        <v>44713</v>
      </c>
      <c r="B128" s="1" t="s">
        <v>14</v>
      </c>
      <c r="C128" s="1" t="s">
        <v>9</v>
      </c>
      <c r="D128" s="1">
        <v>20.6301956176757</v>
      </c>
      <c r="E128" s="1">
        <v>174.79286917086301</v>
      </c>
      <c r="F128" s="1">
        <v>1577.64282226562</v>
      </c>
      <c r="G128">
        <f t="shared" si="2"/>
        <v>13.220925427929128</v>
      </c>
    </row>
    <row r="129" spans="1:7" ht="13" x14ac:dyDescent="0.15">
      <c r="A129" s="2">
        <v>44713</v>
      </c>
      <c r="B129" s="1" t="s">
        <v>13</v>
      </c>
      <c r="C129" s="1" t="s">
        <v>9</v>
      </c>
      <c r="D129" s="1">
        <v>20.6301956176757</v>
      </c>
      <c r="E129" s="1">
        <v>174.79286917086301</v>
      </c>
      <c r="F129" s="1">
        <v>1577.64282226562</v>
      </c>
      <c r="G129">
        <f t="shared" si="2"/>
        <v>13.220925427929128</v>
      </c>
    </row>
    <row r="130" spans="1:7" ht="13" x14ac:dyDescent="0.15">
      <c r="A130" s="2">
        <v>44713</v>
      </c>
      <c r="B130" s="1" t="s">
        <v>10</v>
      </c>
      <c r="C130" s="1" t="s">
        <v>9</v>
      </c>
      <c r="D130" s="1">
        <v>20.6301956176757</v>
      </c>
      <c r="E130" s="1">
        <v>174.79286917086301</v>
      </c>
      <c r="F130" s="1">
        <v>1577.64282226562</v>
      </c>
      <c r="G130">
        <f t="shared" si="2"/>
        <v>13.220925427929128</v>
      </c>
    </row>
    <row r="131" spans="1:7" ht="13" x14ac:dyDescent="0.15">
      <c r="A131" s="3">
        <v>44866</v>
      </c>
      <c r="B131" s="1" t="s">
        <v>13</v>
      </c>
      <c r="C131" s="1" t="s">
        <v>17</v>
      </c>
      <c r="D131" s="1">
        <v>58</v>
      </c>
      <c r="E131" s="1">
        <v>557.30108303629004</v>
      </c>
      <c r="F131" s="1">
        <v>2444.5</v>
      </c>
      <c r="G131">
        <f t="shared" ref="G131:G194" si="3">SQRT(E131)</f>
        <v>23.607225229498912</v>
      </c>
    </row>
    <row r="132" spans="1:7" ht="13" x14ac:dyDescent="0.15">
      <c r="A132" s="3">
        <v>44866</v>
      </c>
      <c r="B132" s="1" t="s">
        <v>12</v>
      </c>
      <c r="C132" s="1" t="s">
        <v>17</v>
      </c>
      <c r="D132" s="1">
        <v>58</v>
      </c>
      <c r="E132" s="1">
        <v>557.30108303629004</v>
      </c>
      <c r="F132" s="1">
        <v>2444.5</v>
      </c>
      <c r="G132">
        <f t="shared" si="3"/>
        <v>23.607225229498912</v>
      </c>
    </row>
    <row r="133" spans="1:7" ht="13" x14ac:dyDescent="0.15">
      <c r="A133" s="3">
        <v>44866</v>
      </c>
      <c r="B133" s="1" t="s">
        <v>6</v>
      </c>
      <c r="C133" s="1" t="s">
        <v>17</v>
      </c>
      <c r="D133" s="1">
        <v>58</v>
      </c>
      <c r="E133" s="1">
        <v>557.30108303629004</v>
      </c>
      <c r="F133" s="1">
        <v>2444.5</v>
      </c>
      <c r="G133">
        <f t="shared" si="3"/>
        <v>23.607225229498912</v>
      </c>
    </row>
    <row r="134" spans="1:7" ht="13" x14ac:dyDescent="0.15">
      <c r="A134" s="3">
        <v>44866</v>
      </c>
      <c r="B134" s="1" t="s">
        <v>10</v>
      </c>
      <c r="C134" s="1" t="s">
        <v>17</v>
      </c>
      <c r="D134" s="1">
        <v>58</v>
      </c>
      <c r="E134" s="1">
        <v>557.30108303629004</v>
      </c>
      <c r="F134" s="1">
        <v>2444.5</v>
      </c>
      <c r="G134">
        <f t="shared" si="3"/>
        <v>23.607225229498912</v>
      </c>
    </row>
    <row r="135" spans="1:7" ht="13" x14ac:dyDescent="0.15">
      <c r="A135" s="3">
        <v>44866</v>
      </c>
      <c r="B135" s="1" t="s">
        <v>14</v>
      </c>
      <c r="C135" s="1" t="s">
        <v>17</v>
      </c>
      <c r="D135" s="1">
        <v>58</v>
      </c>
      <c r="E135" s="1">
        <v>557.30108303629004</v>
      </c>
      <c r="F135" s="1">
        <v>2444.5</v>
      </c>
      <c r="G135">
        <f t="shared" si="3"/>
        <v>23.607225229498912</v>
      </c>
    </row>
    <row r="136" spans="1:7" ht="13" x14ac:dyDescent="0.15">
      <c r="A136" s="3">
        <v>44531</v>
      </c>
      <c r="B136" s="1" t="s">
        <v>14</v>
      </c>
      <c r="C136" s="1" t="s">
        <v>15</v>
      </c>
      <c r="D136" s="1">
        <v>25.776283264160099</v>
      </c>
      <c r="E136" s="1">
        <v>211.49162812994399</v>
      </c>
      <c r="F136" s="1">
        <v>1339.9375</v>
      </c>
      <c r="G136">
        <f t="shared" si="3"/>
        <v>14.542751738579049</v>
      </c>
    </row>
    <row r="137" spans="1:7" ht="13" x14ac:dyDescent="0.15">
      <c r="A137" s="3">
        <v>44531</v>
      </c>
      <c r="B137" s="1" t="s">
        <v>6</v>
      </c>
      <c r="C137" s="1" t="s">
        <v>15</v>
      </c>
      <c r="D137" s="1">
        <v>25.776283264160099</v>
      </c>
      <c r="E137" s="1">
        <v>211.49162812994399</v>
      </c>
      <c r="F137" s="1">
        <v>1339.9375</v>
      </c>
      <c r="G137">
        <f t="shared" si="3"/>
        <v>14.542751738579049</v>
      </c>
    </row>
    <row r="138" spans="1:7" ht="13" x14ac:dyDescent="0.15">
      <c r="A138" s="3">
        <v>44531</v>
      </c>
      <c r="B138" s="1" t="s">
        <v>10</v>
      </c>
      <c r="C138" s="1" t="s">
        <v>15</v>
      </c>
      <c r="D138" s="1">
        <v>25.776283264160099</v>
      </c>
      <c r="E138" s="1">
        <v>211.49162812994399</v>
      </c>
      <c r="F138" s="1">
        <v>1339.9375</v>
      </c>
      <c r="G138">
        <f t="shared" si="3"/>
        <v>14.542751738579049</v>
      </c>
    </row>
    <row r="139" spans="1:7" ht="13" x14ac:dyDescent="0.15">
      <c r="A139" s="3">
        <v>44531</v>
      </c>
      <c r="B139" s="1" t="s">
        <v>12</v>
      </c>
      <c r="C139" s="1" t="s">
        <v>15</v>
      </c>
      <c r="D139" s="1">
        <v>25.776283264160099</v>
      </c>
      <c r="E139" s="1">
        <v>211.49162812994399</v>
      </c>
      <c r="F139" s="1">
        <v>1339.9375</v>
      </c>
      <c r="G139">
        <f t="shared" si="3"/>
        <v>14.542751738579049</v>
      </c>
    </row>
    <row r="140" spans="1:7" ht="13" x14ac:dyDescent="0.15">
      <c r="A140" s="3">
        <v>44531</v>
      </c>
      <c r="B140" s="1" t="s">
        <v>13</v>
      </c>
      <c r="C140" s="1" t="s">
        <v>15</v>
      </c>
      <c r="D140" s="1">
        <v>25.776283264160099</v>
      </c>
      <c r="E140" s="1">
        <v>211.49162812994399</v>
      </c>
      <c r="F140" s="1">
        <v>1339.9375</v>
      </c>
      <c r="G140">
        <f t="shared" si="3"/>
        <v>14.542751738579049</v>
      </c>
    </row>
    <row r="141" spans="1:7" ht="13" x14ac:dyDescent="0.15">
      <c r="A141" s="3">
        <v>44531</v>
      </c>
      <c r="B141" s="1" t="s">
        <v>14</v>
      </c>
      <c r="C141" s="1" t="s">
        <v>17</v>
      </c>
      <c r="D141" s="1">
        <v>68.985083770751899</v>
      </c>
      <c r="E141" s="1">
        <v>527.881311823592</v>
      </c>
      <c r="F141" s="1">
        <v>2299</v>
      </c>
      <c r="G141">
        <f t="shared" si="3"/>
        <v>22.975667821057826</v>
      </c>
    </row>
    <row r="142" spans="1:7" ht="13" x14ac:dyDescent="0.15">
      <c r="A142" s="3">
        <v>44531</v>
      </c>
      <c r="B142" s="1" t="s">
        <v>6</v>
      </c>
      <c r="C142" s="1" t="s">
        <v>17</v>
      </c>
      <c r="D142" s="1">
        <v>68.985083770751899</v>
      </c>
      <c r="E142" s="1">
        <v>527.881311823592</v>
      </c>
      <c r="F142" s="1">
        <v>2299</v>
      </c>
      <c r="G142">
        <f t="shared" si="3"/>
        <v>22.975667821057826</v>
      </c>
    </row>
    <row r="143" spans="1:7" ht="13" x14ac:dyDescent="0.15">
      <c r="A143" s="3">
        <v>44531</v>
      </c>
      <c r="B143" s="1" t="s">
        <v>10</v>
      </c>
      <c r="C143" s="1" t="s">
        <v>17</v>
      </c>
      <c r="D143" s="1">
        <v>68.985083770751899</v>
      </c>
      <c r="E143" s="1">
        <v>527.881311823592</v>
      </c>
      <c r="F143" s="1">
        <v>2299</v>
      </c>
      <c r="G143">
        <f t="shared" si="3"/>
        <v>22.975667821057826</v>
      </c>
    </row>
    <row r="144" spans="1:7" ht="13" x14ac:dyDescent="0.15">
      <c r="A144" s="3">
        <v>44531</v>
      </c>
      <c r="B144" s="1" t="s">
        <v>12</v>
      </c>
      <c r="C144" s="1" t="s">
        <v>17</v>
      </c>
      <c r="D144" s="1">
        <v>68.985083770751899</v>
      </c>
      <c r="E144" s="1">
        <v>527.881311823592</v>
      </c>
      <c r="F144" s="1">
        <v>2299</v>
      </c>
      <c r="G144">
        <f t="shared" si="3"/>
        <v>22.975667821057826</v>
      </c>
    </row>
    <row r="145" spans="1:7" ht="13" x14ac:dyDescent="0.15">
      <c r="A145" s="3">
        <v>44531</v>
      </c>
      <c r="B145" s="1" t="s">
        <v>13</v>
      </c>
      <c r="C145" s="1" t="s">
        <v>17</v>
      </c>
      <c r="D145" s="1">
        <v>68.985083770751899</v>
      </c>
      <c r="E145" s="1">
        <v>527.881311823592</v>
      </c>
      <c r="F145" s="1">
        <v>2299</v>
      </c>
      <c r="G145">
        <f t="shared" si="3"/>
        <v>22.975667821057826</v>
      </c>
    </row>
    <row r="146" spans="1:7" ht="13" x14ac:dyDescent="0.15">
      <c r="A146" s="2">
        <v>44621</v>
      </c>
      <c r="B146" s="1" t="s">
        <v>12</v>
      </c>
      <c r="C146" s="1" t="s">
        <v>7</v>
      </c>
      <c r="D146" s="1">
        <v>33</v>
      </c>
      <c r="E146" s="1">
        <v>228.65575292549599</v>
      </c>
      <c r="F146" s="1">
        <v>2009.12426757812</v>
      </c>
      <c r="G146">
        <f t="shared" si="3"/>
        <v>15.121367429088416</v>
      </c>
    </row>
    <row r="147" spans="1:7" ht="13" x14ac:dyDescent="0.15">
      <c r="A147" s="2">
        <v>44621</v>
      </c>
      <c r="B147" s="1" t="s">
        <v>6</v>
      </c>
      <c r="C147" s="1" t="s">
        <v>7</v>
      </c>
      <c r="D147" s="1">
        <v>33</v>
      </c>
      <c r="E147" s="1">
        <v>228.65575292549599</v>
      </c>
      <c r="F147" s="1">
        <v>2009.12426757812</v>
      </c>
      <c r="G147">
        <f t="shared" si="3"/>
        <v>15.121367429088416</v>
      </c>
    </row>
    <row r="148" spans="1:7" ht="13" x14ac:dyDescent="0.15">
      <c r="A148" s="2">
        <v>44621</v>
      </c>
      <c r="B148" s="1" t="s">
        <v>10</v>
      </c>
      <c r="C148" s="1" t="s">
        <v>7</v>
      </c>
      <c r="D148" s="1">
        <v>33</v>
      </c>
      <c r="E148" s="1">
        <v>228.65575292549599</v>
      </c>
      <c r="F148" s="1">
        <v>2009.12426757812</v>
      </c>
      <c r="G148">
        <f t="shared" si="3"/>
        <v>15.121367429088416</v>
      </c>
    </row>
    <row r="149" spans="1:7" ht="13" x14ac:dyDescent="0.15">
      <c r="A149" s="2">
        <v>44621</v>
      </c>
      <c r="B149" s="1" t="s">
        <v>13</v>
      </c>
      <c r="C149" s="1" t="s">
        <v>7</v>
      </c>
      <c r="D149" s="1">
        <v>33</v>
      </c>
      <c r="E149" s="1">
        <v>228.65575292549599</v>
      </c>
      <c r="F149" s="1">
        <v>2009.12426757812</v>
      </c>
      <c r="G149">
        <f t="shared" si="3"/>
        <v>15.121367429088416</v>
      </c>
    </row>
    <row r="150" spans="1:7" ht="13" x14ac:dyDescent="0.15">
      <c r="A150" s="2">
        <v>44621</v>
      </c>
      <c r="B150" s="1" t="s">
        <v>14</v>
      </c>
      <c r="C150" s="1" t="s">
        <v>7</v>
      </c>
      <c r="D150" s="1">
        <v>33</v>
      </c>
      <c r="E150" s="1">
        <v>228.65575292549599</v>
      </c>
      <c r="F150" s="1">
        <v>2009.12426757812</v>
      </c>
      <c r="G150">
        <f t="shared" si="3"/>
        <v>15.121367429088416</v>
      </c>
    </row>
    <row r="151" spans="1:7" ht="13" x14ac:dyDescent="0.15">
      <c r="A151" s="3">
        <v>44531</v>
      </c>
      <c r="B151" s="1" t="s">
        <v>14</v>
      </c>
      <c r="C151" s="1" t="s">
        <v>8</v>
      </c>
      <c r="D151" s="1">
        <v>61</v>
      </c>
      <c r="E151" s="1">
        <v>352.78548805864301</v>
      </c>
      <c r="F151" s="1">
        <v>1429</v>
      </c>
      <c r="G151">
        <f t="shared" si="3"/>
        <v>18.782584701223712</v>
      </c>
    </row>
    <row r="152" spans="1:7" ht="13" x14ac:dyDescent="0.15">
      <c r="A152" s="3">
        <v>44531</v>
      </c>
      <c r="B152" s="1" t="s">
        <v>6</v>
      </c>
      <c r="C152" s="1" t="s">
        <v>8</v>
      </c>
      <c r="D152" s="1">
        <v>61</v>
      </c>
      <c r="E152" s="1">
        <v>352.78548805864301</v>
      </c>
      <c r="F152" s="1">
        <v>1429</v>
      </c>
      <c r="G152">
        <f t="shared" si="3"/>
        <v>18.782584701223712</v>
      </c>
    </row>
    <row r="153" spans="1:7" ht="13" x14ac:dyDescent="0.15">
      <c r="A153" s="3">
        <v>44531</v>
      </c>
      <c r="B153" s="1" t="s">
        <v>10</v>
      </c>
      <c r="C153" s="1" t="s">
        <v>8</v>
      </c>
      <c r="D153" s="1">
        <v>61</v>
      </c>
      <c r="E153" s="1">
        <v>352.78548805864301</v>
      </c>
      <c r="F153" s="1">
        <v>1429</v>
      </c>
      <c r="G153">
        <f t="shared" si="3"/>
        <v>18.782584701223712</v>
      </c>
    </row>
    <row r="154" spans="1:7" ht="13" x14ac:dyDescent="0.15">
      <c r="A154" s="3">
        <v>44531</v>
      </c>
      <c r="B154" s="1" t="s">
        <v>12</v>
      </c>
      <c r="C154" s="1" t="s">
        <v>8</v>
      </c>
      <c r="D154" s="1">
        <v>61</v>
      </c>
      <c r="E154" s="1">
        <v>352.78548805864301</v>
      </c>
      <c r="F154" s="1">
        <v>1429</v>
      </c>
      <c r="G154">
        <f t="shared" si="3"/>
        <v>18.782584701223712</v>
      </c>
    </row>
    <row r="155" spans="1:7" ht="13" x14ac:dyDescent="0.15">
      <c r="A155" s="3">
        <v>44531</v>
      </c>
      <c r="B155" s="1" t="s">
        <v>13</v>
      </c>
      <c r="C155" s="1" t="s">
        <v>8</v>
      </c>
      <c r="D155" s="1">
        <v>61</v>
      </c>
      <c r="E155" s="1">
        <v>352.78548805864301</v>
      </c>
      <c r="F155" s="1">
        <v>1429</v>
      </c>
      <c r="G155">
        <f t="shared" si="3"/>
        <v>18.782584701223712</v>
      </c>
    </row>
    <row r="156" spans="1:7" ht="13" x14ac:dyDescent="0.15">
      <c r="A156" s="3">
        <v>44866</v>
      </c>
      <c r="B156" s="1" t="s">
        <v>13</v>
      </c>
      <c r="C156" s="1" t="s">
        <v>15</v>
      </c>
      <c r="D156" s="1">
        <v>25</v>
      </c>
      <c r="E156" s="1">
        <v>180.734986536527</v>
      </c>
      <c r="F156" s="1">
        <v>1164</v>
      </c>
      <c r="G156">
        <f t="shared" si="3"/>
        <v>13.443771291439282</v>
      </c>
    </row>
    <row r="157" spans="1:7" ht="13" x14ac:dyDescent="0.15">
      <c r="A157" s="3">
        <v>44866</v>
      </c>
      <c r="B157" s="1" t="s">
        <v>12</v>
      </c>
      <c r="C157" s="1" t="s">
        <v>15</v>
      </c>
      <c r="D157" s="1">
        <v>25</v>
      </c>
      <c r="E157" s="1">
        <v>180.734986536527</v>
      </c>
      <c r="F157" s="1">
        <v>1164</v>
      </c>
      <c r="G157">
        <f t="shared" si="3"/>
        <v>13.443771291439282</v>
      </c>
    </row>
    <row r="158" spans="1:7" ht="13" x14ac:dyDescent="0.15">
      <c r="A158" s="3">
        <v>44866</v>
      </c>
      <c r="B158" s="1" t="s">
        <v>6</v>
      </c>
      <c r="C158" s="1" t="s">
        <v>15</v>
      </c>
      <c r="D158" s="1">
        <v>25</v>
      </c>
      <c r="E158" s="1">
        <v>180.734986536527</v>
      </c>
      <c r="F158" s="1">
        <v>1164</v>
      </c>
      <c r="G158">
        <f t="shared" si="3"/>
        <v>13.443771291439282</v>
      </c>
    </row>
    <row r="159" spans="1:7" ht="13" x14ac:dyDescent="0.15">
      <c r="A159" s="3">
        <v>44866</v>
      </c>
      <c r="B159" s="1" t="s">
        <v>10</v>
      </c>
      <c r="C159" s="1" t="s">
        <v>15</v>
      </c>
      <c r="D159" s="1">
        <v>25</v>
      </c>
      <c r="E159" s="1">
        <v>180.734986536527</v>
      </c>
      <c r="F159" s="1">
        <v>1164</v>
      </c>
      <c r="G159">
        <f t="shared" si="3"/>
        <v>13.443771291439282</v>
      </c>
    </row>
    <row r="160" spans="1:7" ht="13" x14ac:dyDescent="0.15">
      <c r="A160" s="3">
        <v>44866</v>
      </c>
      <c r="B160" s="1" t="s">
        <v>14</v>
      </c>
      <c r="C160" s="1" t="s">
        <v>15</v>
      </c>
      <c r="D160" s="1">
        <v>25</v>
      </c>
      <c r="E160" s="1">
        <v>180.734986536527</v>
      </c>
      <c r="F160" s="1">
        <v>1164</v>
      </c>
      <c r="G160">
        <f t="shared" si="3"/>
        <v>13.443771291439282</v>
      </c>
    </row>
    <row r="161" spans="1:7" ht="13" x14ac:dyDescent="0.15">
      <c r="A161" s="2">
        <v>44593</v>
      </c>
      <c r="B161" s="1" t="s">
        <v>10</v>
      </c>
      <c r="C161" s="1" t="s">
        <v>9</v>
      </c>
      <c r="D161" s="1">
        <v>20.6301956176757</v>
      </c>
      <c r="E161" s="1">
        <v>157.21747193799899</v>
      </c>
      <c r="F161" s="1">
        <v>1604</v>
      </c>
      <c r="G161">
        <f t="shared" si="3"/>
        <v>12.538639158138293</v>
      </c>
    </row>
    <row r="162" spans="1:7" ht="13" x14ac:dyDescent="0.15">
      <c r="A162" s="2">
        <v>44593</v>
      </c>
      <c r="B162" s="1" t="s">
        <v>6</v>
      </c>
      <c r="C162" s="1" t="s">
        <v>9</v>
      </c>
      <c r="D162" s="1">
        <v>20.6301956176757</v>
      </c>
      <c r="E162" s="1">
        <v>157.21747193799899</v>
      </c>
      <c r="F162" s="1">
        <v>1604</v>
      </c>
      <c r="G162">
        <f t="shared" si="3"/>
        <v>12.538639158138293</v>
      </c>
    </row>
    <row r="163" spans="1:7" ht="13" x14ac:dyDescent="0.15">
      <c r="A163" s="2">
        <v>44593</v>
      </c>
      <c r="B163" s="1" t="s">
        <v>12</v>
      </c>
      <c r="C163" s="1" t="s">
        <v>9</v>
      </c>
      <c r="D163" s="1">
        <v>20.6301956176757</v>
      </c>
      <c r="E163" s="1">
        <v>157.21747193799899</v>
      </c>
      <c r="F163" s="1">
        <v>1604</v>
      </c>
      <c r="G163">
        <f t="shared" si="3"/>
        <v>12.538639158138293</v>
      </c>
    </row>
    <row r="164" spans="1:7" ht="13" x14ac:dyDescent="0.15">
      <c r="A164" s="2">
        <v>44593</v>
      </c>
      <c r="B164" s="1" t="s">
        <v>14</v>
      </c>
      <c r="C164" s="1" t="s">
        <v>9</v>
      </c>
      <c r="D164" s="1">
        <v>20.6301956176757</v>
      </c>
      <c r="E164" s="1">
        <v>157.21747193799899</v>
      </c>
      <c r="F164" s="1">
        <v>1604</v>
      </c>
      <c r="G164">
        <f t="shared" si="3"/>
        <v>12.538639158138293</v>
      </c>
    </row>
    <row r="165" spans="1:7" ht="13" x14ac:dyDescent="0.15">
      <c r="A165" s="2">
        <v>44593</v>
      </c>
      <c r="B165" s="1" t="s">
        <v>13</v>
      </c>
      <c r="C165" s="1" t="s">
        <v>9</v>
      </c>
      <c r="D165" s="1">
        <v>20.6301956176757</v>
      </c>
      <c r="E165" s="1">
        <v>157.21747193799899</v>
      </c>
      <c r="F165" s="1">
        <v>1604</v>
      </c>
      <c r="G165">
        <f t="shared" si="3"/>
        <v>12.538639158138293</v>
      </c>
    </row>
    <row r="166" spans="1:7" ht="13" x14ac:dyDescent="0.15">
      <c r="A166" s="3">
        <v>44866</v>
      </c>
      <c r="B166" s="1" t="s">
        <v>13</v>
      </c>
      <c r="C166" s="1" t="s">
        <v>9</v>
      </c>
      <c r="D166" s="1">
        <v>20.6301956176757</v>
      </c>
      <c r="E166" s="1">
        <v>162.34834946079599</v>
      </c>
      <c r="F166" s="1">
        <v>1164</v>
      </c>
      <c r="G166">
        <f t="shared" si="3"/>
        <v>12.741599172034725</v>
      </c>
    </row>
    <row r="167" spans="1:7" ht="13" x14ac:dyDescent="0.15">
      <c r="A167" s="3">
        <v>44866</v>
      </c>
      <c r="B167" s="1" t="s">
        <v>12</v>
      </c>
      <c r="C167" s="1" t="s">
        <v>9</v>
      </c>
      <c r="D167" s="1">
        <v>20.6301956176757</v>
      </c>
      <c r="E167" s="1">
        <v>162.34834946079599</v>
      </c>
      <c r="F167" s="1">
        <v>1164</v>
      </c>
      <c r="G167">
        <f t="shared" si="3"/>
        <v>12.741599172034725</v>
      </c>
    </row>
    <row r="168" spans="1:7" ht="13" x14ac:dyDescent="0.15">
      <c r="A168" s="3">
        <v>44866</v>
      </c>
      <c r="B168" s="1" t="s">
        <v>6</v>
      </c>
      <c r="C168" s="1" t="s">
        <v>9</v>
      </c>
      <c r="D168" s="1">
        <v>20.6301956176757</v>
      </c>
      <c r="E168" s="1">
        <v>162.34834946079599</v>
      </c>
      <c r="F168" s="1">
        <v>1164</v>
      </c>
      <c r="G168">
        <f t="shared" si="3"/>
        <v>12.741599172034725</v>
      </c>
    </row>
    <row r="169" spans="1:7" ht="13" x14ac:dyDescent="0.15">
      <c r="A169" s="3">
        <v>44866</v>
      </c>
      <c r="B169" s="1" t="s">
        <v>10</v>
      </c>
      <c r="C169" s="1" t="s">
        <v>9</v>
      </c>
      <c r="D169" s="1">
        <v>20.6301956176757</v>
      </c>
      <c r="E169" s="1">
        <v>162.34834946079599</v>
      </c>
      <c r="F169" s="1">
        <v>1164</v>
      </c>
      <c r="G169">
        <f t="shared" si="3"/>
        <v>12.741599172034725</v>
      </c>
    </row>
    <row r="170" spans="1:7" ht="13" x14ac:dyDescent="0.15">
      <c r="A170" s="3">
        <v>44866</v>
      </c>
      <c r="B170" s="1" t="s">
        <v>14</v>
      </c>
      <c r="C170" s="1" t="s">
        <v>9</v>
      </c>
      <c r="D170" s="1">
        <v>20.6301956176757</v>
      </c>
      <c r="E170" s="1">
        <v>162.34834946079599</v>
      </c>
      <c r="F170" s="1">
        <v>1164</v>
      </c>
      <c r="G170">
        <f t="shared" si="3"/>
        <v>12.741599172034725</v>
      </c>
    </row>
    <row r="171" spans="1:7" ht="13" x14ac:dyDescent="0.15">
      <c r="A171" s="2">
        <v>44682</v>
      </c>
      <c r="B171" s="1" t="s">
        <v>12</v>
      </c>
      <c r="C171" s="1" t="s">
        <v>17</v>
      </c>
      <c r="D171" s="1">
        <v>58</v>
      </c>
      <c r="E171" s="1">
        <v>588.46032726745398</v>
      </c>
      <c r="F171" s="1">
        <v>2299</v>
      </c>
      <c r="G171">
        <f t="shared" si="3"/>
        <v>24.258201237261058</v>
      </c>
    </row>
    <row r="172" spans="1:7" ht="13" x14ac:dyDescent="0.15">
      <c r="A172" s="2">
        <v>44682</v>
      </c>
      <c r="B172" s="1" t="s">
        <v>14</v>
      </c>
      <c r="C172" s="1" t="s">
        <v>17</v>
      </c>
      <c r="D172" s="1">
        <v>58</v>
      </c>
      <c r="E172" s="1">
        <v>588.46032726745398</v>
      </c>
      <c r="F172" s="1">
        <v>2299</v>
      </c>
      <c r="G172">
        <f t="shared" si="3"/>
        <v>24.258201237261058</v>
      </c>
    </row>
    <row r="173" spans="1:7" ht="13" x14ac:dyDescent="0.15">
      <c r="A173" s="2">
        <v>44682</v>
      </c>
      <c r="B173" s="1" t="s">
        <v>6</v>
      </c>
      <c r="C173" s="1" t="s">
        <v>17</v>
      </c>
      <c r="D173" s="1">
        <v>58</v>
      </c>
      <c r="E173" s="1">
        <v>588.46032726745398</v>
      </c>
      <c r="F173" s="1">
        <v>2299</v>
      </c>
      <c r="G173">
        <f t="shared" si="3"/>
        <v>24.258201237261058</v>
      </c>
    </row>
    <row r="174" spans="1:7" ht="13" x14ac:dyDescent="0.15">
      <c r="A174" s="2">
        <v>44682</v>
      </c>
      <c r="B174" s="1" t="s">
        <v>13</v>
      </c>
      <c r="C174" s="1" t="s">
        <v>17</v>
      </c>
      <c r="D174" s="1">
        <v>58</v>
      </c>
      <c r="E174" s="1">
        <v>588.46032726745398</v>
      </c>
      <c r="F174" s="1">
        <v>2299</v>
      </c>
      <c r="G174">
        <f t="shared" si="3"/>
        <v>24.258201237261058</v>
      </c>
    </row>
    <row r="175" spans="1:7" ht="13" x14ac:dyDescent="0.15">
      <c r="A175" s="2">
        <v>44682</v>
      </c>
      <c r="B175" s="1" t="s">
        <v>10</v>
      </c>
      <c r="C175" s="1" t="s">
        <v>17</v>
      </c>
      <c r="D175" s="1">
        <v>58</v>
      </c>
      <c r="E175" s="1">
        <v>588.46032726745398</v>
      </c>
      <c r="F175" s="1">
        <v>2299</v>
      </c>
      <c r="G175">
        <f t="shared" si="3"/>
        <v>24.258201237261058</v>
      </c>
    </row>
    <row r="176" spans="1:7" ht="13" x14ac:dyDescent="0.15">
      <c r="A176" s="3">
        <v>44531</v>
      </c>
      <c r="B176" s="1" t="s">
        <v>14</v>
      </c>
      <c r="C176" s="1" t="s">
        <v>23</v>
      </c>
      <c r="D176" s="1">
        <v>52</v>
      </c>
      <c r="E176" s="1">
        <v>304.60094109584998</v>
      </c>
      <c r="F176" s="1">
        <v>1420</v>
      </c>
      <c r="G176">
        <f t="shared" si="3"/>
        <v>17.452820433839626</v>
      </c>
    </row>
    <row r="177" spans="1:7" ht="13" x14ac:dyDescent="0.15">
      <c r="A177" s="3">
        <v>44531</v>
      </c>
      <c r="B177" s="1" t="s">
        <v>6</v>
      </c>
      <c r="C177" s="1" t="s">
        <v>23</v>
      </c>
      <c r="D177" s="1">
        <v>52</v>
      </c>
      <c r="E177" s="1">
        <v>304.60094109584998</v>
      </c>
      <c r="F177" s="1">
        <v>1420</v>
      </c>
      <c r="G177">
        <f t="shared" si="3"/>
        <v>17.452820433839626</v>
      </c>
    </row>
    <row r="178" spans="1:7" ht="13" x14ac:dyDescent="0.15">
      <c r="A178" s="3">
        <v>44531</v>
      </c>
      <c r="B178" s="1" t="s">
        <v>10</v>
      </c>
      <c r="C178" s="1" t="s">
        <v>23</v>
      </c>
      <c r="D178" s="1">
        <v>52</v>
      </c>
      <c r="E178" s="1">
        <v>304.60094109584998</v>
      </c>
      <c r="F178" s="1">
        <v>1420</v>
      </c>
      <c r="G178">
        <f t="shared" si="3"/>
        <v>17.452820433839626</v>
      </c>
    </row>
    <row r="179" spans="1:7" ht="13" x14ac:dyDescent="0.15">
      <c r="A179" s="3">
        <v>44531</v>
      </c>
      <c r="B179" s="1" t="s">
        <v>12</v>
      </c>
      <c r="C179" s="1" t="s">
        <v>23</v>
      </c>
      <c r="D179" s="1">
        <v>52</v>
      </c>
      <c r="E179" s="1">
        <v>304.60094109584998</v>
      </c>
      <c r="F179" s="1">
        <v>1420</v>
      </c>
      <c r="G179">
        <f t="shared" si="3"/>
        <v>17.452820433839626</v>
      </c>
    </row>
    <row r="180" spans="1:7" ht="13" x14ac:dyDescent="0.15">
      <c r="A180" s="3">
        <v>44531</v>
      </c>
      <c r="B180" s="1" t="s">
        <v>13</v>
      </c>
      <c r="C180" s="1" t="s">
        <v>23</v>
      </c>
      <c r="D180" s="1">
        <v>52</v>
      </c>
      <c r="E180" s="1">
        <v>304.60094109584998</v>
      </c>
      <c r="F180" s="1">
        <v>1420</v>
      </c>
      <c r="G180">
        <f t="shared" si="3"/>
        <v>17.452820433839626</v>
      </c>
    </row>
    <row r="181" spans="1:7" ht="13" x14ac:dyDescent="0.15">
      <c r="A181" s="2">
        <v>44986</v>
      </c>
      <c r="B181" s="1" t="s">
        <v>6</v>
      </c>
      <c r="C181" s="1" t="s">
        <v>15</v>
      </c>
      <c r="D181" s="1">
        <v>123.93893432617099</v>
      </c>
      <c r="E181" s="1">
        <v>462.55554496444699</v>
      </c>
      <c r="F181" s="1">
        <v>905.011474609375</v>
      </c>
      <c r="G181">
        <f t="shared" si="3"/>
        <v>21.507104523027895</v>
      </c>
    </row>
    <row r="182" spans="1:7" ht="13" x14ac:dyDescent="0.15">
      <c r="A182" s="3">
        <v>44835</v>
      </c>
      <c r="B182" s="1" t="s">
        <v>12</v>
      </c>
      <c r="C182" s="1" t="s">
        <v>24</v>
      </c>
      <c r="D182" s="1">
        <v>37</v>
      </c>
      <c r="E182" s="1">
        <v>280.77753396956803</v>
      </c>
      <c r="F182" s="1">
        <v>1143.4921875</v>
      </c>
      <c r="G182">
        <f t="shared" si="3"/>
        <v>16.756417695007727</v>
      </c>
    </row>
    <row r="183" spans="1:7" ht="13" x14ac:dyDescent="0.15">
      <c r="A183" s="3">
        <v>44835</v>
      </c>
      <c r="B183" s="1" t="s">
        <v>6</v>
      </c>
      <c r="C183" s="1" t="s">
        <v>24</v>
      </c>
      <c r="D183" s="1">
        <v>37</v>
      </c>
      <c r="E183" s="1">
        <v>280.77753396956803</v>
      </c>
      <c r="F183" s="1">
        <v>1143.4921875</v>
      </c>
      <c r="G183">
        <f t="shared" si="3"/>
        <v>16.756417695007727</v>
      </c>
    </row>
    <row r="184" spans="1:7" ht="13" x14ac:dyDescent="0.15">
      <c r="A184" s="3">
        <v>44835</v>
      </c>
      <c r="B184" s="1" t="s">
        <v>13</v>
      </c>
      <c r="C184" s="1" t="s">
        <v>24</v>
      </c>
      <c r="D184" s="1">
        <v>37</v>
      </c>
      <c r="E184" s="1">
        <v>280.77753396956803</v>
      </c>
      <c r="F184" s="1">
        <v>1143.4921875</v>
      </c>
      <c r="G184">
        <f t="shared" si="3"/>
        <v>16.756417695007727</v>
      </c>
    </row>
    <row r="185" spans="1:7" ht="13" x14ac:dyDescent="0.15">
      <c r="A185" s="3">
        <v>44835</v>
      </c>
      <c r="B185" s="1" t="s">
        <v>14</v>
      </c>
      <c r="C185" s="1" t="s">
        <v>24</v>
      </c>
      <c r="D185" s="1">
        <v>37</v>
      </c>
      <c r="E185" s="1">
        <v>280.77753396956803</v>
      </c>
      <c r="F185" s="1">
        <v>1143.4921875</v>
      </c>
      <c r="G185">
        <f t="shared" si="3"/>
        <v>16.756417695007727</v>
      </c>
    </row>
    <row r="186" spans="1:7" ht="13" x14ac:dyDescent="0.15">
      <c r="A186" s="3">
        <v>44835</v>
      </c>
      <c r="B186" s="1" t="s">
        <v>10</v>
      </c>
      <c r="C186" s="1" t="s">
        <v>24</v>
      </c>
      <c r="D186" s="1">
        <v>37</v>
      </c>
      <c r="E186" s="1">
        <v>280.77753396956803</v>
      </c>
      <c r="F186" s="1">
        <v>1143.4921875</v>
      </c>
      <c r="G186">
        <f t="shared" si="3"/>
        <v>16.756417695007727</v>
      </c>
    </row>
    <row r="187" spans="1:7" ht="13" x14ac:dyDescent="0.15">
      <c r="A187" s="2">
        <v>44593</v>
      </c>
      <c r="B187" s="1" t="s">
        <v>10</v>
      </c>
      <c r="C187" s="1" t="s">
        <v>21</v>
      </c>
      <c r="D187" s="1">
        <v>64</v>
      </c>
      <c r="E187" s="1">
        <v>698.03355963271201</v>
      </c>
      <c r="F187" s="1">
        <v>3078</v>
      </c>
      <c r="G187">
        <f t="shared" si="3"/>
        <v>26.420324745027493</v>
      </c>
    </row>
    <row r="188" spans="1:7" ht="13" x14ac:dyDescent="0.15">
      <c r="A188" s="2">
        <v>44593</v>
      </c>
      <c r="B188" s="1" t="s">
        <v>6</v>
      </c>
      <c r="C188" s="1" t="s">
        <v>21</v>
      </c>
      <c r="D188" s="1">
        <v>64</v>
      </c>
      <c r="E188" s="1">
        <v>698.03355963271201</v>
      </c>
      <c r="F188" s="1">
        <v>3078</v>
      </c>
      <c r="G188">
        <f t="shared" si="3"/>
        <v>26.420324745027493</v>
      </c>
    </row>
    <row r="189" spans="1:7" ht="13" x14ac:dyDescent="0.15">
      <c r="A189" s="2">
        <v>44593</v>
      </c>
      <c r="B189" s="1" t="s">
        <v>12</v>
      </c>
      <c r="C189" s="1" t="s">
        <v>21</v>
      </c>
      <c r="D189" s="1">
        <v>64</v>
      </c>
      <c r="E189" s="1">
        <v>698.03355963271201</v>
      </c>
      <c r="F189" s="1">
        <v>3078</v>
      </c>
      <c r="G189">
        <f t="shared" si="3"/>
        <v>26.420324745027493</v>
      </c>
    </row>
    <row r="190" spans="1:7" ht="13" x14ac:dyDescent="0.15">
      <c r="A190" s="2">
        <v>44593</v>
      </c>
      <c r="B190" s="1" t="s">
        <v>14</v>
      </c>
      <c r="C190" s="1" t="s">
        <v>21</v>
      </c>
      <c r="D190" s="1">
        <v>64</v>
      </c>
      <c r="E190" s="1">
        <v>698.03355963271201</v>
      </c>
      <c r="F190" s="1">
        <v>3078</v>
      </c>
      <c r="G190">
        <f t="shared" si="3"/>
        <v>26.420324745027493</v>
      </c>
    </row>
    <row r="191" spans="1:7" ht="13" x14ac:dyDescent="0.15">
      <c r="A191" s="2">
        <v>44593</v>
      </c>
      <c r="B191" s="1" t="s">
        <v>13</v>
      </c>
      <c r="C191" s="1" t="s">
        <v>21</v>
      </c>
      <c r="D191" s="1">
        <v>64</v>
      </c>
      <c r="E191" s="1">
        <v>698.03355963271201</v>
      </c>
      <c r="F191" s="1">
        <v>3078</v>
      </c>
      <c r="G191">
        <f t="shared" si="3"/>
        <v>26.420324745027493</v>
      </c>
    </row>
    <row r="192" spans="1:7" ht="13" x14ac:dyDescent="0.15">
      <c r="A192" s="2">
        <v>44805</v>
      </c>
      <c r="B192" s="1" t="s">
        <v>10</v>
      </c>
      <c r="C192" s="1" t="s">
        <v>18</v>
      </c>
      <c r="D192" s="1">
        <v>16.045707702636701</v>
      </c>
      <c r="E192" s="1">
        <v>159.216042944674</v>
      </c>
      <c r="F192" s="1">
        <v>765</v>
      </c>
      <c r="G192">
        <f t="shared" si="3"/>
        <v>12.618083964876522</v>
      </c>
    </row>
    <row r="193" spans="1:7" ht="13" x14ac:dyDescent="0.15">
      <c r="A193" s="2">
        <v>44805</v>
      </c>
      <c r="B193" s="1" t="s">
        <v>6</v>
      </c>
      <c r="C193" s="1" t="s">
        <v>18</v>
      </c>
      <c r="D193" s="1">
        <v>16.045707702636701</v>
      </c>
      <c r="E193" s="1">
        <v>159.216042944674</v>
      </c>
      <c r="F193" s="1">
        <v>765</v>
      </c>
      <c r="G193">
        <f t="shared" si="3"/>
        <v>12.618083964876522</v>
      </c>
    </row>
    <row r="194" spans="1:7" ht="13" x14ac:dyDescent="0.15">
      <c r="A194" s="2">
        <v>44805</v>
      </c>
      <c r="B194" s="1" t="s">
        <v>12</v>
      </c>
      <c r="C194" s="1" t="s">
        <v>18</v>
      </c>
      <c r="D194" s="1">
        <v>16.045707702636701</v>
      </c>
      <c r="E194" s="1">
        <v>159.216042944674</v>
      </c>
      <c r="F194" s="1">
        <v>765</v>
      </c>
      <c r="G194">
        <f t="shared" si="3"/>
        <v>12.618083964876522</v>
      </c>
    </row>
    <row r="195" spans="1:7" ht="13" x14ac:dyDescent="0.15">
      <c r="A195" s="2">
        <v>44805</v>
      </c>
      <c r="B195" s="1" t="s">
        <v>13</v>
      </c>
      <c r="C195" s="1" t="s">
        <v>18</v>
      </c>
      <c r="D195" s="1">
        <v>16.045707702636701</v>
      </c>
      <c r="E195" s="1">
        <v>159.216042944674</v>
      </c>
      <c r="F195" s="1">
        <v>765</v>
      </c>
      <c r="G195">
        <f t="shared" ref="G195:G258" si="4">SQRT(E195)</f>
        <v>12.618083964876522</v>
      </c>
    </row>
    <row r="196" spans="1:7" ht="13" x14ac:dyDescent="0.15">
      <c r="A196" s="2">
        <v>44805</v>
      </c>
      <c r="B196" s="1" t="s">
        <v>14</v>
      </c>
      <c r="C196" s="1" t="s">
        <v>18</v>
      </c>
      <c r="D196" s="1">
        <v>16.045707702636701</v>
      </c>
      <c r="E196" s="1">
        <v>159.216042944674</v>
      </c>
      <c r="F196" s="1">
        <v>765</v>
      </c>
      <c r="G196">
        <f t="shared" si="4"/>
        <v>12.618083964876522</v>
      </c>
    </row>
    <row r="197" spans="1:7" ht="13" x14ac:dyDescent="0.15">
      <c r="A197" s="2">
        <v>44927</v>
      </c>
      <c r="B197" s="1" t="s">
        <v>13</v>
      </c>
      <c r="C197" s="1" t="s">
        <v>21</v>
      </c>
      <c r="D197" s="1">
        <v>64</v>
      </c>
      <c r="E197" s="1">
        <v>821.15446214271196</v>
      </c>
      <c r="F197" s="1">
        <v>4568</v>
      </c>
      <c r="G197">
        <f t="shared" si="4"/>
        <v>28.6557928199991</v>
      </c>
    </row>
    <row r="198" spans="1:7" ht="13" x14ac:dyDescent="0.15">
      <c r="A198" s="2">
        <v>44927</v>
      </c>
      <c r="B198" s="1" t="s">
        <v>10</v>
      </c>
      <c r="C198" s="1" t="s">
        <v>21</v>
      </c>
      <c r="D198" s="1">
        <v>64</v>
      </c>
      <c r="E198" s="1">
        <v>821.15446214271196</v>
      </c>
      <c r="F198" s="1">
        <v>4568</v>
      </c>
      <c r="G198">
        <f t="shared" si="4"/>
        <v>28.6557928199991</v>
      </c>
    </row>
    <row r="199" spans="1:7" ht="13" x14ac:dyDescent="0.15">
      <c r="A199" s="2">
        <v>44927</v>
      </c>
      <c r="B199" s="1" t="s">
        <v>6</v>
      </c>
      <c r="C199" s="1" t="s">
        <v>21</v>
      </c>
      <c r="D199" s="1">
        <v>64</v>
      </c>
      <c r="E199" s="1">
        <v>821.15446214271196</v>
      </c>
      <c r="F199" s="1">
        <v>4568</v>
      </c>
      <c r="G199">
        <f t="shared" si="4"/>
        <v>28.6557928199991</v>
      </c>
    </row>
    <row r="200" spans="1:7" ht="13" x14ac:dyDescent="0.15">
      <c r="A200" s="2">
        <v>44927</v>
      </c>
      <c r="B200" s="1" t="s">
        <v>14</v>
      </c>
      <c r="C200" s="1" t="s">
        <v>21</v>
      </c>
      <c r="D200" s="1">
        <v>64</v>
      </c>
      <c r="E200" s="1">
        <v>821.15446214271196</v>
      </c>
      <c r="F200" s="1">
        <v>4568</v>
      </c>
      <c r="G200">
        <f t="shared" si="4"/>
        <v>28.6557928199991</v>
      </c>
    </row>
    <row r="201" spans="1:7" ht="13" x14ac:dyDescent="0.15">
      <c r="A201" s="2">
        <v>44927</v>
      </c>
      <c r="B201" s="1" t="s">
        <v>12</v>
      </c>
      <c r="C201" s="1" t="s">
        <v>21</v>
      </c>
      <c r="D201" s="1">
        <v>64</v>
      </c>
      <c r="E201" s="1">
        <v>821.15446214271196</v>
      </c>
      <c r="F201" s="1">
        <v>4568</v>
      </c>
      <c r="G201">
        <f t="shared" si="4"/>
        <v>28.6557928199991</v>
      </c>
    </row>
    <row r="202" spans="1:7" ht="13" x14ac:dyDescent="0.15">
      <c r="A202" s="2">
        <v>44562</v>
      </c>
      <c r="B202" s="1" t="s">
        <v>14</v>
      </c>
      <c r="C202" s="1" t="s">
        <v>9</v>
      </c>
      <c r="D202" s="1">
        <v>20.6301956176757</v>
      </c>
      <c r="E202" s="1">
        <v>170.578919526807</v>
      </c>
      <c r="F202" s="1">
        <v>1255</v>
      </c>
      <c r="G202">
        <f t="shared" si="4"/>
        <v>13.060586492451517</v>
      </c>
    </row>
    <row r="203" spans="1:7" ht="13" x14ac:dyDescent="0.15">
      <c r="A203" s="2">
        <v>44562</v>
      </c>
      <c r="B203" s="1" t="s">
        <v>6</v>
      </c>
      <c r="C203" s="1" t="s">
        <v>9</v>
      </c>
      <c r="D203" s="1">
        <v>20.6301956176757</v>
      </c>
      <c r="E203" s="1">
        <v>170.578919526807</v>
      </c>
      <c r="F203" s="1">
        <v>1255</v>
      </c>
      <c r="G203">
        <f t="shared" si="4"/>
        <v>13.060586492451517</v>
      </c>
    </row>
    <row r="204" spans="1:7" ht="13" x14ac:dyDescent="0.15">
      <c r="A204" s="2">
        <v>44562</v>
      </c>
      <c r="B204" s="1" t="s">
        <v>13</v>
      </c>
      <c r="C204" s="1" t="s">
        <v>9</v>
      </c>
      <c r="D204" s="1">
        <v>20.6301956176757</v>
      </c>
      <c r="E204" s="1">
        <v>170.578919526807</v>
      </c>
      <c r="F204" s="1">
        <v>1255</v>
      </c>
      <c r="G204">
        <f t="shared" si="4"/>
        <v>13.060586492451517</v>
      </c>
    </row>
    <row r="205" spans="1:7" ht="13" x14ac:dyDescent="0.15">
      <c r="A205" s="2">
        <v>44562</v>
      </c>
      <c r="B205" s="1" t="s">
        <v>10</v>
      </c>
      <c r="C205" s="1" t="s">
        <v>9</v>
      </c>
      <c r="D205" s="1">
        <v>20.6301956176757</v>
      </c>
      <c r="E205" s="1">
        <v>170.578919526807</v>
      </c>
      <c r="F205" s="1">
        <v>1255</v>
      </c>
      <c r="G205">
        <f t="shared" si="4"/>
        <v>13.060586492451517</v>
      </c>
    </row>
    <row r="206" spans="1:7" ht="13" x14ac:dyDescent="0.15">
      <c r="A206" s="2">
        <v>44562</v>
      </c>
      <c r="B206" s="1" t="s">
        <v>12</v>
      </c>
      <c r="C206" s="1" t="s">
        <v>9</v>
      </c>
      <c r="D206" s="1">
        <v>20.6301956176757</v>
      </c>
      <c r="E206" s="1">
        <v>170.578919526807</v>
      </c>
      <c r="F206" s="1">
        <v>1255</v>
      </c>
      <c r="G206">
        <f t="shared" si="4"/>
        <v>13.060586492451517</v>
      </c>
    </row>
    <row r="207" spans="1:7" ht="13" x14ac:dyDescent="0.15">
      <c r="A207" s="2">
        <v>44713</v>
      </c>
      <c r="B207" s="1" t="s">
        <v>6</v>
      </c>
      <c r="C207" s="1" t="s">
        <v>16</v>
      </c>
      <c r="D207" s="1">
        <v>6</v>
      </c>
      <c r="E207" s="1">
        <v>75.095710935733194</v>
      </c>
      <c r="F207" s="1">
        <v>925</v>
      </c>
      <c r="G207">
        <f t="shared" si="4"/>
        <v>8.665778149464316</v>
      </c>
    </row>
    <row r="208" spans="1:7" ht="13" x14ac:dyDescent="0.15">
      <c r="A208" s="2">
        <v>44713</v>
      </c>
      <c r="B208" s="1" t="s">
        <v>12</v>
      </c>
      <c r="C208" s="1" t="s">
        <v>16</v>
      </c>
      <c r="D208" s="1">
        <v>6</v>
      </c>
      <c r="E208" s="1">
        <v>75.095710935733194</v>
      </c>
      <c r="F208" s="1">
        <v>925</v>
      </c>
      <c r="G208">
        <f t="shared" si="4"/>
        <v>8.665778149464316</v>
      </c>
    </row>
    <row r="209" spans="1:7" ht="13" x14ac:dyDescent="0.15">
      <c r="A209" s="2">
        <v>44713</v>
      </c>
      <c r="B209" s="1" t="s">
        <v>14</v>
      </c>
      <c r="C209" s="1" t="s">
        <v>16</v>
      </c>
      <c r="D209" s="1">
        <v>6</v>
      </c>
      <c r="E209" s="1">
        <v>75.095710935733194</v>
      </c>
      <c r="F209" s="1">
        <v>925</v>
      </c>
      <c r="G209">
        <f t="shared" si="4"/>
        <v>8.665778149464316</v>
      </c>
    </row>
    <row r="210" spans="1:7" ht="13" x14ac:dyDescent="0.15">
      <c r="A210" s="2">
        <v>44713</v>
      </c>
      <c r="B210" s="1" t="s">
        <v>13</v>
      </c>
      <c r="C210" s="1" t="s">
        <v>16</v>
      </c>
      <c r="D210" s="1">
        <v>6</v>
      </c>
      <c r="E210" s="1">
        <v>75.095710935733194</v>
      </c>
      <c r="F210" s="1">
        <v>925</v>
      </c>
      <c r="G210">
        <f t="shared" si="4"/>
        <v>8.665778149464316</v>
      </c>
    </row>
    <row r="211" spans="1:7" ht="13" x14ac:dyDescent="0.15">
      <c r="A211" s="2">
        <v>44713</v>
      </c>
      <c r="B211" s="1" t="s">
        <v>10</v>
      </c>
      <c r="C211" s="1" t="s">
        <v>16</v>
      </c>
      <c r="D211" s="1">
        <v>6</v>
      </c>
      <c r="E211" s="1">
        <v>75.095710935733194</v>
      </c>
      <c r="F211" s="1">
        <v>925</v>
      </c>
      <c r="G211">
        <f t="shared" si="4"/>
        <v>8.665778149464316</v>
      </c>
    </row>
    <row r="212" spans="1:7" ht="13" x14ac:dyDescent="0.15">
      <c r="A212" s="2">
        <v>44652</v>
      </c>
      <c r="B212" s="1" t="s">
        <v>13</v>
      </c>
      <c r="C212" s="1" t="s">
        <v>16</v>
      </c>
      <c r="D212" s="1">
        <v>6</v>
      </c>
      <c r="E212" s="1">
        <v>83.089599197719593</v>
      </c>
      <c r="F212" s="1">
        <v>1025</v>
      </c>
      <c r="G212">
        <f t="shared" si="4"/>
        <v>9.115349647584539</v>
      </c>
    </row>
    <row r="213" spans="1:7" ht="13" x14ac:dyDescent="0.15">
      <c r="A213" s="2">
        <v>44652</v>
      </c>
      <c r="B213" s="1" t="s">
        <v>6</v>
      </c>
      <c r="C213" s="1" t="s">
        <v>16</v>
      </c>
      <c r="D213" s="1">
        <v>6</v>
      </c>
      <c r="E213" s="1">
        <v>83.089599197719593</v>
      </c>
      <c r="F213" s="1">
        <v>1025</v>
      </c>
      <c r="G213">
        <f t="shared" si="4"/>
        <v>9.115349647584539</v>
      </c>
    </row>
    <row r="214" spans="1:7" ht="13" x14ac:dyDescent="0.15">
      <c r="A214" s="2">
        <v>44652</v>
      </c>
      <c r="B214" s="1" t="s">
        <v>12</v>
      </c>
      <c r="C214" s="1" t="s">
        <v>16</v>
      </c>
      <c r="D214" s="1">
        <v>6</v>
      </c>
      <c r="E214" s="1">
        <v>83.089599197719593</v>
      </c>
      <c r="F214" s="1">
        <v>1025</v>
      </c>
      <c r="G214">
        <f t="shared" si="4"/>
        <v>9.115349647584539</v>
      </c>
    </row>
    <row r="215" spans="1:7" ht="13" x14ac:dyDescent="0.15">
      <c r="A215" s="2">
        <v>44652</v>
      </c>
      <c r="B215" s="1" t="s">
        <v>10</v>
      </c>
      <c r="C215" s="1" t="s">
        <v>16</v>
      </c>
      <c r="D215" s="1">
        <v>6</v>
      </c>
      <c r="E215" s="1">
        <v>83.089599197719593</v>
      </c>
      <c r="F215" s="1">
        <v>1025</v>
      </c>
      <c r="G215">
        <f t="shared" si="4"/>
        <v>9.115349647584539</v>
      </c>
    </row>
    <row r="216" spans="1:7" ht="13" x14ac:dyDescent="0.15">
      <c r="A216" s="2">
        <v>44652</v>
      </c>
      <c r="B216" s="1" t="s">
        <v>14</v>
      </c>
      <c r="C216" s="1" t="s">
        <v>16</v>
      </c>
      <c r="D216" s="1">
        <v>6</v>
      </c>
      <c r="E216" s="1">
        <v>83.089599197719593</v>
      </c>
      <c r="F216" s="1">
        <v>1025</v>
      </c>
      <c r="G216">
        <f t="shared" si="4"/>
        <v>9.115349647584539</v>
      </c>
    </row>
    <row r="217" spans="1:7" ht="13" x14ac:dyDescent="0.15">
      <c r="A217" s="2">
        <v>44743</v>
      </c>
      <c r="B217" s="1" t="s">
        <v>10</v>
      </c>
      <c r="C217" s="1" t="s">
        <v>19</v>
      </c>
      <c r="D217" s="1">
        <v>52</v>
      </c>
      <c r="E217" s="1">
        <v>486.08189006899102</v>
      </c>
      <c r="F217" s="1">
        <v>2080</v>
      </c>
      <c r="G217">
        <f t="shared" si="4"/>
        <v>22.047264911298885</v>
      </c>
    </row>
    <row r="218" spans="1:7" ht="13" x14ac:dyDescent="0.15">
      <c r="A218" s="2">
        <v>44743</v>
      </c>
      <c r="B218" s="1" t="s">
        <v>14</v>
      </c>
      <c r="C218" s="1" t="s">
        <v>19</v>
      </c>
      <c r="D218" s="1">
        <v>52</v>
      </c>
      <c r="E218" s="1">
        <v>486.08189006899102</v>
      </c>
      <c r="F218" s="1">
        <v>2080</v>
      </c>
      <c r="G218">
        <f t="shared" si="4"/>
        <v>22.047264911298885</v>
      </c>
    </row>
    <row r="219" spans="1:7" ht="13" x14ac:dyDescent="0.15">
      <c r="A219" s="2">
        <v>44743</v>
      </c>
      <c r="B219" s="1" t="s">
        <v>6</v>
      </c>
      <c r="C219" s="1" t="s">
        <v>19</v>
      </c>
      <c r="D219" s="1">
        <v>52</v>
      </c>
      <c r="E219" s="1">
        <v>486.08189006899102</v>
      </c>
      <c r="F219" s="1">
        <v>2080</v>
      </c>
      <c r="G219">
        <f t="shared" si="4"/>
        <v>22.047264911298885</v>
      </c>
    </row>
    <row r="220" spans="1:7" ht="13" x14ac:dyDescent="0.15">
      <c r="A220" s="2">
        <v>44743</v>
      </c>
      <c r="B220" s="1" t="s">
        <v>13</v>
      </c>
      <c r="C220" s="1" t="s">
        <v>19</v>
      </c>
      <c r="D220" s="1">
        <v>52</v>
      </c>
      <c r="E220" s="1">
        <v>486.08189006899102</v>
      </c>
      <c r="F220" s="1">
        <v>2080</v>
      </c>
      <c r="G220">
        <f t="shared" si="4"/>
        <v>22.047264911298885</v>
      </c>
    </row>
    <row r="221" spans="1:7" ht="13" x14ac:dyDescent="0.15">
      <c r="A221" s="2">
        <v>44743</v>
      </c>
      <c r="B221" s="1" t="s">
        <v>12</v>
      </c>
      <c r="C221" s="1" t="s">
        <v>19</v>
      </c>
      <c r="D221" s="1">
        <v>52</v>
      </c>
      <c r="E221" s="1">
        <v>486.08189006899102</v>
      </c>
      <c r="F221" s="1">
        <v>2080</v>
      </c>
      <c r="G221">
        <f t="shared" si="4"/>
        <v>22.047264911298885</v>
      </c>
    </row>
    <row r="222" spans="1:7" ht="13" x14ac:dyDescent="0.15">
      <c r="A222" s="3">
        <v>44896</v>
      </c>
      <c r="B222" s="1" t="s">
        <v>10</v>
      </c>
      <c r="C222" s="1" t="s">
        <v>21</v>
      </c>
      <c r="D222" s="1">
        <v>64</v>
      </c>
      <c r="E222" s="1">
        <v>786.16203179380602</v>
      </c>
      <c r="F222" s="1">
        <v>4568</v>
      </c>
      <c r="G222">
        <f t="shared" si="4"/>
        <v>28.038581130182141</v>
      </c>
    </row>
    <row r="223" spans="1:7" ht="13" x14ac:dyDescent="0.15">
      <c r="A223" s="3">
        <v>44896</v>
      </c>
      <c r="B223" s="1" t="s">
        <v>14</v>
      </c>
      <c r="C223" s="1" t="s">
        <v>21</v>
      </c>
      <c r="D223" s="1">
        <v>64</v>
      </c>
      <c r="E223" s="1">
        <v>786.16203179380602</v>
      </c>
      <c r="F223" s="1">
        <v>4568</v>
      </c>
      <c r="G223">
        <f t="shared" si="4"/>
        <v>28.038581130182141</v>
      </c>
    </row>
    <row r="224" spans="1:7" ht="13" x14ac:dyDescent="0.15">
      <c r="A224" s="3">
        <v>44896</v>
      </c>
      <c r="B224" s="1" t="s">
        <v>6</v>
      </c>
      <c r="C224" s="1" t="s">
        <v>21</v>
      </c>
      <c r="D224" s="1">
        <v>64</v>
      </c>
      <c r="E224" s="1">
        <v>786.16203179380602</v>
      </c>
      <c r="F224" s="1">
        <v>4568</v>
      </c>
      <c r="G224">
        <f t="shared" si="4"/>
        <v>28.038581130182141</v>
      </c>
    </row>
    <row r="225" spans="1:7" ht="13" x14ac:dyDescent="0.15">
      <c r="A225" s="3">
        <v>44896</v>
      </c>
      <c r="B225" s="1" t="s">
        <v>13</v>
      </c>
      <c r="C225" s="1" t="s">
        <v>21</v>
      </c>
      <c r="D225" s="1">
        <v>64</v>
      </c>
      <c r="E225" s="1">
        <v>786.16203179380602</v>
      </c>
      <c r="F225" s="1">
        <v>4568</v>
      </c>
      <c r="G225">
        <f t="shared" si="4"/>
        <v>28.038581130182141</v>
      </c>
    </row>
    <row r="226" spans="1:7" ht="13" x14ac:dyDescent="0.15">
      <c r="A226" s="3">
        <v>44896</v>
      </c>
      <c r="B226" s="1" t="s">
        <v>12</v>
      </c>
      <c r="C226" s="1" t="s">
        <v>21</v>
      </c>
      <c r="D226" s="1">
        <v>64</v>
      </c>
      <c r="E226" s="1">
        <v>786.16203179380602</v>
      </c>
      <c r="F226" s="1">
        <v>4568</v>
      </c>
      <c r="G226">
        <f t="shared" si="4"/>
        <v>28.038581130182141</v>
      </c>
    </row>
    <row r="227" spans="1:7" ht="13" x14ac:dyDescent="0.15">
      <c r="A227" s="2">
        <v>44593</v>
      </c>
      <c r="B227" s="1" t="s">
        <v>10</v>
      </c>
      <c r="C227" s="1" t="s">
        <v>15</v>
      </c>
      <c r="D227" s="1">
        <v>24.869464397430399</v>
      </c>
      <c r="E227" s="1">
        <v>175.16751093871099</v>
      </c>
      <c r="F227" s="1">
        <v>1604</v>
      </c>
      <c r="G227">
        <f t="shared" si="4"/>
        <v>13.23508635932199</v>
      </c>
    </row>
    <row r="228" spans="1:7" ht="13" x14ac:dyDescent="0.15">
      <c r="A228" s="2">
        <v>44593</v>
      </c>
      <c r="B228" s="1" t="s">
        <v>6</v>
      </c>
      <c r="C228" s="1" t="s">
        <v>15</v>
      </c>
      <c r="D228" s="1">
        <v>24.869464397430399</v>
      </c>
      <c r="E228" s="1">
        <v>175.16751093871099</v>
      </c>
      <c r="F228" s="1">
        <v>1604</v>
      </c>
      <c r="G228">
        <f t="shared" si="4"/>
        <v>13.23508635932199</v>
      </c>
    </row>
    <row r="229" spans="1:7" ht="13" x14ac:dyDescent="0.15">
      <c r="A229" s="2">
        <v>44593</v>
      </c>
      <c r="B229" s="1" t="s">
        <v>12</v>
      </c>
      <c r="C229" s="1" t="s">
        <v>15</v>
      </c>
      <c r="D229" s="1">
        <v>24.869464397430399</v>
      </c>
      <c r="E229" s="1">
        <v>175.16751093871099</v>
      </c>
      <c r="F229" s="1">
        <v>1604</v>
      </c>
      <c r="G229">
        <f t="shared" si="4"/>
        <v>13.23508635932199</v>
      </c>
    </row>
    <row r="230" spans="1:7" ht="13" x14ac:dyDescent="0.15">
      <c r="A230" s="2">
        <v>44593</v>
      </c>
      <c r="B230" s="1" t="s">
        <v>14</v>
      </c>
      <c r="C230" s="1" t="s">
        <v>15</v>
      </c>
      <c r="D230" s="1">
        <v>24.869464397430399</v>
      </c>
      <c r="E230" s="1">
        <v>175.16751093871099</v>
      </c>
      <c r="F230" s="1">
        <v>1604</v>
      </c>
      <c r="G230">
        <f t="shared" si="4"/>
        <v>13.23508635932199</v>
      </c>
    </row>
    <row r="231" spans="1:7" ht="13" x14ac:dyDescent="0.15">
      <c r="A231" s="2">
        <v>44593</v>
      </c>
      <c r="B231" s="1" t="s">
        <v>13</v>
      </c>
      <c r="C231" s="1" t="s">
        <v>15</v>
      </c>
      <c r="D231" s="1">
        <v>24.869464397430399</v>
      </c>
      <c r="E231" s="1">
        <v>175.16751093871099</v>
      </c>
      <c r="F231" s="1">
        <v>1604</v>
      </c>
      <c r="G231">
        <f t="shared" si="4"/>
        <v>13.23508635932199</v>
      </c>
    </row>
    <row r="232" spans="1:7" ht="13" x14ac:dyDescent="0.15">
      <c r="A232" s="2">
        <v>44958</v>
      </c>
      <c r="B232" s="1" t="s">
        <v>10</v>
      </c>
      <c r="C232" s="1" t="s">
        <v>11</v>
      </c>
      <c r="D232" s="1">
        <v>33.772739410400298</v>
      </c>
      <c r="E232" s="1">
        <v>245.531769078389</v>
      </c>
      <c r="F232" s="1">
        <v>1820</v>
      </c>
      <c r="G232">
        <f t="shared" si="4"/>
        <v>15.66945337522624</v>
      </c>
    </row>
    <row r="233" spans="1:7" ht="13" x14ac:dyDescent="0.15">
      <c r="A233" s="2">
        <v>44958</v>
      </c>
      <c r="B233" s="1" t="s">
        <v>14</v>
      </c>
      <c r="C233" s="1" t="s">
        <v>11</v>
      </c>
      <c r="D233" s="1">
        <v>33.772739410400298</v>
      </c>
      <c r="E233" s="1">
        <v>245.531769078389</v>
      </c>
      <c r="F233" s="1">
        <v>1820</v>
      </c>
      <c r="G233">
        <f t="shared" si="4"/>
        <v>15.66945337522624</v>
      </c>
    </row>
    <row r="234" spans="1:7" ht="13" x14ac:dyDescent="0.15">
      <c r="A234" s="2">
        <v>44958</v>
      </c>
      <c r="B234" s="1" t="s">
        <v>12</v>
      </c>
      <c r="C234" s="1" t="s">
        <v>11</v>
      </c>
      <c r="D234" s="1">
        <v>33.772739410400298</v>
      </c>
      <c r="E234" s="1">
        <v>245.531769078389</v>
      </c>
      <c r="F234" s="1">
        <v>1820</v>
      </c>
      <c r="G234">
        <f t="shared" si="4"/>
        <v>15.66945337522624</v>
      </c>
    </row>
    <row r="235" spans="1:7" ht="13" x14ac:dyDescent="0.15">
      <c r="A235" s="2">
        <v>44958</v>
      </c>
      <c r="B235" s="1" t="s">
        <v>6</v>
      </c>
      <c r="C235" s="1" t="s">
        <v>11</v>
      </c>
      <c r="D235" s="1">
        <v>33.772739410400298</v>
      </c>
      <c r="E235" s="1">
        <v>245.531769078389</v>
      </c>
      <c r="F235" s="1">
        <v>1820</v>
      </c>
      <c r="G235">
        <f t="shared" si="4"/>
        <v>15.66945337522624</v>
      </c>
    </row>
    <row r="236" spans="1:7" ht="13" x14ac:dyDescent="0.15">
      <c r="A236" s="2">
        <v>44958</v>
      </c>
      <c r="B236" s="1" t="s">
        <v>13</v>
      </c>
      <c r="C236" s="1" t="s">
        <v>11</v>
      </c>
      <c r="D236" s="1">
        <v>33.772739410400298</v>
      </c>
      <c r="E236" s="1">
        <v>245.531769078389</v>
      </c>
      <c r="F236" s="1">
        <v>1820</v>
      </c>
      <c r="G236">
        <f t="shared" si="4"/>
        <v>15.66945337522624</v>
      </c>
    </row>
    <row r="237" spans="1:7" ht="13" x14ac:dyDescent="0.15">
      <c r="A237" s="2">
        <v>44652</v>
      </c>
      <c r="B237" s="1" t="s">
        <v>13</v>
      </c>
      <c r="C237" s="1" t="s">
        <v>23</v>
      </c>
      <c r="D237" s="1">
        <v>41</v>
      </c>
      <c r="E237" s="1">
        <v>322.06384346956298</v>
      </c>
      <c r="F237" s="1">
        <v>2713.99658203125</v>
      </c>
      <c r="G237">
        <f t="shared" si="4"/>
        <v>17.946137285487453</v>
      </c>
    </row>
    <row r="238" spans="1:7" ht="13" x14ac:dyDescent="0.15">
      <c r="A238" s="2">
        <v>44652</v>
      </c>
      <c r="B238" s="1" t="s">
        <v>6</v>
      </c>
      <c r="C238" s="1" t="s">
        <v>23</v>
      </c>
      <c r="D238" s="1">
        <v>41</v>
      </c>
      <c r="E238" s="1">
        <v>322.06384346956298</v>
      </c>
      <c r="F238" s="1">
        <v>2713.99658203125</v>
      </c>
      <c r="G238">
        <f t="shared" si="4"/>
        <v>17.946137285487453</v>
      </c>
    </row>
    <row r="239" spans="1:7" ht="13" x14ac:dyDescent="0.15">
      <c r="A239" s="2">
        <v>44652</v>
      </c>
      <c r="B239" s="1" t="s">
        <v>12</v>
      </c>
      <c r="C239" s="1" t="s">
        <v>23</v>
      </c>
      <c r="D239" s="1">
        <v>41</v>
      </c>
      <c r="E239" s="1">
        <v>322.06384346956298</v>
      </c>
      <c r="F239" s="1">
        <v>2713.99658203125</v>
      </c>
      <c r="G239">
        <f t="shared" si="4"/>
        <v>17.946137285487453</v>
      </c>
    </row>
    <row r="240" spans="1:7" ht="13" x14ac:dyDescent="0.15">
      <c r="A240" s="2">
        <v>44652</v>
      </c>
      <c r="B240" s="1" t="s">
        <v>10</v>
      </c>
      <c r="C240" s="1" t="s">
        <v>23</v>
      </c>
      <c r="D240" s="1">
        <v>41</v>
      </c>
      <c r="E240" s="1">
        <v>322.06384346956298</v>
      </c>
      <c r="F240" s="1">
        <v>2713.99658203125</v>
      </c>
      <c r="G240">
        <f t="shared" si="4"/>
        <v>17.946137285487453</v>
      </c>
    </row>
    <row r="241" spans="1:7" ht="13" x14ac:dyDescent="0.15">
      <c r="A241" s="2">
        <v>44652</v>
      </c>
      <c r="B241" s="1" t="s">
        <v>14</v>
      </c>
      <c r="C241" s="1" t="s">
        <v>23</v>
      </c>
      <c r="D241" s="1">
        <v>41</v>
      </c>
      <c r="E241" s="1">
        <v>322.06384346956298</v>
      </c>
      <c r="F241" s="1">
        <v>2713.99658203125</v>
      </c>
      <c r="G241">
        <f t="shared" si="4"/>
        <v>17.946137285487453</v>
      </c>
    </row>
    <row r="242" spans="1:7" ht="13" x14ac:dyDescent="0.15">
      <c r="A242" s="2">
        <v>44652</v>
      </c>
      <c r="B242" s="1" t="s">
        <v>13</v>
      </c>
      <c r="C242" s="1" t="s">
        <v>20</v>
      </c>
      <c r="D242" s="1">
        <v>1</v>
      </c>
      <c r="E242" s="1">
        <v>96.869516284826304</v>
      </c>
      <c r="F242" s="1">
        <v>895</v>
      </c>
      <c r="G242">
        <f t="shared" si="4"/>
        <v>9.8422312655630222</v>
      </c>
    </row>
    <row r="243" spans="1:7" ht="13" x14ac:dyDescent="0.15">
      <c r="A243" s="2">
        <v>44652</v>
      </c>
      <c r="B243" s="1" t="s">
        <v>6</v>
      </c>
      <c r="C243" s="1" t="s">
        <v>20</v>
      </c>
      <c r="D243" s="1">
        <v>1</v>
      </c>
      <c r="E243" s="1">
        <v>96.869516284826304</v>
      </c>
      <c r="F243" s="1">
        <v>895</v>
      </c>
      <c r="G243">
        <f t="shared" si="4"/>
        <v>9.8422312655630222</v>
      </c>
    </row>
    <row r="244" spans="1:7" ht="13" x14ac:dyDescent="0.15">
      <c r="A244" s="2">
        <v>44652</v>
      </c>
      <c r="B244" s="1" t="s">
        <v>12</v>
      </c>
      <c r="C244" s="1" t="s">
        <v>20</v>
      </c>
      <c r="D244" s="1">
        <v>1</v>
      </c>
      <c r="E244" s="1">
        <v>96.869516284826304</v>
      </c>
      <c r="F244" s="1">
        <v>895</v>
      </c>
      <c r="G244">
        <f t="shared" si="4"/>
        <v>9.8422312655630222</v>
      </c>
    </row>
    <row r="245" spans="1:7" ht="13" x14ac:dyDescent="0.15">
      <c r="A245" s="2">
        <v>44652</v>
      </c>
      <c r="B245" s="1" t="s">
        <v>10</v>
      </c>
      <c r="C245" s="1" t="s">
        <v>20</v>
      </c>
      <c r="D245" s="1">
        <v>1</v>
      </c>
      <c r="E245" s="1">
        <v>96.869516284826304</v>
      </c>
      <c r="F245" s="1">
        <v>895</v>
      </c>
      <c r="G245">
        <f t="shared" si="4"/>
        <v>9.8422312655630222</v>
      </c>
    </row>
    <row r="246" spans="1:7" ht="13" x14ac:dyDescent="0.15">
      <c r="A246" s="2">
        <v>44652</v>
      </c>
      <c r="B246" s="1" t="s">
        <v>14</v>
      </c>
      <c r="C246" s="1" t="s">
        <v>20</v>
      </c>
      <c r="D246" s="1">
        <v>1</v>
      </c>
      <c r="E246" s="1">
        <v>96.869516284826304</v>
      </c>
      <c r="F246" s="1">
        <v>895</v>
      </c>
      <c r="G246">
        <f t="shared" si="4"/>
        <v>9.8422312655630222</v>
      </c>
    </row>
    <row r="247" spans="1:7" ht="13" x14ac:dyDescent="0.15">
      <c r="A247" s="2">
        <v>44774</v>
      </c>
      <c r="B247" s="1" t="s">
        <v>13</v>
      </c>
      <c r="C247" s="1" t="s">
        <v>17</v>
      </c>
      <c r="D247" s="1">
        <v>57.25</v>
      </c>
      <c r="E247" s="1">
        <v>598.40872625146801</v>
      </c>
      <c r="F247" s="1">
        <v>2617</v>
      </c>
      <c r="G247">
        <f t="shared" si="4"/>
        <v>24.462394123459543</v>
      </c>
    </row>
    <row r="248" spans="1:7" ht="13" x14ac:dyDescent="0.15">
      <c r="A248" s="2">
        <v>44774</v>
      </c>
      <c r="B248" s="1" t="s">
        <v>10</v>
      </c>
      <c r="C248" s="1" t="s">
        <v>17</v>
      </c>
      <c r="D248" s="1">
        <v>57.25</v>
      </c>
      <c r="E248" s="1">
        <v>598.40872625146801</v>
      </c>
      <c r="F248" s="1">
        <v>2617</v>
      </c>
      <c r="G248">
        <f t="shared" si="4"/>
        <v>24.462394123459543</v>
      </c>
    </row>
    <row r="249" spans="1:7" ht="13" x14ac:dyDescent="0.15">
      <c r="A249" s="2">
        <v>44774</v>
      </c>
      <c r="B249" s="1" t="s">
        <v>14</v>
      </c>
      <c r="C249" s="1" t="s">
        <v>17</v>
      </c>
      <c r="D249" s="1">
        <v>57.25</v>
      </c>
      <c r="E249" s="1">
        <v>598.40872625146801</v>
      </c>
      <c r="F249" s="1">
        <v>2617</v>
      </c>
      <c r="G249">
        <f t="shared" si="4"/>
        <v>24.462394123459543</v>
      </c>
    </row>
    <row r="250" spans="1:7" ht="13" x14ac:dyDescent="0.15">
      <c r="A250" s="2">
        <v>44774</v>
      </c>
      <c r="B250" s="1" t="s">
        <v>6</v>
      </c>
      <c r="C250" s="1" t="s">
        <v>17</v>
      </c>
      <c r="D250" s="1">
        <v>57.25</v>
      </c>
      <c r="E250" s="1">
        <v>598.40872625146801</v>
      </c>
      <c r="F250" s="1">
        <v>2617</v>
      </c>
      <c r="G250">
        <f t="shared" si="4"/>
        <v>24.462394123459543</v>
      </c>
    </row>
    <row r="251" spans="1:7" ht="13" x14ac:dyDescent="0.15">
      <c r="A251" s="2">
        <v>44774</v>
      </c>
      <c r="B251" s="1" t="s">
        <v>12</v>
      </c>
      <c r="C251" s="1" t="s">
        <v>17</v>
      </c>
      <c r="D251" s="1">
        <v>57.25</v>
      </c>
      <c r="E251" s="1">
        <v>598.40872625146801</v>
      </c>
      <c r="F251" s="1">
        <v>2617</v>
      </c>
      <c r="G251">
        <f t="shared" si="4"/>
        <v>24.462394123459543</v>
      </c>
    </row>
    <row r="252" spans="1:7" ht="13" x14ac:dyDescent="0.15">
      <c r="A252" s="2">
        <v>44774</v>
      </c>
      <c r="B252" s="1" t="s">
        <v>13</v>
      </c>
      <c r="C252" s="1" t="s">
        <v>15</v>
      </c>
      <c r="D252" s="1">
        <v>25</v>
      </c>
      <c r="E252" s="1">
        <v>197.417486086612</v>
      </c>
      <c r="F252" s="1">
        <v>1756.73498535156</v>
      </c>
      <c r="G252">
        <f t="shared" si="4"/>
        <v>14.050533302569407</v>
      </c>
    </row>
    <row r="253" spans="1:7" ht="13" x14ac:dyDescent="0.15">
      <c r="A253" s="2">
        <v>44774</v>
      </c>
      <c r="B253" s="1" t="s">
        <v>10</v>
      </c>
      <c r="C253" s="1" t="s">
        <v>15</v>
      </c>
      <c r="D253" s="1">
        <v>25</v>
      </c>
      <c r="E253" s="1">
        <v>197.417486086612</v>
      </c>
      <c r="F253" s="1">
        <v>1756.73498535156</v>
      </c>
      <c r="G253">
        <f t="shared" si="4"/>
        <v>14.050533302569407</v>
      </c>
    </row>
    <row r="254" spans="1:7" ht="13" x14ac:dyDescent="0.15">
      <c r="A254" s="2">
        <v>44774</v>
      </c>
      <c r="B254" s="1" t="s">
        <v>14</v>
      </c>
      <c r="C254" s="1" t="s">
        <v>15</v>
      </c>
      <c r="D254" s="1">
        <v>25</v>
      </c>
      <c r="E254" s="1">
        <v>197.417486086612</v>
      </c>
      <c r="F254" s="1">
        <v>1756.73498535156</v>
      </c>
      <c r="G254">
        <f t="shared" si="4"/>
        <v>14.050533302569407</v>
      </c>
    </row>
    <row r="255" spans="1:7" ht="13" x14ac:dyDescent="0.15">
      <c r="A255" s="2">
        <v>44774</v>
      </c>
      <c r="B255" s="1" t="s">
        <v>6</v>
      </c>
      <c r="C255" s="1" t="s">
        <v>15</v>
      </c>
      <c r="D255" s="1">
        <v>25</v>
      </c>
      <c r="E255" s="1">
        <v>197.417486086612</v>
      </c>
      <c r="F255" s="1">
        <v>1756.73498535156</v>
      </c>
      <c r="G255">
        <f t="shared" si="4"/>
        <v>14.050533302569407</v>
      </c>
    </row>
    <row r="256" spans="1:7" ht="13" x14ac:dyDescent="0.15">
      <c r="A256" s="2">
        <v>44774</v>
      </c>
      <c r="B256" s="1" t="s">
        <v>12</v>
      </c>
      <c r="C256" s="1" t="s">
        <v>15</v>
      </c>
      <c r="D256" s="1">
        <v>25</v>
      </c>
      <c r="E256" s="1">
        <v>197.417486086612</v>
      </c>
      <c r="F256" s="1">
        <v>1756.73498535156</v>
      </c>
      <c r="G256">
        <f t="shared" si="4"/>
        <v>14.050533302569407</v>
      </c>
    </row>
    <row r="257" spans="1:7" ht="13" x14ac:dyDescent="0.15">
      <c r="A257" s="2">
        <v>44621</v>
      </c>
      <c r="B257" s="1" t="s">
        <v>12</v>
      </c>
      <c r="C257" s="1" t="s">
        <v>15</v>
      </c>
      <c r="D257" s="1">
        <v>25</v>
      </c>
      <c r="E257" s="1">
        <v>179.39246368145601</v>
      </c>
      <c r="F257" s="1">
        <v>1295</v>
      </c>
      <c r="G257">
        <f t="shared" si="4"/>
        <v>13.393747185961665</v>
      </c>
    </row>
    <row r="258" spans="1:7" ht="13" x14ac:dyDescent="0.15">
      <c r="A258" s="2">
        <v>44621</v>
      </c>
      <c r="B258" s="1" t="s">
        <v>6</v>
      </c>
      <c r="C258" s="1" t="s">
        <v>15</v>
      </c>
      <c r="D258" s="1">
        <v>25</v>
      </c>
      <c r="E258" s="1">
        <v>179.39246368145601</v>
      </c>
      <c r="F258" s="1">
        <v>1295</v>
      </c>
      <c r="G258">
        <f t="shared" si="4"/>
        <v>13.393747185961665</v>
      </c>
    </row>
    <row r="259" spans="1:7" ht="13" x14ac:dyDescent="0.15">
      <c r="A259" s="2">
        <v>44621</v>
      </c>
      <c r="B259" s="1" t="s">
        <v>10</v>
      </c>
      <c r="C259" s="1" t="s">
        <v>15</v>
      </c>
      <c r="D259" s="1">
        <v>25</v>
      </c>
      <c r="E259" s="1">
        <v>179.39246368145601</v>
      </c>
      <c r="F259" s="1">
        <v>1295</v>
      </c>
      <c r="G259">
        <f t="shared" ref="G259:G322" si="5">SQRT(E259)</f>
        <v>13.393747185961665</v>
      </c>
    </row>
    <row r="260" spans="1:7" ht="13" x14ac:dyDescent="0.15">
      <c r="A260" s="2">
        <v>44621</v>
      </c>
      <c r="B260" s="1" t="s">
        <v>13</v>
      </c>
      <c r="C260" s="1" t="s">
        <v>15</v>
      </c>
      <c r="D260" s="1">
        <v>25</v>
      </c>
      <c r="E260" s="1">
        <v>179.39246368145601</v>
      </c>
      <c r="F260" s="1">
        <v>1295</v>
      </c>
      <c r="G260">
        <f t="shared" si="5"/>
        <v>13.393747185961665</v>
      </c>
    </row>
    <row r="261" spans="1:7" ht="13" x14ac:dyDescent="0.15">
      <c r="A261" s="2">
        <v>44621</v>
      </c>
      <c r="B261" s="1" t="s">
        <v>14</v>
      </c>
      <c r="C261" s="1" t="s">
        <v>15</v>
      </c>
      <c r="D261" s="1">
        <v>25</v>
      </c>
      <c r="E261" s="1">
        <v>179.39246368145601</v>
      </c>
      <c r="F261" s="1">
        <v>1295</v>
      </c>
      <c r="G261">
        <f t="shared" si="5"/>
        <v>13.393747185961665</v>
      </c>
    </row>
    <row r="262" spans="1:7" ht="13" x14ac:dyDescent="0.15">
      <c r="A262" s="2">
        <v>44621</v>
      </c>
      <c r="B262" s="1" t="s">
        <v>12</v>
      </c>
      <c r="C262" s="1" t="s">
        <v>11</v>
      </c>
      <c r="D262" s="1">
        <v>29</v>
      </c>
      <c r="E262" s="1">
        <v>200.01835251521601</v>
      </c>
      <c r="F262" s="1">
        <v>1784.912109375</v>
      </c>
      <c r="G262">
        <f t="shared" si="5"/>
        <v>14.142784468244434</v>
      </c>
    </row>
    <row r="263" spans="1:7" ht="13" x14ac:dyDescent="0.15">
      <c r="A263" s="2">
        <v>44621</v>
      </c>
      <c r="B263" s="1" t="s">
        <v>6</v>
      </c>
      <c r="C263" s="1" t="s">
        <v>11</v>
      </c>
      <c r="D263" s="1">
        <v>29</v>
      </c>
      <c r="E263" s="1">
        <v>200.01835251521601</v>
      </c>
      <c r="F263" s="1">
        <v>1784.912109375</v>
      </c>
      <c r="G263">
        <f t="shared" si="5"/>
        <v>14.142784468244434</v>
      </c>
    </row>
    <row r="264" spans="1:7" ht="13" x14ac:dyDescent="0.15">
      <c r="A264" s="2">
        <v>44621</v>
      </c>
      <c r="B264" s="1" t="s">
        <v>10</v>
      </c>
      <c r="C264" s="1" t="s">
        <v>11</v>
      </c>
      <c r="D264" s="1">
        <v>29</v>
      </c>
      <c r="E264" s="1">
        <v>200.01835251521601</v>
      </c>
      <c r="F264" s="1">
        <v>1784.912109375</v>
      </c>
      <c r="G264">
        <f t="shared" si="5"/>
        <v>14.142784468244434</v>
      </c>
    </row>
    <row r="265" spans="1:7" ht="13" x14ac:dyDescent="0.15">
      <c r="A265" s="2">
        <v>44621</v>
      </c>
      <c r="B265" s="1" t="s">
        <v>13</v>
      </c>
      <c r="C265" s="1" t="s">
        <v>11</v>
      </c>
      <c r="D265" s="1">
        <v>29</v>
      </c>
      <c r="E265" s="1">
        <v>200.01835251521601</v>
      </c>
      <c r="F265" s="1">
        <v>1784.912109375</v>
      </c>
      <c r="G265">
        <f t="shared" si="5"/>
        <v>14.142784468244434</v>
      </c>
    </row>
    <row r="266" spans="1:7" ht="13" x14ac:dyDescent="0.15">
      <c r="A266" s="2">
        <v>44621</v>
      </c>
      <c r="B266" s="1" t="s">
        <v>14</v>
      </c>
      <c r="C266" s="1" t="s">
        <v>11</v>
      </c>
      <c r="D266" s="1">
        <v>29</v>
      </c>
      <c r="E266" s="1">
        <v>200.01835251521601</v>
      </c>
      <c r="F266" s="1">
        <v>1784.912109375</v>
      </c>
      <c r="G266">
        <f t="shared" si="5"/>
        <v>14.142784468244434</v>
      </c>
    </row>
    <row r="267" spans="1:7" ht="13" x14ac:dyDescent="0.15">
      <c r="A267" s="2">
        <v>44774</v>
      </c>
      <c r="B267" s="1" t="s">
        <v>13</v>
      </c>
      <c r="C267" s="1" t="s">
        <v>21</v>
      </c>
      <c r="D267" s="1">
        <v>59.5</v>
      </c>
      <c r="E267" s="1">
        <v>784.17792567844106</v>
      </c>
      <c r="F267" s="1">
        <v>4503</v>
      </c>
      <c r="G267">
        <f t="shared" si="5"/>
        <v>28.003177064012593</v>
      </c>
    </row>
    <row r="268" spans="1:7" ht="13" x14ac:dyDescent="0.15">
      <c r="A268" s="2">
        <v>44774</v>
      </c>
      <c r="B268" s="1" t="s">
        <v>10</v>
      </c>
      <c r="C268" s="1" t="s">
        <v>21</v>
      </c>
      <c r="D268" s="1">
        <v>59.5</v>
      </c>
      <c r="E268" s="1">
        <v>784.17792567844106</v>
      </c>
      <c r="F268" s="1">
        <v>4503</v>
      </c>
      <c r="G268">
        <f t="shared" si="5"/>
        <v>28.003177064012593</v>
      </c>
    </row>
    <row r="269" spans="1:7" ht="13" x14ac:dyDescent="0.15">
      <c r="A269" s="2">
        <v>44774</v>
      </c>
      <c r="B269" s="1" t="s">
        <v>14</v>
      </c>
      <c r="C269" s="1" t="s">
        <v>21</v>
      </c>
      <c r="D269" s="1">
        <v>59.5</v>
      </c>
      <c r="E269" s="1">
        <v>784.17792567844106</v>
      </c>
      <c r="F269" s="1">
        <v>4503</v>
      </c>
      <c r="G269">
        <f t="shared" si="5"/>
        <v>28.003177064012593</v>
      </c>
    </row>
    <row r="270" spans="1:7" ht="13" x14ac:dyDescent="0.15">
      <c r="A270" s="2">
        <v>44774</v>
      </c>
      <c r="B270" s="1" t="s">
        <v>6</v>
      </c>
      <c r="C270" s="1" t="s">
        <v>21</v>
      </c>
      <c r="D270" s="1">
        <v>59.5</v>
      </c>
      <c r="E270" s="1">
        <v>784.17792567844106</v>
      </c>
      <c r="F270" s="1">
        <v>4503</v>
      </c>
      <c r="G270">
        <f t="shared" si="5"/>
        <v>28.003177064012593</v>
      </c>
    </row>
    <row r="271" spans="1:7" ht="13" x14ac:dyDescent="0.15">
      <c r="A271" s="2">
        <v>44774</v>
      </c>
      <c r="B271" s="1" t="s">
        <v>12</v>
      </c>
      <c r="C271" s="1" t="s">
        <v>21</v>
      </c>
      <c r="D271" s="1">
        <v>59.5</v>
      </c>
      <c r="E271" s="1">
        <v>784.17792567844106</v>
      </c>
      <c r="F271" s="1">
        <v>4503</v>
      </c>
      <c r="G271">
        <f t="shared" si="5"/>
        <v>28.003177064012593</v>
      </c>
    </row>
    <row r="272" spans="1:7" ht="13" x14ac:dyDescent="0.15">
      <c r="A272" s="2">
        <v>44986</v>
      </c>
      <c r="B272" s="1" t="s">
        <v>6</v>
      </c>
      <c r="C272" s="1" t="s">
        <v>20</v>
      </c>
      <c r="D272" s="1">
        <v>53.255012512207003</v>
      </c>
      <c r="E272" s="1">
        <v>311.709751163097</v>
      </c>
      <c r="F272" s="1">
        <v>528.14813232421795</v>
      </c>
      <c r="G272">
        <f t="shared" si="5"/>
        <v>17.655303768644057</v>
      </c>
    </row>
    <row r="273" spans="1:7" ht="13" x14ac:dyDescent="0.15">
      <c r="A273" s="2">
        <v>44927</v>
      </c>
      <c r="B273" s="1" t="s">
        <v>13</v>
      </c>
      <c r="C273" s="1" t="s">
        <v>15</v>
      </c>
      <c r="D273" s="1">
        <v>25</v>
      </c>
      <c r="E273" s="1">
        <v>220.625016733135</v>
      </c>
      <c r="F273" s="1">
        <v>3760</v>
      </c>
      <c r="G273">
        <f t="shared" si="5"/>
        <v>14.853451340787265</v>
      </c>
    </row>
    <row r="274" spans="1:7" ht="13" x14ac:dyDescent="0.15">
      <c r="A274" s="2">
        <v>44927</v>
      </c>
      <c r="B274" s="1" t="s">
        <v>10</v>
      </c>
      <c r="C274" s="1" t="s">
        <v>15</v>
      </c>
      <c r="D274" s="1">
        <v>25</v>
      </c>
      <c r="E274" s="1">
        <v>220.625016733135</v>
      </c>
      <c r="F274" s="1">
        <v>3760</v>
      </c>
      <c r="G274">
        <f t="shared" si="5"/>
        <v>14.853451340787265</v>
      </c>
    </row>
    <row r="275" spans="1:7" ht="13" x14ac:dyDescent="0.15">
      <c r="A275" s="2">
        <v>44927</v>
      </c>
      <c r="B275" s="1" t="s">
        <v>6</v>
      </c>
      <c r="C275" s="1" t="s">
        <v>15</v>
      </c>
      <c r="D275" s="1">
        <v>25</v>
      </c>
      <c r="E275" s="1">
        <v>220.625016733135</v>
      </c>
      <c r="F275" s="1">
        <v>3760</v>
      </c>
      <c r="G275">
        <f t="shared" si="5"/>
        <v>14.853451340787265</v>
      </c>
    </row>
    <row r="276" spans="1:7" ht="13" x14ac:dyDescent="0.15">
      <c r="A276" s="2">
        <v>44927</v>
      </c>
      <c r="B276" s="1" t="s">
        <v>14</v>
      </c>
      <c r="C276" s="1" t="s">
        <v>15</v>
      </c>
      <c r="D276" s="1">
        <v>25</v>
      </c>
      <c r="E276" s="1">
        <v>220.625016733135</v>
      </c>
      <c r="F276" s="1">
        <v>3760</v>
      </c>
      <c r="G276">
        <f t="shared" si="5"/>
        <v>14.853451340787265</v>
      </c>
    </row>
    <row r="277" spans="1:7" ht="13" x14ac:dyDescent="0.15">
      <c r="A277" s="2">
        <v>44927</v>
      </c>
      <c r="B277" s="1" t="s">
        <v>12</v>
      </c>
      <c r="C277" s="1" t="s">
        <v>15</v>
      </c>
      <c r="D277" s="1">
        <v>25</v>
      </c>
      <c r="E277" s="1">
        <v>220.625016733135</v>
      </c>
      <c r="F277" s="1">
        <v>3760</v>
      </c>
      <c r="G277">
        <f t="shared" si="5"/>
        <v>14.853451340787265</v>
      </c>
    </row>
    <row r="278" spans="1:7" ht="13" x14ac:dyDescent="0.15">
      <c r="A278" s="2">
        <v>44562</v>
      </c>
      <c r="B278" s="1" t="s">
        <v>14</v>
      </c>
      <c r="C278" s="1" t="s">
        <v>8</v>
      </c>
      <c r="D278" s="1">
        <v>58.517463684082003</v>
      </c>
      <c r="E278" s="1">
        <v>350.80601629449302</v>
      </c>
      <c r="F278" s="1">
        <v>1563.5</v>
      </c>
      <c r="G278">
        <f t="shared" si="5"/>
        <v>18.729816237606098</v>
      </c>
    </row>
    <row r="279" spans="1:7" ht="13" x14ac:dyDescent="0.15">
      <c r="A279" s="2">
        <v>44562</v>
      </c>
      <c r="B279" s="1" t="s">
        <v>6</v>
      </c>
      <c r="C279" s="1" t="s">
        <v>8</v>
      </c>
      <c r="D279" s="1">
        <v>58.517463684082003</v>
      </c>
      <c r="E279" s="1">
        <v>350.80601629449302</v>
      </c>
      <c r="F279" s="1">
        <v>1563.5</v>
      </c>
      <c r="G279">
        <f t="shared" si="5"/>
        <v>18.729816237606098</v>
      </c>
    </row>
    <row r="280" spans="1:7" ht="13" x14ac:dyDescent="0.15">
      <c r="A280" s="2">
        <v>44562</v>
      </c>
      <c r="B280" s="1" t="s">
        <v>13</v>
      </c>
      <c r="C280" s="1" t="s">
        <v>8</v>
      </c>
      <c r="D280" s="1">
        <v>58.517463684082003</v>
      </c>
      <c r="E280" s="1">
        <v>350.80601629449302</v>
      </c>
      <c r="F280" s="1">
        <v>1563.5</v>
      </c>
      <c r="G280">
        <f t="shared" si="5"/>
        <v>18.729816237606098</v>
      </c>
    </row>
    <row r="281" spans="1:7" ht="13" x14ac:dyDescent="0.15">
      <c r="A281" s="2">
        <v>44562</v>
      </c>
      <c r="B281" s="1" t="s">
        <v>10</v>
      </c>
      <c r="C281" s="1" t="s">
        <v>8</v>
      </c>
      <c r="D281" s="1">
        <v>58.517463684082003</v>
      </c>
      <c r="E281" s="1">
        <v>350.80601629449302</v>
      </c>
      <c r="F281" s="1">
        <v>1563.5</v>
      </c>
      <c r="G281">
        <f t="shared" si="5"/>
        <v>18.729816237606098</v>
      </c>
    </row>
    <row r="282" spans="1:7" ht="13" x14ac:dyDescent="0.15">
      <c r="A282" s="2">
        <v>44562</v>
      </c>
      <c r="B282" s="1" t="s">
        <v>12</v>
      </c>
      <c r="C282" s="1" t="s">
        <v>8</v>
      </c>
      <c r="D282" s="1">
        <v>58.517463684082003</v>
      </c>
      <c r="E282" s="1">
        <v>350.80601629449302</v>
      </c>
      <c r="F282" s="1">
        <v>1563.5</v>
      </c>
      <c r="G282">
        <f t="shared" si="5"/>
        <v>18.729816237606098</v>
      </c>
    </row>
    <row r="283" spans="1:7" ht="13" x14ac:dyDescent="0.15">
      <c r="A283" s="2">
        <v>44927</v>
      </c>
      <c r="B283" s="1" t="s">
        <v>13</v>
      </c>
      <c r="C283" s="1" t="s">
        <v>24</v>
      </c>
      <c r="D283" s="1">
        <v>37</v>
      </c>
      <c r="E283" s="1">
        <v>319.28687939417603</v>
      </c>
      <c r="F283" s="1">
        <v>3760</v>
      </c>
      <c r="G283">
        <f t="shared" si="5"/>
        <v>17.868600375915737</v>
      </c>
    </row>
    <row r="284" spans="1:7" ht="13" x14ac:dyDescent="0.15">
      <c r="A284" s="2">
        <v>44927</v>
      </c>
      <c r="B284" s="1" t="s">
        <v>10</v>
      </c>
      <c r="C284" s="1" t="s">
        <v>24</v>
      </c>
      <c r="D284" s="1">
        <v>37</v>
      </c>
      <c r="E284" s="1">
        <v>319.28687939417603</v>
      </c>
      <c r="F284" s="1">
        <v>3760</v>
      </c>
      <c r="G284">
        <f t="shared" si="5"/>
        <v>17.868600375915737</v>
      </c>
    </row>
    <row r="285" spans="1:7" ht="13" x14ac:dyDescent="0.15">
      <c r="A285" s="2">
        <v>44927</v>
      </c>
      <c r="B285" s="1" t="s">
        <v>6</v>
      </c>
      <c r="C285" s="1" t="s">
        <v>24</v>
      </c>
      <c r="D285" s="1">
        <v>37</v>
      </c>
      <c r="E285" s="1">
        <v>319.28687939417603</v>
      </c>
      <c r="F285" s="1">
        <v>3760</v>
      </c>
      <c r="G285">
        <f t="shared" si="5"/>
        <v>17.868600375915737</v>
      </c>
    </row>
    <row r="286" spans="1:7" ht="13" x14ac:dyDescent="0.15">
      <c r="A286" s="2">
        <v>44927</v>
      </c>
      <c r="B286" s="1" t="s">
        <v>14</v>
      </c>
      <c r="C286" s="1" t="s">
        <v>24</v>
      </c>
      <c r="D286" s="1">
        <v>37</v>
      </c>
      <c r="E286" s="1">
        <v>319.28687939417603</v>
      </c>
      <c r="F286" s="1">
        <v>3760</v>
      </c>
      <c r="G286">
        <f t="shared" si="5"/>
        <v>17.868600375915737</v>
      </c>
    </row>
    <row r="287" spans="1:7" ht="13" x14ac:dyDescent="0.15">
      <c r="A287" s="2">
        <v>44927</v>
      </c>
      <c r="B287" s="1" t="s">
        <v>12</v>
      </c>
      <c r="C287" s="1" t="s">
        <v>24</v>
      </c>
      <c r="D287" s="1">
        <v>37</v>
      </c>
      <c r="E287" s="1">
        <v>319.28687939417603</v>
      </c>
      <c r="F287" s="1">
        <v>3760</v>
      </c>
      <c r="G287">
        <f t="shared" si="5"/>
        <v>17.868600375915737</v>
      </c>
    </row>
    <row r="288" spans="1:7" ht="13" x14ac:dyDescent="0.15">
      <c r="A288" s="2">
        <v>44621</v>
      </c>
      <c r="B288" s="1" t="s">
        <v>12</v>
      </c>
      <c r="C288" s="1" t="s">
        <v>22</v>
      </c>
      <c r="D288" s="1">
        <v>13.168941497802701</v>
      </c>
      <c r="E288" s="1">
        <v>109.91060072033</v>
      </c>
      <c r="F288" s="1">
        <v>1175</v>
      </c>
      <c r="G288">
        <f t="shared" si="5"/>
        <v>10.48382567197347</v>
      </c>
    </row>
    <row r="289" spans="1:7" ht="13" x14ac:dyDescent="0.15">
      <c r="A289" s="2">
        <v>44621</v>
      </c>
      <c r="B289" s="1" t="s">
        <v>6</v>
      </c>
      <c r="C289" s="1" t="s">
        <v>22</v>
      </c>
      <c r="D289" s="1">
        <v>13.168941497802701</v>
      </c>
      <c r="E289" s="1">
        <v>109.91060072033</v>
      </c>
      <c r="F289" s="1">
        <v>1175</v>
      </c>
      <c r="G289">
        <f t="shared" si="5"/>
        <v>10.48382567197347</v>
      </c>
    </row>
    <row r="290" spans="1:7" ht="13" x14ac:dyDescent="0.15">
      <c r="A290" s="2">
        <v>44621</v>
      </c>
      <c r="B290" s="1" t="s">
        <v>10</v>
      </c>
      <c r="C290" s="1" t="s">
        <v>22</v>
      </c>
      <c r="D290" s="1">
        <v>13.168941497802701</v>
      </c>
      <c r="E290" s="1">
        <v>109.91060072033</v>
      </c>
      <c r="F290" s="1">
        <v>1175</v>
      </c>
      <c r="G290">
        <f t="shared" si="5"/>
        <v>10.48382567197347</v>
      </c>
    </row>
    <row r="291" spans="1:7" ht="13" x14ac:dyDescent="0.15">
      <c r="A291" s="2">
        <v>44621</v>
      </c>
      <c r="B291" s="1" t="s">
        <v>13</v>
      </c>
      <c r="C291" s="1" t="s">
        <v>22</v>
      </c>
      <c r="D291" s="1">
        <v>13.168941497802701</v>
      </c>
      <c r="E291" s="1">
        <v>109.91060072033</v>
      </c>
      <c r="F291" s="1">
        <v>1175</v>
      </c>
      <c r="G291">
        <f t="shared" si="5"/>
        <v>10.48382567197347</v>
      </c>
    </row>
    <row r="292" spans="1:7" ht="13" x14ac:dyDescent="0.15">
      <c r="A292" s="2">
        <v>44621</v>
      </c>
      <c r="B292" s="1" t="s">
        <v>14</v>
      </c>
      <c r="C292" s="1" t="s">
        <v>22</v>
      </c>
      <c r="D292" s="1">
        <v>13.168941497802701</v>
      </c>
      <c r="E292" s="1">
        <v>109.91060072033</v>
      </c>
      <c r="F292" s="1">
        <v>1175</v>
      </c>
      <c r="G292">
        <f t="shared" si="5"/>
        <v>10.48382567197347</v>
      </c>
    </row>
    <row r="293" spans="1:7" ht="13" x14ac:dyDescent="0.15">
      <c r="A293" s="3">
        <v>44866</v>
      </c>
      <c r="B293" s="1" t="s">
        <v>13</v>
      </c>
      <c r="C293" s="1" t="s">
        <v>23</v>
      </c>
      <c r="D293" s="1">
        <v>41</v>
      </c>
      <c r="E293" s="1">
        <v>313.28424053660098</v>
      </c>
      <c r="F293" s="1">
        <v>1410</v>
      </c>
      <c r="G293">
        <f t="shared" si="5"/>
        <v>17.699837302546058</v>
      </c>
    </row>
    <row r="294" spans="1:7" ht="13" x14ac:dyDescent="0.15">
      <c r="A294" s="3">
        <v>44866</v>
      </c>
      <c r="B294" s="1" t="s">
        <v>12</v>
      </c>
      <c r="C294" s="1" t="s">
        <v>23</v>
      </c>
      <c r="D294" s="1">
        <v>41</v>
      </c>
      <c r="E294" s="1">
        <v>313.28424053660098</v>
      </c>
      <c r="F294" s="1">
        <v>1410</v>
      </c>
      <c r="G294">
        <f t="shared" si="5"/>
        <v>17.699837302546058</v>
      </c>
    </row>
    <row r="295" spans="1:7" ht="13" x14ac:dyDescent="0.15">
      <c r="A295" s="3">
        <v>44866</v>
      </c>
      <c r="B295" s="1" t="s">
        <v>6</v>
      </c>
      <c r="C295" s="1" t="s">
        <v>23</v>
      </c>
      <c r="D295" s="1">
        <v>41</v>
      </c>
      <c r="E295" s="1">
        <v>313.28424053660098</v>
      </c>
      <c r="F295" s="1">
        <v>1410</v>
      </c>
      <c r="G295">
        <f t="shared" si="5"/>
        <v>17.699837302546058</v>
      </c>
    </row>
    <row r="296" spans="1:7" ht="13" x14ac:dyDescent="0.15">
      <c r="A296" s="3">
        <v>44866</v>
      </c>
      <c r="B296" s="1" t="s">
        <v>10</v>
      </c>
      <c r="C296" s="1" t="s">
        <v>23</v>
      </c>
      <c r="D296" s="1">
        <v>41</v>
      </c>
      <c r="E296" s="1">
        <v>313.28424053660098</v>
      </c>
      <c r="F296" s="1">
        <v>1410</v>
      </c>
      <c r="G296">
        <f t="shared" si="5"/>
        <v>17.699837302546058</v>
      </c>
    </row>
    <row r="297" spans="1:7" ht="13" x14ac:dyDescent="0.15">
      <c r="A297" s="3">
        <v>44866</v>
      </c>
      <c r="B297" s="1" t="s">
        <v>14</v>
      </c>
      <c r="C297" s="1" t="s">
        <v>23</v>
      </c>
      <c r="D297" s="1">
        <v>41</v>
      </c>
      <c r="E297" s="1">
        <v>313.28424053660098</v>
      </c>
      <c r="F297" s="1">
        <v>1410</v>
      </c>
      <c r="G297">
        <f t="shared" si="5"/>
        <v>17.699837302546058</v>
      </c>
    </row>
    <row r="298" spans="1:7" ht="13" x14ac:dyDescent="0.15">
      <c r="A298" s="2">
        <v>44927</v>
      </c>
      <c r="B298" s="1" t="s">
        <v>13</v>
      </c>
      <c r="C298" s="1" t="s">
        <v>11</v>
      </c>
      <c r="D298" s="1">
        <v>29</v>
      </c>
      <c r="E298" s="1">
        <v>246.055843186023</v>
      </c>
      <c r="F298" s="1">
        <v>3760</v>
      </c>
      <c r="G298">
        <f t="shared" si="5"/>
        <v>15.686167256089774</v>
      </c>
    </row>
    <row r="299" spans="1:7" ht="13" x14ac:dyDescent="0.15">
      <c r="A299" s="2">
        <v>44927</v>
      </c>
      <c r="B299" s="1" t="s">
        <v>10</v>
      </c>
      <c r="C299" s="1" t="s">
        <v>11</v>
      </c>
      <c r="D299" s="1">
        <v>29</v>
      </c>
      <c r="E299" s="1">
        <v>246.055843186023</v>
      </c>
      <c r="F299" s="1">
        <v>3760</v>
      </c>
      <c r="G299">
        <f t="shared" si="5"/>
        <v>15.686167256089774</v>
      </c>
    </row>
    <row r="300" spans="1:7" ht="13" x14ac:dyDescent="0.15">
      <c r="A300" s="2">
        <v>44927</v>
      </c>
      <c r="B300" s="1" t="s">
        <v>6</v>
      </c>
      <c r="C300" s="1" t="s">
        <v>11</v>
      </c>
      <c r="D300" s="1">
        <v>29</v>
      </c>
      <c r="E300" s="1">
        <v>246.055843186023</v>
      </c>
      <c r="F300" s="1">
        <v>3760</v>
      </c>
      <c r="G300">
        <f t="shared" si="5"/>
        <v>15.686167256089774</v>
      </c>
    </row>
    <row r="301" spans="1:7" ht="13" x14ac:dyDescent="0.15">
      <c r="A301" s="2">
        <v>44927</v>
      </c>
      <c r="B301" s="1" t="s">
        <v>14</v>
      </c>
      <c r="C301" s="1" t="s">
        <v>11</v>
      </c>
      <c r="D301" s="1">
        <v>29</v>
      </c>
      <c r="E301" s="1">
        <v>246.055843186023</v>
      </c>
      <c r="F301" s="1">
        <v>3760</v>
      </c>
      <c r="G301">
        <f t="shared" si="5"/>
        <v>15.686167256089774</v>
      </c>
    </row>
    <row r="302" spans="1:7" ht="13" x14ac:dyDescent="0.15">
      <c r="A302" s="2">
        <v>44927</v>
      </c>
      <c r="B302" s="1" t="s">
        <v>12</v>
      </c>
      <c r="C302" s="1" t="s">
        <v>11</v>
      </c>
      <c r="D302" s="1">
        <v>29</v>
      </c>
      <c r="E302" s="1">
        <v>246.055843186023</v>
      </c>
      <c r="F302" s="1">
        <v>3760</v>
      </c>
      <c r="G302">
        <f t="shared" si="5"/>
        <v>15.686167256089774</v>
      </c>
    </row>
    <row r="303" spans="1:7" ht="13" x14ac:dyDescent="0.15">
      <c r="A303" s="2">
        <v>44682</v>
      </c>
      <c r="B303" s="1" t="s">
        <v>12</v>
      </c>
      <c r="C303" s="1" t="s">
        <v>19</v>
      </c>
      <c r="D303" s="1">
        <v>52</v>
      </c>
      <c r="E303" s="1">
        <v>464.40075954990402</v>
      </c>
      <c r="F303" s="1">
        <v>3129.58837890625</v>
      </c>
      <c r="G303">
        <f t="shared" si="5"/>
        <v>21.549959618289403</v>
      </c>
    </row>
    <row r="304" spans="1:7" ht="13" x14ac:dyDescent="0.15">
      <c r="A304" s="2">
        <v>44682</v>
      </c>
      <c r="B304" s="1" t="s">
        <v>14</v>
      </c>
      <c r="C304" s="1" t="s">
        <v>19</v>
      </c>
      <c r="D304" s="1">
        <v>52</v>
      </c>
      <c r="E304" s="1">
        <v>464.40075954990402</v>
      </c>
      <c r="F304" s="1">
        <v>3129.58837890625</v>
      </c>
      <c r="G304">
        <f t="shared" si="5"/>
        <v>21.549959618289403</v>
      </c>
    </row>
    <row r="305" spans="1:7" ht="13" x14ac:dyDescent="0.15">
      <c r="A305" s="2">
        <v>44682</v>
      </c>
      <c r="B305" s="1" t="s">
        <v>6</v>
      </c>
      <c r="C305" s="1" t="s">
        <v>19</v>
      </c>
      <c r="D305" s="1">
        <v>52</v>
      </c>
      <c r="E305" s="1">
        <v>464.40075954990402</v>
      </c>
      <c r="F305" s="1">
        <v>3129.58837890625</v>
      </c>
      <c r="G305">
        <f t="shared" si="5"/>
        <v>21.549959618289403</v>
      </c>
    </row>
    <row r="306" spans="1:7" ht="13" x14ac:dyDescent="0.15">
      <c r="A306" s="2">
        <v>44682</v>
      </c>
      <c r="B306" s="1" t="s">
        <v>13</v>
      </c>
      <c r="C306" s="1" t="s">
        <v>19</v>
      </c>
      <c r="D306" s="1">
        <v>52</v>
      </c>
      <c r="E306" s="1">
        <v>464.40075954990402</v>
      </c>
      <c r="F306" s="1">
        <v>3129.58837890625</v>
      </c>
      <c r="G306">
        <f t="shared" si="5"/>
        <v>21.549959618289403</v>
      </c>
    </row>
    <row r="307" spans="1:7" ht="13" x14ac:dyDescent="0.15">
      <c r="A307" s="2">
        <v>44682</v>
      </c>
      <c r="B307" s="1" t="s">
        <v>10</v>
      </c>
      <c r="C307" s="1" t="s">
        <v>19</v>
      </c>
      <c r="D307" s="1">
        <v>52</v>
      </c>
      <c r="E307" s="1">
        <v>464.40075954990402</v>
      </c>
      <c r="F307" s="1">
        <v>3129.58837890625</v>
      </c>
      <c r="G307">
        <f t="shared" si="5"/>
        <v>21.549959618289403</v>
      </c>
    </row>
    <row r="308" spans="1:7" ht="13" x14ac:dyDescent="0.15">
      <c r="A308" s="2">
        <v>44682</v>
      </c>
      <c r="B308" s="1" t="s">
        <v>12</v>
      </c>
      <c r="C308" s="1" t="s">
        <v>23</v>
      </c>
      <c r="D308" s="1">
        <v>41</v>
      </c>
      <c r="E308" s="1">
        <v>325.85729168814601</v>
      </c>
      <c r="F308" s="1">
        <v>2698.20166015625</v>
      </c>
      <c r="G308">
        <f t="shared" si="5"/>
        <v>18.051517711487474</v>
      </c>
    </row>
    <row r="309" spans="1:7" ht="13" x14ac:dyDescent="0.15">
      <c r="A309" s="2">
        <v>44682</v>
      </c>
      <c r="B309" s="1" t="s">
        <v>14</v>
      </c>
      <c r="C309" s="1" t="s">
        <v>23</v>
      </c>
      <c r="D309" s="1">
        <v>41</v>
      </c>
      <c r="E309" s="1">
        <v>325.85729168814601</v>
      </c>
      <c r="F309" s="1">
        <v>2698.20166015625</v>
      </c>
      <c r="G309">
        <f t="shared" si="5"/>
        <v>18.051517711487474</v>
      </c>
    </row>
    <row r="310" spans="1:7" ht="13" x14ac:dyDescent="0.15">
      <c r="A310" s="2">
        <v>44682</v>
      </c>
      <c r="B310" s="1" t="s">
        <v>6</v>
      </c>
      <c r="C310" s="1" t="s">
        <v>23</v>
      </c>
      <c r="D310" s="1">
        <v>41</v>
      </c>
      <c r="E310" s="1">
        <v>325.85729168814601</v>
      </c>
      <c r="F310" s="1">
        <v>2698.20166015625</v>
      </c>
      <c r="G310">
        <f t="shared" si="5"/>
        <v>18.051517711487474</v>
      </c>
    </row>
    <row r="311" spans="1:7" ht="13" x14ac:dyDescent="0.15">
      <c r="A311" s="2">
        <v>44682</v>
      </c>
      <c r="B311" s="1" t="s">
        <v>13</v>
      </c>
      <c r="C311" s="1" t="s">
        <v>23</v>
      </c>
      <c r="D311" s="1">
        <v>41</v>
      </c>
      <c r="E311" s="1">
        <v>325.85729168814601</v>
      </c>
      <c r="F311" s="1">
        <v>2698.20166015625</v>
      </c>
      <c r="G311">
        <f t="shared" si="5"/>
        <v>18.051517711487474</v>
      </c>
    </row>
    <row r="312" spans="1:7" ht="13" x14ac:dyDescent="0.15">
      <c r="A312" s="2">
        <v>44682</v>
      </c>
      <c r="B312" s="1" t="s">
        <v>10</v>
      </c>
      <c r="C312" s="1" t="s">
        <v>23</v>
      </c>
      <c r="D312" s="1">
        <v>41</v>
      </c>
      <c r="E312" s="1">
        <v>325.85729168814601</v>
      </c>
      <c r="F312" s="1">
        <v>2698.20166015625</v>
      </c>
      <c r="G312">
        <f t="shared" si="5"/>
        <v>18.051517711487474</v>
      </c>
    </row>
    <row r="313" spans="1:7" ht="13" x14ac:dyDescent="0.15">
      <c r="A313" s="3">
        <v>44531</v>
      </c>
      <c r="B313" s="1" t="s">
        <v>14</v>
      </c>
      <c r="C313" s="1" t="s">
        <v>11</v>
      </c>
      <c r="D313" s="1">
        <v>31.506893157958899</v>
      </c>
      <c r="E313" s="1">
        <v>227.57572933089401</v>
      </c>
      <c r="F313" s="1">
        <v>1357.75</v>
      </c>
      <c r="G313">
        <f t="shared" si="5"/>
        <v>15.085613322993998</v>
      </c>
    </row>
    <row r="314" spans="1:7" ht="13" x14ac:dyDescent="0.15">
      <c r="A314" s="3">
        <v>44531</v>
      </c>
      <c r="B314" s="1" t="s">
        <v>6</v>
      </c>
      <c r="C314" s="1" t="s">
        <v>11</v>
      </c>
      <c r="D314" s="1">
        <v>31.506893157958899</v>
      </c>
      <c r="E314" s="1">
        <v>227.57572933089401</v>
      </c>
      <c r="F314" s="1">
        <v>1357.75</v>
      </c>
      <c r="G314">
        <f t="shared" si="5"/>
        <v>15.085613322993998</v>
      </c>
    </row>
    <row r="315" spans="1:7" ht="13" x14ac:dyDescent="0.15">
      <c r="A315" s="3">
        <v>44531</v>
      </c>
      <c r="B315" s="1" t="s">
        <v>10</v>
      </c>
      <c r="C315" s="1" t="s">
        <v>11</v>
      </c>
      <c r="D315" s="1">
        <v>31.506893157958899</v>
      </c>
      <c r="E315" s="1">
        <v>227.57572933089401</v>
      </c>
      <c r="F315" s="1">
        <v>1357.75</v>
      </c>
      <c r="G315">
        <f t="shared" si="5"/>
        <v>15.085613322993998</v>
      </c>
    </row>
    <row r="316" spans="1:7" ht="13" x14ac:dyDescent="0.15">
      <c r="A316" s="3">
        <v>44531</v>
      </c>
      <c r="B316" s="1" t="s">
        <v>12</v>
      </c>
      <c r="C316" s="1" t="s">
        <v>11</v>
      </c>
      <c r="D316" s="1">
        <v>31.506893157958899</v>
      </c>
      <c r="E316" s="1">
        <v>227.57572933089401</v>
      </c>
      <c r="F316" s="1">
        <v>1357.75</v>
      </c>
      <c r="G316">
        <f t="shared" si="5"/>
        <v>15.085613322993998</v>
      </c>
    </row>
    <row r="317" spans="1:7" ht="13" x14ac:dyDescent="0.15">
      <c r="A317" s="3">
        <v>44531</v>
      </c>
      <c r="B317" s="1" t="s">
        <v>13</v>
      </c>
      <c r="C317" s="1" t="s">
        <v>11</v>
      </c>
      <c r="D317" s="1">
        <v>31.506893157958899</v>
      </c>
      <c r="E317" s="1">
        <v>227.57572933089401</v>
      </c>
      <c r="F317" s="1">
        <v>1357.75</v>
      </c>
      <c r="G317">
        <f t="shared" si="5"/>
        <v>15.085613322993998</v>
      </c>
    </row>
    <row r="318" spans="1:7" ht="13" x14ac:dyDescent="0.15">
      <c r="A318" s="3">
        <v>44531</v>
      </c>
      <c r="B318" s="1" t="s">
        <v>14</v>
      </c>
      <c r="C318" s="1" t="s">
        <v>16</v>
      </c>
      <c r="D318" s="1">
        <v>11.449758529663001</v>
      </c>
      <c r="E318" s="1">
        <v>77.598852266513603</v>
      </c>
      <c r="F318" s="1">
        <v>1137.0909118652301</v>
      </c>
      <c r="G318">
        <f t="shared" si="5"/>
        <v>8.8090210731109959</v>
      </c>
    </row>
    <row r="319" spans="1:7" ht="13" x14ac:dyDescent="0.15">
      <c r="A319" s="3">
        <v>44531</v>
      </c>
      <c r="B319" s="1" t="s">
        <v>6</v>
      </c>
      <c r="C319" s="1" t="s">
        <v>16</v>
      </c>
      <c r="D319" s="1">
        <v>11.449758529663001</v>
      </c>
      <c r="E319" s="1">
        <v>77.598852266513603</v>
      </c>
      <c r="F319" s="1">
        <v>1137.0909118652301</v>
      </c>
      <c r="G319">
        <f t="shared" si="5"/>
        <v>8.8090210731109959</v>
      </c>
    </row>
    <row r="320" spans="1:7" ht="13" x14ac:dyDescent="0.15">
      <c r="A320" s="3">
        <v>44531</v>
      </c>
      <c r="B320" s="1" t="s">
        <v>10</v>
      </c>
      <c r="C320" s="1" t="s">
        <v>16</v>
      </c>
      <c r="D320" s="1">
        <v>11.449758529663001</v>
      </c>
      <c r="E320" s="1">
        <v>77.598852266513603</v>
      </c>
      <c r="F320" s="1">
        <v>1137.0909118652301</v>
      </c>
      <c r="G320">
        <f t="shared" si="5"/>
        <v>8.8090210731109959</v>
      </c>
    </row>
    <row r="321" spans="1:7" ht="13" x14ac:dyDescent="0.15">
      <c r="A321" s="3">
        <v>44531</v>
      </c>
      <c r="B321" s="1" t="s">
        <v>12</v>
      </c>
      <c r="C321" s="1" t="s">
        <v>16</v>
      </c>
      <c r="D321" s="1">
        <v>11.449758529663001</v>
      </c>
      <c r="E321" s="1">
        <v>77.598852266513603</v>
      </c>
      <c r="F321" s="1">
        <v>1137.0909118652301</v>
      </c>
      <c r="G321">
        <f t="shared" si="5"/>
        <v>8.8090210731109959</v>
      </c>
    </row>
    <row r="322" spans="1:7" ht="13" x14ac:dyDescent="0.15">
      <c r="A322" s="3">
        <v>44531</v>
      </c>
      <c r="B322" s="1" t="s">
        <v>13</v>
      </c>
      <c r="C322" s="1" t="s">
        <v>16</v>
      </c>
      <c r="D322" s="1">
        <v>11.449758529663001</v>
      </c>
      <c r="E322" s="1">
        <v>77.598852266513603</v>
      </c>
      <c r="F322" s="1">
        <v>1137.0909118652301</v>
      </c>
      <c r="G322">
        <f t="shared" si="5"/>
        <v>8.8090210731109959</v>
      </c>
    </row>
    <row r="323" spans="1:7" ht="13" x14ac:dyDescent="0.15">
      <c r="A323" s="2">
        <v>44805</v>
      </c>
      <c r="B323" s="1" t="s">
        <v>10</v>
      </c>
      <c r="C323" s="1" t="s">
        <v>17</v>
      </c>
      <c r="D323" s="1">
        <v>57.25</v>
      </c>
      <c r="E323" s="1">
        <v>593.41155534060101</v>
      </c>
      <c r="F323" s="1">
        <v>2617</v>
      </c>
      <c r="G323">
        <f t="shared" ref="G323:G386" si="6">SQRT(E323)</f>
        <v>24.360040134215726</v>
      </c>
    </row>
    <row r="324" spans="1:7" ht="13" x14ac:dyDescent="0.15">
      <c r="A324" s="2">
        <v>44805</v>
      </c>
      <c r="B324" s="1" t="s">
        <v>6</v>
      </c>
      <c r="C324" s="1" t="s">
        <v>17</v>
      </c>
      <c r="D324" s="1">
        <v>57.25</v>
      </c>
      <c r="E324" s="1">
        <v>593.41155534060101</v>
      </c>
      <c r="F324" s="1">
        <v>2617</v>
      </c>
      <c r="G324">
        <f t="shared" si="6"/>
        <v>24.360040134215726</v>
      </c>
    </row>
    <row r="325" spans="1:7" ht="13" x14ac:dyDescent="0.15">
      <c r="A325" s="2">
        <v>44805</v>
      </c>
      <c r="B325" s="1" t="s">
        <v>12</v>
      </c>
      <c r="C325" s="1" t="s">
        <v>17</v>
      </c>
      <c r="D325" s="1">
        <v>57.25</v>
      </c>
      <c r="E325" s="1">
        <v>593.41155534060101</v>
      </c>
      <c r="F325" s="1">
        <v>2617</v>
      </c>
      <c r="G325">
        <f t="shared" si="6"/>
        <v>24.360040134215726</v>
      </c>
    </row>
    <row r="326" spans="1:7" ht="13" x14ac:dyDescent="0.15">
      <c r="A326" s="2">
        <v>44805</v>
      </c>
      <c r="B326" s="1" t="s">
        <v>13</v>
      </c>
      <c r="C326" s="1" t="s">
        <v>17</v>
      </c>
      <c r="D326" s="1">
        <v>57.25</v>
      </c>
      <c r="E326" s="1">
        <v>593.41155534060101</v>
      </c>
      <c r="F326" s="1">
        <v>2617</v>
      </c>
      <c r="G326">
        <f t="shared" si="6"/>
        <v>24.360040134215726</v>
      </c>
    </row>
    <row r="327" spans="1:7" ht="13" x14ac:dyDescent="0.15">
      <c r="A327" s="2">
        <v>44805</v>
      </c>
      <c r="B327" s="1" t="s">
        <v>14</v>
      </c>
      <c r="C327" s="1" t="s">
        <v>17</v>
      </c>
      <c r="D327" s="1">
        <v>57.25</v>
      </c>
      <c r="E327" s="1">
        <v>593.41155534060101</v>
      </c>
      <c r="F327" s="1">
        <v>2617</v>
      </c>
      <c r="G327">
        <f t="shared" si="6"/>
        <v>24.360040134215726</v>
      </c>
    </row>
    <row r="328" spans="1:7" ht="13" x14ac:dyDescent="0.15">
      <c r="A328" s="2">
        <v>44682</v>
      </c>
      <c r="B328" s="1" t="s">
        <v>12</v>
      </c>
      <c r="C328" s="1" t="s">
        <v>15</v>
      </c>
      <c r="D328" s="1">
        <v>25</v>
      </c>
      <c r="E328" s="1">
        <v>191.68260371895599</v>
      </c>
      <c r="F328" s="1">
        <v>1756.73498535156</v>
      </c>
      <c r="G328">
        <f t="shared" si="6"/>
        <v>13.844948671589794</v>
      </c>
    </row>
    <row r="329" spans="1:7" ht="13" x14ac:dyDescent="0.15">
      <c r="A329" s="2">
        <v>44682</v>
      </c>
      <c r="B329" s="1" t="s">
        <v>14</v>
      </c>
      <c r="C329" s="1" t="s">
        <v>15</v>
      </c>
      <c r="D329" s="1">
        <v>25</v>
      </c>
      <c r="E329" s="1">
        <v>191.68260371895599</v>
      </c>
      <c r="F329" s="1">
        <v>1756.73498535156</v>
      </c>
      <c r="G329">
        <f t="shared" si="6"/>
        <v>13.844948671589794</v>
      </c>
    </row>
    <row r="330" spans="1:7" ht="13" x14ac:dyDescent="0.15">
      <c r="A330" s="2">
        <v>44682</v>
      </c>
      <c r="B330" s="1" t="s">
        <v>6</v>
      </c>
      <c r="C330" s="1" t="s">
        <v>15</v>
      </c>
      <c r="D330" s="1">
        <v>25</v>
      </c>
      <c r="E330" s="1">
        <v>191.68260371895599</v>
      </c>
      <c r="F330" s="1">
        <v>1756.73498535156</v>
      </c>
      <c r="G330">
        <f t="shared" si="6"/>
        <v>13.844948671589794</v>
      </c>
    </row>
    <row r="331" spans="1:7" ht="13" x14ac:dyDescent="0.15">
      <c r="A331" s="2">
        <v>44682</v>
      </c>
      <c r="B331" s="1" t="s">
        <v>13</v>
      </c>
      <c r="C331" s="1" t="s">
        <v>15</v>
      </c>
      <c r="D331" s="1">
        <v>25</v>
      </c>
      <c r="E331" s="1">
        <v>191.68260371895599</v>
      </c>
      <c r="F331" s="1">
        <v>1756.73498535156</v>
      </c>
      <c r="G331">
        <f t="shared" si="6"/>
        <v>13.844948671589794</v>
      </c>
    </row>
    <row r="332" spans="1:7" ht="13" x14ac:dyDescent="0.15">
      <c r="A332" s="2">
        <v>44682</v>
      </c>
      <c r="B332" s="1" t="s">
        <v>10</v>
      </c>
      <c r="C332" s="1" t="s">
        <v>15</v>
      </c>
      <c r="D332" s="1">
        <v>25</v>
      </c>
      <c r="E332" s="1">
        <v>191.68260371895599</v>
      </c>
      <c r="F332" s="1">
        <v>1756.73498535156</v>
      </c>
      <c r="G332">
        <f t="shared" si="6"/>
        <v>13.844948671589794</v>
      </c>
    </row>
    <row r="333" spans="1:7" ht="13" x14ac:dyDescent="0.15">
      <c r="A333" s="3">
        <v>44896</v>
      </c>
      <c r="B333" s="1" t="s">
        <v>10</v>
      </c>
      <c r="C333" s="1" t="s">
        <v>16</v>
      </c>
      <c r="D333" s="1">
        <v>11.7281799316406</v>
      </c>
      <c r="E333" s="1">
        <v>61.382259017974597</v>
      </c>
      <c r="F333" s="1">
        <v>2039.04309082031</v>
      </c>
      <c r="G333">
        <f t="shared" si="6"/>
        <v>7.8346830834421501</v>
      </c>
    </row>
    <row r="334" spans="1:7" ht="13" x14ac:dyDescent="0.15">
      <c r="A334" s="3">
        <v>44896</v>
      </c>
      <c r="B334" s="1" t="s">
        <v>14</v>
      </c>
      <c r="C334" s="1" t="s">
        <v>16</v>
      </c>
      <c r="D334" s="1">
        <v>11.7281799316406</v>
      </c>
      <c r="E334" s="1">
        <v>61.382259017974597</v>
      </c>
      <c r="F334" s="1">
        <v>2039.04309082031</v>
      </c>
      <c r="G334">
        <f t="shared" si="6"/>
        <v>7.8346830834421501</v>
      </c>
    </row>
    <row r="335" spans="1:7" ht="13" x14ac:dyDescent="0.15">
      <c r="A335" s="3">
        <v>44896</v>
      </c>
      <c r="B335" s="1" t="s">
        <v>6</v>
      </c>
      <c r="C335" s="1" t="s">
        <v>16</v>
      </c>
      <c r="D335" s="1">
        <v>11.7281799316406</v>
      </c>
      <c r="E335" s="1">
        <v>61.382259017974597</v>
      </c>
      <c r="F335" s="1">
        <v>2039.04309082031</v>
      </c>
      <c r="G335">
        <f t="shared" si="6"/>
        <v>7.8346830834421501</v>
      </c>
    </row>
    <row r="336" spans="1:7" ht="13" x14ac:dyDescent="0.15">
      <c r="A336" s="3">
        <v>44896</v>
      </c>
      <c r="B336" s="1" t="s">
        <v>13</v>
      </c>
      <c r="C336" s="1" t="s">
        <v>16</v>
      </c>
      <c r="D336" s="1">
        <v>11.7281799316406</v>
      </c>
      <c r="E336" s="1">
        <v>61.382259017974597</v>
      </c>
      <c r="F336" s="1">
        <v>2039.04309082031</v>
      </c>
      <c r="G336">
        <f t="shared" si="6"/>
        <v>7.8346830834421501</v>
      </c>
    </row>
    <row r="337" spans="1:7" ht="13" x14ac:dyDescent="0.15">
      <c r="A337" s="3">
        <v>44896</v>
      </c>
      <c r="B337" s="1" t="s">
        <v>12</v>
      </c>
      <c r="C337" s="1" t="s">
        <v>16</v>
      </c>
      <c r="D337" s="1">
        <v>11.7281799316406</v>
      </c>
      <c r="E337" s="1">
        <v>61.382259017974597</v>
      </c>
      <c r="F337" s="1">
        <v>2039.04309082031</v>
      </c>
      <c r="G337">
        <f t="shared" si="6"/>
        <v>7.8346830834421501</v>
      </c>
    </row>
    <row r="338" spans="1:7" ht="13" x14ac:dyDescent="0.15">
      <c r="A338" s="2">
        <v>44774</v>
      </c>
      <c r="B338" s="1" t="s">
        <v>13</v>
      </c>
      <c r="C338" s="1" t="s">
        <v>22</v>
      </c>
      <c r="D338" s="1">
        <v>8</v>
      </c>
      <c r="E338" s="1">
        <v>108.568714154684</v>
      </c>
      <c r="F338" s="1">
        <v>838.5</v>
      </c>
      <c r="G338">
        <f t="shared" si="6"/>
        <v>10.419631190914773</v>
      </c>
    </row>
    <row r="339" spans="1:7" ht="13" x14ac:dyDescent="0.15">
      <c r="A339" s="2">
        <v>44774</v>
      </c>
      <c r="B339" s="1" t="s">
        <v>10</v>
      </c>
      <c r="C339" s="1" t="s">
        <v>22</v>
      </c>
      <c r="D339" s="1">
        <v>8</v>
      </c>
      <c r="E339" s="1">
        <v>108.568714154684</v>
      </c>
      <c r="F339" s="1">
        <v>838.5</v>
      </c>
      <c r="G339">
        <f t="shared" si="6"/>
        <v>10.419631190914773</v>
      </c>
    </row>
    <row r="340" spans="1:7" ht="13" x14ac:dyDescent="0.15">
      <c r="A340" s="2">
        <v>44774</v>
      </c>
      <c r="B340" s="1" t="s">
        <v>14</v>
      </c>
      <c r="C340" s="1" t="s">
        <v>22</v>
      </c>
      <c r="D340" s="1">
        <v>8</v>
      </c>
      <c r="E340" s="1">
        <v>108.568714154684</v>
      </c>
      <c r="F340" s="1">
        <v>838.5</v>
      </c>
      <c r="G340">
        <f t="shared" si="6"/>
        <v>10.419631190914773</v>
      </c>
    </row>
    <row r="341" spans="1:7" ht="13" x14ac:dyDescent="0.15">
      <c r="A341" s="2">
        <v>44774</v>
      </c>
      <c r="B341" s="1" t="s">
        <v>6</v>
      </c>
      <c r="C341" s="1" t="s">
        <v>22</v>
      </c>
      <c r="D341" s="1">
        <v>8</v>
      </c>
      <c r="E341" s="1">
        <v>108.568714154684</v>
      </c>
      <c r="F341" s="1">
        <v>838.5</v>
      </c>
      <c r="G341">
        <f t="shared" si="6"/>
        <v>10.419631190914773</v>
      </c>
    </row>
    <row r="342" spans="1:7" ht="13" x14ac:dyDescent="0.15">
      <c r="A342" s="2">
        <v>44774</v>
      </c>
      <c r="B342" s="1" t="s">
        <v>12</v>
      </c>
      <c r="C342" s="1" t="s">
        <v>22</v>
      </c>
      <c r="D342" s="1">
        <v>8</v>
      </c>
      <c r="E342" s="1">
        <v>108.568714154684</v>
      </c>
      <c r="F342" s="1">
        <v>838.5</v>
      </c>
      <c r="G342">
        <f t="shared" si="6"/>
        <v>10.419631190914773</v>
      </c>
    </row>
    <row r="343" spans="1:7" ht="13" x14ac:dyDescent="0.15">
      <c r="A343" s="2">
        <v>44621</v>
      </c>
      <c r="B343" s="1" t="s">
        <v>12</v>
      </c>
      <c r="C343" s="1" t="s">
        <v>23</v>
      </c>
      <c r="D343" s="1">
        <v>41</v>
      </c>
      <c r="E343" s="1">
        <v>303.97195562621198</v>
      </c>
      <c r="F343" s="1">
        <v>2629.4423828125</v>
      </c>
      <c r="G343">
        <f t="shared" si="6"/>
        <v>17.434791528039902</v>
      </c>
    </row>
    <row r="344" spans="1:7" ht="13" x14ac:dyDescent="0.15">
      <c r="A344" s="2">
        <v>44621</v>
      </c>
      <c r="B344" s="1" t="s">
        <v>6</v>
      </c>
      <c r="C344" s="1" t="s">
        <v>23</v>
      </c>
      <c r="D344" s="1">
        <v>41</v>
      </c>
      <c r="E344" s="1">
        <v>303.97195562621198</v>
      </c>
      <c r="F344" s="1">
        <v>2629.4423828125</v>
      </c>
      <c r="G344">
        <f t="shared" si="6"/>
        <v>17.434791528039902</v>
      </c>
    </row>
    <row r="345" spans="1:7" ht="13" x14ac:dyDescent="0.15">
      <c r="A345" s="2">
        <v>44621</v>
      </c>
      <c r="B345" s="1" t="s">
        <v>10</v>
      </c>
      <c r="C345" s="1" t="s">
        <v>23</v>
      </c>
      <c r="D345" s="1">
        <v>41</v>
      </c>
      <c r="E345" s="1">
        <v>303.97195562621198</v>
      </c>
      <c r="F345" s="1">
        <v>2629.4423828125</v>
      </c>
      <c r="G345">
        <f t="shared" si="6"/>
        <v>17.434791528039902</v>
      </c>
    </row>
    <row r="346" spans="1:7" ht="13" x14ac:dyDescent="0.15">
      <c r="A346" s="2">
        <v>44621</v>
      </c>
      <c r="B346" s="1" t="s">
        <v>13</v>
      </c>
      <c r="C346" s="1" t="s">
        <v>23</v>
      </c>
      <c r="D346" s="1">
        <v>41</v>
      </c>
      <c r="E346" s="1">
        <v>303.97195562621198</v>
      </c>
      <c r="F346" s="1">
        <v>2629.4423828125</v>
      </c>
      <c r="G346">
        <f t="shared" si="6"/>
        <v>17.434791528039902</v>
      </c>
    </row>
    <row r="347" spans="1:7" ht="13" x14ac:dyDescent="0.15">
      <c r="A347" s="2">
        <v>44621</v>
      </c>
      <c r="B347" s="1" t="s">
        <v>14</v>
      </c>
      <c r="C347" s="1" t="s">
        <v>23</v>
      </c>
      <c r="D347" s="1">
        <v>41</v>
      </c>
      <c r="E347" s="1">
        <v>303.97195562621198</v>
      </c>
      <c r="F347" s="1">
        <v>2629.4423828125</v>
      </c>
      <c r="G347">
        <f t="shared" si="6"/>
        <v>17.434791528039902</v>
      </c>
    </row>
    <row r="348" spans="1:7" ht="13" x14ac:dyDescent="0.15">
      <c r="A348" s="2">
        <v>44562</v>
      </c>
      <c r="B348" s="1" t="s">
        <v>14</v>
      </c>
      <c r="C348" s="1" t="s">
        <v>22</v>
      </c>
      <c r="D348" s="1">
        <v>13.168941497802701</v>
      </c>
      <c r="E348" s="1">
        <v>107.6703614483</v>
      </c>
      <c r="F348" s="1">
        <v>1175</v>
      </c>
      <c r="G348">
        <f t="shared" si="6"/>
        <v>10.376432982884822</v>
      </c>
    </row>
    <row r="349" spans="1:7" ht="13" x14ac:dyDescent="0.15">
      <c r="A349" s="2">
        <v>44562</v>
      </c>
      <c r="B349" s="1" t="s">
        <v>6</v>
      </c>
      <c r="C349" s="1" t="s">
        <v>22</v>
      </c>
      <c r="D349" s="1">
        <v>13.168941497802701</v>
      </c>
      <c r="E349" s="1">
        <v>107.6703614483</v>
      </c>
      <c r="F349" s="1">
        <v>1175</v>
      </c>
      <c r="G349">
        <f t="shared" si="6"/>
        <v>10.376432982884822</v>
      </c>
    </row>
    <row r="350" spans="1:7" ht="13" x14ac:dyDescent="0.15">
      <c r="A350" s="2">
        <v>44562</v>
      </c>
      <c r="B350" s="1" t="s">
        <v>13</v>
      </c>
      <c r="C350" s="1" t="s">
        <v>22</v>
      </c>
      <c r="D350" s="1">
        <v>13.168941497802701</v>
      </c>
      <c r="E350" s="1">
        <v>107.6703614483</v>
      </c>
      <c r="F350" s="1">
        <v>1175</v>
      </c>
      <c r="G350">
        <f t="shared" si="6"/>
        <v>10.376432982884822</v>
      </c>
    </row>
    <row r="351" spans="1:7" ht="13" x14ac:dyDescent="0.15">
      <c r="A351" s="2">
        <v>44562</v>
      </c>
      <c r="B351" s="1" t="s">
        <v>10</v>
      </c>
      <c r="C351" s="1" t="s">
        <v>22</v>
      </c>
      <c r="D351" s="1">
        <v>13.168941497802701</v>
      </c>
      <c r="E351" s="1">
        <v>107.6703614483</v>
      </c>
      <c r="F351" s="1">
        <v>1175</v>
      </c>
      <c r="G351">
        <f t="shared" si="6"/>
        <v>10.376432982884822</v>
      </c>
    </row>
    <row r="352" spans="1:7" ht="13" x14ac:dyDescent="0.15">
      <c r="A352" s="2">
        <v>44562</v>
      </c>
      <c r="B352" s="1" t="s">
        <v>12</v>
      </c>
      <c r="C352" s="1" t="s">
        <v>22</v>
      </c>
      <c r="D352" s="1">
        <v>13.168941497802701</v>
      </c>
      <c r="E352" s="1">
        <v>107.6703614483</v>
      </c>
      <c r="F352" s="1">
        <v>1175</v>
      </c>
      <c r="G352">
        <f t="shared" si="6"/>
        <v>10.376432982884822</v>
      </c>
    </row>
    <row r="353" spans="1:7" ht="13" x14ac:dyDescent="0.15">
      <c r="A353" s="2">
        <v>44621</v>
      </c>
      <c r="B353" s="1" t="s">
        <v>12</v>
      </c>
      <c r="C353" s="1" t="s">
        <v>18</v>
      </c>
      <c r="D353" s="1">
        <v>16.045707702636701</v>
      </c>
      <c r="E353" s="1">
        <v>143.88338968446101</v>
      </c>
      <c r="F353" s="1">
        <v>1215</v>
      </c>
      <c r="G353">
        <f t="shared" si="6"/>
        <v>11.995140252804925</v>
      </c>
    </row>
    <row r="354" spans="1:7" ht="13" x14ac:dyDescent="0.15">
      <c r="A354" s="2">
        <v>44621</v>
      </c>
      <c r="B354" s="1" t="s">
        <v>6</v>
      </c>
      <c r="C354" s="1" t="s">
        <v>18</v>
      </c>
      <c r="D354" s="1">
        <v>16.045707702636701</v>
      </c>
      <c r="E354" s="1">
        <v>143.88338968446101</v>
      </c>
      <c r="F354" s="1">
        <v>1215</v>
      </c>
      <c r="G354">
        <f t="shared" si="6"/>
        <v>11.995140252804925</v>
      </c>
    </row>
    <row r="355" spans="1:7" ht="13" x14ac:dyDescent="0.15">
      <c r="A355" s="2">
        <v>44621</v>
      </c>
      <c r="B355" s="1" t="s">
        <v>10</v>
      </c>
      <c r="C355" s="1" t="s">
        <v>18</v>
      </c>
      <c r="D355" s="1">
        <v>16.045707702636701</v>
      </c>
      <c r="E355" s="1">
        <v>143.88338968446101</v>
      </c>
      <c r="F355" s="1">
        <v>1215</v>
      </c>
      <c r="G355">
        <f t="shared" si="6"/>
        <v>11.995140252804925</v>
      </c>
    </row>
    <row r="356" spans="1:7" ht="13" x14ac:dyDescent="0.15">
      <c r="A356" s="2">
        <v>44621</v>
      </c>
      <c r="B356" s="1" t="s">
        <v>13</v>
      </c>
      <c r="C356" s="1" t="s">
        <v>18</v>
      </c>
      <c r="D356" s="1">
        <v>16.045707702636701</v>
      </c>
      <c r="E356" s="1">
        <v>143.88338968446101</v>
      </c>
      <c r="F356" s="1">
        <v>1215</v>
      </c>
      <c r="G356">
        <f t="shared" si="6"/>
        <v>11.995140252804925</v>
      </c>
    </row>
    <row r="357" spans="1:7" ht="13" x14ac:dyDescent="0.15">
      <c r="A357" s="2">
        <v>44621</v>
      </c>
      <c r="B357" s="1" t="s">
        <v>14</v>
      </c>
      <c r="C357" s="1" t="s">
        <v>18</v>
      </c>
      <c r="D357" s="1">
        <v>16.045707702636701</v>
      </c>
      <c r="E357" s="1">
        <v>143.88338968446101</v>
      </c>
      <c r="F357" s="1">
        <v>1215</v>
      </c>
      <c r="G357">
        <f t="shared" si="6"/>
        <v>11.995140252804925</v>
      </c>
    </row>
    <row r="358" spans="1:7" ht="13" x14ac:dyDescent="0.15">
      <c r="A358" s="3">
        <v>44531</v>
      </c>
      <c r="B358" s="1" t="s">
        <v>14</v>
      </c>
      <c r="C358" s="1" t="s">
        <v>7</v>
      </c>
      <c r="D358" s="1">
        <v>36.260005950927699</v>
      </c>
      <c r="E358" s="1">
        <v>255.22311342675999</v>
      </c>
      <c r="F358" s="1">
        <v>1375.5625</v>
      </c>
      <c r="G358">
        <f t="shared" si="6"/>
        <v>15.975703847616856</v>
      </c>
    </row>
    <row r="359" spans="1:7" ht="13" x14ac:dyDescent="0.15">
      <c r="A359" s="3">
        <v>44531</v>
      </c>
      <c r="B359" s="1" t="s">
        <v>6</v>
      </c>
      <c r="C359" s="1" t="s">
        <v>7</v>
      </c>
      <c r="D359" s="1">
        <v>36.260005950927699</v>
      </c>
      <c r="E359" s="1">
        <v>255.22311342675999</v>
      </c>
      <c r="F359" s="1">
        <v>1375.5625</v>
      </c>
      <c r="G359">
        <f t="shared" si="6"/>
        <v>15.975703847616856</v>
      </c>
    </row>
    <row r="360" spans="1:7" ht="13" x14ac:dyDescent="0.15">
      <c r="A360" s="3">
        <v>44531</v>
      </c>
      <c r="B360" s="1" t="s">
        <v>10</v>
      </c>
      <c r="C360" s="1" t="s">
        <v>7</v>
      </c>
      <c r="D360" s="1">
        <v>36.260005950927699</v>
      </c>
      <c r="E360" s="1">
        <v>255.22311342675999</v>
      </c>
      <c r="F360" s="1">
        <v>1375.5625</v>
      </c>
      <c r="G360">
        <f t="shared" si="6"/>
        <v>15.975703847616856</v>
      </c>
    </row>
    <row r="361" spans="1:7" ht="13" x14ac:dyDescent="0.15">
      <c r="A361" s="3">
        <v>44531</v>
      </c>
      <c r="B361" s="1" t="s">
        <v>12</v>
      </c>
      <c r="C361" s="1" t="s">
        <v>7</v>
      </c>
      <c r="D361" s="1">
        <v>36.260005950927699</v>
      </c>
      <c r="E361" s="1">
        <v>255.22311342675999</v>
      </c>
      <c r="F361" s="1">
        <v>1375.5625</v>
      </c>
      <c r="G361">
        <f t="shared" si="6"/>
        <v>15.975703847616856</v>
      </c>
    </row>
    <row r="362" spans="1:7" ht="13" x14ac:dyDescent="0.15">
      <c r="A362" s="3">
        <v>44531</v>
      </c>
      <c r="B362" s="1" t="s">
        <v>13</v>
      </c>
      <c r="C362" s="1" t="s">
        <v>7</v>
      </c>
      <c r="D362" s="1">
        <v>36.260005950927699</v>
      </c>
      <c r="E362" s="1">
        <v>255.22311342675999</v>
      </c>
      <c r="F362" s="1">
        <v>1375.5625</v>
      </c>
      <c r="G362">
        <f t="shared" si="6"/>
        <v>15.975703847616856</v>
      </c>
    </row>
    <row r="363" spans="1:7" ht="13" x14ac:dyDescent="0.15">
      <c r="A363" s="2">
        <v>44958</v>
      </c>
      <c r="B363" s="1" t="s">
        <v>10</v>
      </c>
      <c r="C363" s="1" t="s">
        <v>15</v>
      </c>
      <c r="D363" s="1">
        <v>25</v>
      </c>
      <c r="E363" s="1">
        <v>218.13960382753299</v>
      </c>
      <c r="F363" s="1">
        <v>1820</v>
      </c>
      <c r="G363">
        <f t="shared" si="6"/>
        <v>14.769549885745773</v>
      </c>
    </row>
    <row r="364" spans="1:7" ht="13" x14ac:dyDescent="0.15">
      <c r="A364" s="2">
        <v>44958</v>
      </c>
      <c r="B364" s="1" t="s">
        <v>14</v>
      </c>
      <c r="C364" s="1" t="s">
        <v>15</v>
      </c>
      <c r="D364" s="1">
        <v>25</v>
      </c>
      <c r="E364" s="1">
        <v>218.13960382753299</v>
      </c>
      <c r="F364" s="1">
        <v>1820</v>
      </c>
      <c r="G364">
        <f t="shared" si="6"/>
        <v>14.769549885745773</v>
      </c>
    </row>
    <row r="365" spans="1:7" ht="13" x14ac:dyDescent="0.15">
      <c r="A365" s="2">
        <v>44958</v>
      </c>
      <c r="B365" s="1" t="s">
        <v>12</v>
      </c>
      <c r="C365" s="1" t="s">
        <v>15</v>
      </c>
      <c r="D365" s="1">
        <v>25</v>
      </c>
      <c r="E365" s="1">
        <v>218.13960382753299</v>
      </c>
      <c r="F365" s="1">
        <v>1820</v>
      </c>
      <c r="G365">
        <f t="shared" si="6"/>
        <v>14.769549885745773</v>
      </c>
    </row>
    <row r="366" spans="1:7" ht="13" x14ac:dyDescent="0.15">
      <c r="A366" s="2">
        <v>44958</v>
      </c>
      <c r="B366" s="1" t="s">
        <v>6</v>
      </c>
      <c r="C366" s="1" t="s">
        <v>15</v>
      </c>
      <c r="D366" s="1">
        <v>25</v>
      </c>
      <c r="E366" s="1">
        <v>218.13960382753299</v>
      </c>
      <c r="F366" s="1">
        <v>1820</v>
      </c>
      <c r="G366">
        <f t="shared" si="6"/>
        <v>14.769549885745773</v>
      </c>
    </row>
    <row r="367" spans="1:7" ht="13" x14ac:dyDescent="0.15">
      <c r="A367" s="2">
        <v>44958</v>
      </c>
      <c r="B367" s="1" t="s">
        <v>13</v>
      </c>
      <c r="C367" s="1" t="s">
        <v>15</v>
      </c>
      <c r="D367" s="1">
        <v>25</v>
      </c>
      <c r="E367" s="1">
        <v>218.13960382753299</v>
      </c>
      <c r="F367" s="1">
        <v>1820</v>
      </c>
      <c r="G367">
        <f t="shared" si="6"/>
        <v>14.769549885745773</v>
      </c>
    </row>
    <row r="368" spans="1:7" ht="13" x14ac:dyDescent="0.15">
      <c r="A368" s="2">
        <v>44713</v>
      </c>
      <c r="B368" s="1" t="s">
        <v>6</v>
      </c>
      <c r="C368" s="1" t="s">
        <v>17</v>
      </c>
      <c r="D368" s="1">
        <v>58</v>
      </c>
      <c r="E368" s="1">
        <v>591.44352256288198</v>
      </c>
      <c r="F368" s="1">
        <v>2550.5</v>
      </c>
      <c r="G368">
        <f t="shared" si="6"/>
        <v>24.319611891699299</v>
      </c>
    </row>
    <row r="369" spans="1:7" ht="13" x14ac:dyDescent="0.15">
      <c r="A369" s="2">
        <v>44713</v>
      </c>
      <c r="B369" s="1" t="s">
        <v>12</v>
      </c>
      <c r="C369" s="1" t="s">
        <v>17</v>
      </c>
      <c r="D369" s="1">
        <v>58</v>
      </c>
      <c r="E369" s="1">
        <v>591.44352256288198</v>
      </c>
      <c r="F369" s="1">
        <v>2550.5</v>
      </c>
      <c r="G369">
        <f t="shared" si="6"/>
        <v>24.319611891699299</v>
      </c>
    </row>
    <row r="370" spans="1:7" ht="13" x14ac:dyDescent="0.15">
      <c r="A370" s="2">
        <v>44713</v>
      </c>
      <c r="B370" s="1" t="s">
        <v>14</v>
      </c>
      <c r="C370" s="1" t="s">
        <v>17</v>
      </c>
      <c r="D370" s="1">
        <v>58</v>
      </c>
      <c r="E370" s="1">
        <v>591.44352256288198</v>
      </c>
      <c r="F370" s="1">
        <v>2550.5</v>
      </c>
      <c r="G370">
        <f t="shared" si="6"/>
        <v>24.319611891699299</v>
      </c>
    </row>
    <row r="371" spans="1:7" ht="13" x14ac:dyDescent="0.15">
      <c r="A371" s="2">
        <v>44713</v>
      </c>
      <c r="B371" s="1" t="s">
        <v>13</v>
      </c>
      <c r="C371" s="1" t="s">
        <v>17</v>
      </c>
      <c r="D371" s="1">
        <v>58</v>
      </c>
      <c r="E371" s="1">
        <v>591.44352256288198</v>
      </c>
      <c r="F371" s="1">
        <v>2550.5</v>
      </c>
      <c r="G371">
        <f t="shared" si="6"/>
        <v>24.319611891699299</v>
      </c>
    </row>
    <row r="372" spans="1:7" ht="13" x14ac:dyDescent="0.15">
      <c r="A372" s="2">
        <v>44713</v>
      </c>
      <c r="B372" s="1" t="s">
        <v>10</v>
      </c>
      <c r="C372" s="1" t="s">
        <v>17</v>
      </c>
      <c r="D372" s="1">
        <v>58</v>
      </c>
      <c r="E372" s="1">
        <v>591.44352256288198</v>
      </c>
      <c r="F372" s="1">
        <v>2550.5</v>
      </c>
      <c r="G372">
        <f t="shared" si="6"/>
        <v>24.319611891699299</v>
      </c>
    </row>
    <row r="373" spans="1:7" ht="13" x14ac:dyDescent="0.15">
      <c r="A373" s="2">
        <v>44805</v>
      </c>
      <c r="B373" s="1" t="s">
        <v>10</v>
      </c>
      <c r="C373" s="1" t="s">
        <v>23</v>
      </c>
      <c r="D373" s="1">
        <v>41</v>
      </c>
      <c r="E373" s="1">
        <v>330.00684920484002</v>
      </c>
      <c r="F373" s="1">
        <v>1403.5</v>
      </c>
      <c r="G373">
        <f t="shared" si="6"/>
        <v>18.1660906417655</v>
      </c>
    </row>
    <row r="374" spans="1:7" ht="13" x14ac:dyDescent="0.15">
      <c r="A374" s="2">
        <v>44805</v>
      </c>
      <c r="B374" s="1" t="s">
        <v>6</v>
      </c>
      <c r="C374" s="1" t="s">
        <v>23</v>
      </c>
      <c r="D374" s="1">
        <v>41</v>
      </c>
      <c r="E374" s="1">
        <v>330.00684920484002</v>
      </c>
      <c r="F374" s="1">
        <v>1403.5</v>
      </c>
      <c r="G374">
        <f t="shared" si="6"/>
        <v>18.1660906417655</v>
      </c>
    </row>
    <row r="375" spans="1:7" ht="13" x14ac:dyDescent="0.15">
      <c r="A375" s="2">
        <v>44805</v>
      </c>
      <c r="B375" s="1" t="s">
        <v>12</v>
      </c>
      <c r="C375" s="1" t="s">
        <v>23</v>
      </c>
      <c r="D375" s="1">
        <v>41</v>
      </c>
      <c r="E375" s="1">
        <v>330.00684920484002</v>
      </c>
      <c r="F375" s="1">
        <v>1403.5</v>
      </c>
      <c r="G375">
        <f t="shared" si="6"/>
        <v>18.1660906417655</v>
      </c>
    </row>
    <row r="376" spans="1:7" ht="13" x14ac:dyDescent="0.15">
      <c r="A376" s="2">
        <v>44805</v>
      </c>
      <c r="B376" s="1" t="s">
        <v>13</v>
      </c>
      <c r="C376" s="1" t="s">
        <v>23</v>
      </c>
      <c r="D376" s="1">
        <v>41</v>
      </c>
      <c r="E376" s="1">
        <v>330.00684920484002</v>
      </c>
      <c r="F376" s="1">
        <v>1403.5</v>
      </c>
      <c r="G376">
        <f t="shared" si="6"/>
        <v>18.1660906417655</v>
      </c>
    </row>
    <row r="377" spans="1:7" ht="13" x14ac:dyDescent="0.15">
      <c r="A377" s="2">
        <v>44805</v>
      </c>
      <c r="B377" s="1" t="s">
        <v>14</v>
      </c>
      <c r="C377" s="1" t="s">
        <v>23</v>
      </c>
      <c r="D377" s="1">
        <v>41</v>
      </c>
      <c r="E377" s="1">
        <v>330.00684920484002</v>
      </c>
      <c r="F377" s="1">
        <v>1403.5</v>
      </c>
      <c r="G377">
        <f t="shared" si="6"/>
        <v>18.1660906417655</v>
      </c>
    </row>
    <row r="378" spans="1:7" ht="13" x14ac:dyDescent="0.15">
      <c r="A378" s="2">
        <v>44593</v>
      </c>
      <c r="B378" s="1" t="s">
        <v>10</v>
      </c>
      <c r="C378" s="1" t="s">
        <v>19</v>
      </c>
      <c r="D378" s="1">
        <v>52</v>
      </c>
      <c r="E378" s="1">
        <v>420.85933472027801</v>
      </c>
      <c r="F378" s="1">
        <v>1736.5</v>
      </c>
      <c r="G378">
        <f t="shared" si="6"/>
        <v>20.514856439182751</v>
      </c>
    </row>
    <row r="379" spans="1:7" ht="13" x14ac:dyDescent="0.15">
      <c r="A379" s="2">
        <v>44593</v>
      </c>
      <c r="B379" s="1" t="s">
        <v>6</v>
      </c>
      <c r="C379" s="1" t="s">
        <v>19</v>
      </c>
      <c r="D379" s="1">
        <v>52</v>
      </c>
      <c r="E379" s="1">
        <v>420.85933472027801</v>
      </c>
      <c r="F379" s="1">
        <v>1736.5</v>
      </c>
      <c r="G379">
        <f t="shared" si="6"/>
        <v>20.514856439182751</v>
      </c>
    </row>
    <row r="380" spans="1:7" ht="13" x14ac:dyDescent="0.15">
      <c r="A380" s="2">
        <v>44593</v>
      </c>
      <c r="B380" s="1" t="s">
        <v>12</v>
      </c>
      <c r="C380" s="1" t="s">
        <v>19</v>
      </c>
      <c r="D380" s="1">
        <v>52</v>
      </c>
      <c r="E380" s="1">
        <v>420.85933472027801</v>
      </c>
      <c r="F380" s="1">
        <v>1736.5</v>
      </c>
      <c r="G380">
        <f t="shared" si="6"/>
        <v>20.514856439182751</v>
      </c>
    </row>
    <row r="381" spans="1:7" ht="13" x14ac:dyDescent="0.15">
      <c r="A381" s="2">
        <v>44593</v>
      </c>
      <c r="B381" s="1" t="s">
        <v>14</v>
      </c>
      <c r="C381" s="1" t="s">
        <v>19</v>
      </c>
      <c r="D381" s="1">
        <v>52</v>
      </c>
      <c r="E381" s="1">
        <v>420.85933472027801</v>
      </c>
      <c r="F381" s="1">
        <v>1736.5</v>
      </c>
      <c r="G381">
        <f t="shared" si="6"/>
        <v>20.514856439182751</v>
      </c>
    </row>
    <row r="382" spans="1:7" ht="13" x14ac:dyDescent="0.15">
      <c r="A382" s="2">
        <v>44593</v>
      </c>
      <c r="B382" s="1" t="s">
        <v>13</v>
      </c>
      <c r="C382" s="1" t="s">
        <v>19</v>
      </c>
      <c r="D382" s="1">
        <v>52</v>
      </c>
      <c r="E382" s="1">
        <v>420.85933472027801</v>
      </c>
      <c r="F382" s="1">
        <v>1736.5</v>
      </c>
      <c r="G382">
        <f t="shared" si="6"/>
        <v>20.514856439182751</v>
      </c>
    </row>
    <row r="383" spans="1:7" ht="13" x14ac:dyDescent="0.15">
      <c r="A383" s="2">
        <v>44958</v>
      </c>
      <c r="B383" s="1" t="s">
        <v>10</v>
      </c>
      <c r="C383" s="1" t="s">
        <v>16</v>
      </c>
      <c r="D383" s="1">
        <v>13.5487470626831</v>
      </c>
      <c r="E383" s="1">
        <v>82.441619359259306</v>
      </c>
      <c r="F383" s="1">
        <v>1820</v>
      </c>
      <c r="G383">
        <f t="shared" si="6"/>
        <v>9.0797367450416377</v>
      </c>
    </row>
    <row r="384" spans="1:7" ht="13" x14ac:dyDescent="0.15">
      <c r="A384" s="2">
        <v>44958</v>
      </c>
      <c r="B384" s="1" t="s">
        <v>14</v>
      </c>
      <c r="C384" s="1" t="s">
        <v>16</v>
      </c>
      <c r="D384" s="1">
        <v>13.5487470626831</v>
      </c>
      <c r="E384" s="1">
        <v>82.441619359259306</v>
      </c>
      <c r="F384" s="1">
        <v>1820</v>
      </c>
      <c r="G384">
        <f t="shared" si="6"/>
        <v>9.0797367450416377</v>
      </c>
    </row>
    <row r="385" spans="1:7" ht="13" x14ac:dyDescent="0.15">
      <c r="A385" s="2">
        <v>44958</v>
      </c>
      <c r="B385" s="1" t="s">
        <v>12</v>
      </c>
      <c r="C385" s="1" t="s">
        <v>16</v>
      </c>
      <c r="D385" s="1">
        <v>13.5487470626831</v>
      </c>
      <c r="E385" s="1">
        <v>82.441619359259306</v>
      </c>
      <c r="F385" s="1">
        <v>1820</v>
      </c>
      <c r="G385">
        <f t="shared" si="6"/>
        <v>9.0797367450416377</v>
      </c>
    </row>
    <row r="386" spans="1:7" ht="13" x14ac:dyDescent="0.15">
      <c r="A386" s="2">
        <v>44958</v>
      </c>
      <c r="B386" s="1" t="s">
        <v>6</v>
      </c>
      <c r="C386" s="1" t="s">
        <v>16</v>
      </c>
      <c r="D386" s="1">
        <v>13.5487470626831</v>
      </c>
      <c r="E386" s="1">
        <v>82.441619359259306</v>
      </c>
      <c r="F386" s="1">
        <v>1820</v>
      </c>
      <c r="G386">
        <f t="shared" si="6"/>
        <v>9.0797367450416377</v>
      </c>
    </row>
    <row r="387" spans="1:7" ht="13" x14ac:dyDescent="0.15">
      <c r="A387" s="2">
        <v>44958</v>
      </c>
      <c r="B387" s="1" t="s">
        <v>13</v>
      </c>
      <c r="C387" s="1" t="s">
        <v>16</v>
      </c>
      <c r="D387" s="1">
        <v>13.5487470626831</v>
      </c>
      <c r="E387" s="1">
        <v>82.441619359259306</v>
      </c>
      <c r="F387" s="1">
        <v>1820</v>
      </c>
      <c r="G387">
        <f t="shared" ref="G387:G450" si="7">SQRT(E387)</f>
        <v>9.0797367450416377</v>
      </c>
    </row>
    <row r="388" spans="1:7" ht="13" x14ac:dyDescent="0.15">
      <c r="A388" s="3">
        <v>44835</v>
      </c>
      <c r="B388" s="1" t="s">
        <v>12</v>
      </c>
      <c r="C388" s="1" t="s">
        <v>18</v>
      </c>
      <c r="D388" s="1">
        <v>16.045707702636701</v>
      </c>
      <c r="E388" s="1">
        <v>156.58611877041599</v>
      </c>
      <c r="F388" s="1">
        <v>765</v>
      </c>
      <c r="G388">
        <f t="shared" si="7"/>
        <v>12.513437528130149</v>
      </c>
    </row>
    <row r="389" spans="1:7" ht="13" x14ac:dyDescent="0.15">
      <c r="A389" s="3">
        <v>44835</v>
      </c>
      <c r="B389" s="1" t="s">
        <v>6</v>
      </c>
      <c r="C389" s="1" t="s">
        <v>18</v>
      </c>
      <c r="D389" s="1">
        <v>16.045707702636701</v>
      </c>
      <c r="E389" s="1">
        <v>156.58611877041599</v>
      </c>
      <c r="F389" s="1">
        <v>765</v>
      </c>
      <c r="G389">
        <f t="shared" si="7"/>
        <v>12.513437528130149</v>
      </c>
    </row>
    <row r="390" spans="1:7" ht="13" x14ac:dyDescent="0.15">
      <c r="A390" s="3">
        <v>44835</v>
      </c>
      <c r="B390" s="1" t="s">
        <v>13</v>
      </c>
      <c r="C390" s="1" t="s">
        <v>18</v>
      </c>
      <c r="D390" s="1">
        <v>16.045707702636701</v>
      </c>
      <c r="E390" s="1">
        <v>156.58611877041599</v>
      </c>
      <c r="F390" s="1">
        <v>765</v>
      </c>
      <c r="G390">
        <f t="shared" si="7"/>
        <v>12.513437528130149</v>
      </c>
    </row>
    <row r="391" spans="1:7" ht="13" x14ac:dyDescent="0.15">
      <c r="A391" s="3">
        <v>44835</v>
      </c>
      <c r="B391" s="1" t="s">
        <v>14</v>
      </c>
      <c r="C391" s="1" t="s">
        <v>18</v>
      </c>
      <c r="D391" s="1">
        <v>16.045707702636701</v>
      </c>
      <c r="E391" s="1">
        <v>156.58611877041599</v>
      </c>
      <c r="F391" s="1">
        <v>765</v>
      </c>
      <c r="G391">
        <f t="shared" si="7"/>
        <v>12.513437528130149</v>
      </c>
    </row>
    <row r="392" spans="1:7" ht="13" x14ac:dyDescent="0.15">
      <c r="A392" s="3">
        <v>44835</v>
      </c>
      <c r="B392" s="1" t="s">
        <v>10</v>
      </c>
      <c r="C392" s="1" t="s">
        <v>18</v>
      </c>
      <c r="D392" s="1">
        <v>16.045707702636701</v>
      </c>
      <c r="E392" s="1">
        <v>156.58611877041599</v>
      </c>
      <c r="F392" s="1">
        <v>765</v>
      </c>
      <c r="G392">
        <f t="shared" si="7"/>
        <v>12.513437528130149</v>
      </c>
    </row>
    <row r="393" spans="1:7" ht="13" x14ac:dyDescent="0.15">
      <c r="A393" s="3">
        <v>44866</v>
      </c>
      <c r="B393" s="1" t="s">
        <v>13</v>
      </c>
      <c r="C393" s="1" t="s">
        <v>22</v>
      </c>
      <c r="D393" s="1">
        <v>13.168941497802701</v>
      </c>
      <c r="E393" s="1">
        <v>95.622567687908301</v>
      </c>
      <c r="F393" s="1">
        <v>1164</v>
      </c>
      <c r="G393">
        <f t="shared" si="7"/>
        <v>9.7786792404653653</v>
      </c>
    </row>
    <row r="394" spans="1:7" ht="13" x14ac:dyDescent="0.15">
      <c r="A394" s="3">
        <v>44866</v>
      </c>
      <c r="B394" s="1" t="s">
        <v>12</v>
      </c>
      <c r="C394" s="1" t="s">
        <v>22</v>
      </c>
      <c r="D394" s="1">
        <v>13.168941497802701</v>
      </c>
      <c r="E394" s="1">
        <v>95.622567687908301</v>
      </c>
      <c r="F394" s="1">
        <v>1164</v>
      </c>
      <c r="G394">
        <f t="shared" si="7"/>
        <v>9.7786792404653653</v>
      </c>
    </row>
    <row r="395" spans="1:7" ht="13" x14ac:dyDescent="0.15">
      <c r="A395" s="3">
        <v>44866</v>
      </c>
      <c r="B395" s="1" t="s">
        <v>6</v>
      </c>
      <c r="C395" s="1" t="s">
        <v>22</v>
      </c>
      <c r="D395" s="1">
        <v>13.168941497802701</v>
      </c>
      <c r="E395" s="1">
        <v>95.622567687908301</v>
      </c>
      <c r="F395" s="1">
        <v>1164</v>
      </c>
      <c r="G395">
        <f t="shared" si="7"/>
        <v>9.7786792404653653</v>
      </c>
    </row>
    <row r="396" spans="1:7" ht="13" x14ac:dyDescent="0.15">
      <c r="A396" s="3">
        <v>44866</v>
      </c>
      <c r="B396" s="1" t="s">
        <v>10</v>
      </c>
      <c r="C396" s="1" t="s">
        <v>22</v>
      </c>
      <c r="D396" s="1">
        <v>13.168941497802701</v>
      </c>
      <c r="E396" s="1">
        <v>95.622567687908301</v>
      </c>
      <c r="F396" s="1">
        <v>1164</v>
      </c>
      <c r="G396">
        <f t="shared" si="7"/>
        <v>9.7786792404653653</v>
      </c>
    </row>
    <row r="397" spans="1:7" ht="13" x14ac:dyDescent="0.15">
      <c r="A397" s="3">
        <v>44866</v>
      </c>
      <c r="B397" s="1" t="s">
        <v>14</v>
      </c>
      <c r="C397" s="1" t="s">
        <v>22</v>
      </c>
      <c r="D397" s="1">
        <v>13.168941497802701</v>
      </c>
      <c r="E397" s="1">
        <v>95.622567687908301</v>
      </c>
      <c r="F397" s="1">
        <v>1164</v>
      </c>
      <c r="G397">
        <f t="shared" si="7"/>
        <v>9.7786792404653653</v>
      </c>
    </row>
    <row r="398" spans="1:7" ht="13" x14ac:dyDescent="0.15">
      <c r="A398" s="2">
        <v>44774</v>
      </c>
      <c r="B398" s="1" t="s">
        <v>13</v>
      </c>
      <c r="C398" s="1" t="s">
        <v>11</v>
      </c>
      <c r="D398" s="1">
        <v>29</v>
      </c>
      <c r="E398" s="1">
        <v>219.431937918823</v>
      </c>
      <c r="F398" s="1">
        <v>1972.16784667968</v>
      </c>
      <c r="G398">
        <f t="shared" si="7"/>
        <v>14.81323522795824</v>
      </c>
    </row>
    <row r="399" spans="1:7" ht="13" x14ac:dyDescent="0.15">
      <c r="A399" s="2">
        <v>44774</v>
      </c>
      <c r="B399" s="1" t="s">
        <v>10</v>
      </c>
      <c r="C399" s="1" t="s">
        <v>11</v>
      </c>
      <c r="D399" s="1">
        <v>29</v>
      </c>
      <c r="E399" s="1">
        <v>219.431937918823</v>
      </c>
      <c r="F399" s="1">
        <v>1972.16784667968</v>
      </c>
      <c r="G399">
        <f t="shared" si="7"/>
        <v>14.81323522795824</v>
      </c>
    </row>
    <row r="400" spans="1:7" ht="13" x14ac:dyDescent="0.15">
      <c r="A400" s="2">
        <v>44774</v>
      </c>
      <c r="B400" s="1" t="s">
        <v>14</v>
      </c>
      <c r="C400" s="1" t="s">
        <v>11</v>
      </c>
      <c r="D400" s="1">
        <v>29</v>
      </c>
      <c r="E400" s="1">
        <v>219.431937918823</v>
      </c>
      <c r="F400" s="1">
        <v>1972.16784667968</v>
      </c>
      <c r="G400">
        <f t="shared" si="7"/>
        <v>14.81323522795824</v>
      </c>
    </row>
    <row r="401" spans="1:7" ht="13" x14ac:dyDescent="0.15">
      <c r="A401" s="2">
        <v>44774</v>
      </c>
      <c r="B401" s="1" t="s">
        <v>6</v>
      </c>
      <c r="C401" s="1" t="s">
        <v>11</v>
      </c>
      <c r="D401" s="1">
        <v>29</v>
      </c>
      <c r="E401" s="1">
        <v>219.431937918823</v>
      </c>
      <c r="F401" s="1">
        <v>1972.16784667968</v>
      </c>
      <c r="G401">
        <f t="shared" si="7"/>
        <v>14.81323522795824</v>
      </c>
    </row>
    <row r="402" spans="1:7" ht="13" x14ac:dyDescent="0.15">
      <c r="A402" s="2">
        <v>44774</v>
      </c>
      <c r="B402" s="1" t="s">
        <v>12</v>
      </c>
      <c r="C402" s="1" t="s">
        <v>11</v>
      </c>
      <c r="D402" s="1">
        <v>29</v>
      </c>
      <c r="E402" s="1">
        <v>219.431937918823</v>
      </c>
      <c r="F402" s="1">
        <v>1972.16784667968</v>
      </c>
      <c r="G402">
        <f t="shared" si="7"/>
        <v>14.81323522795824</v>
      </c>
    </row>
    <row r="403" spans="1:7" ht="13" x14ac:dyDescent="0.15">
      <c r="A403" s="2">
        <v>44652</v>
      </c>
      <c r="B403" s="1" t="s">
        <v>13</v>
      </c>
      <c r="C403" s="1" t="s">
        <v>24</v>
      </c>
      <c r="D403" s="1">
        <v>37</v>
      </c>
      <c r="E403" s="1">
        <v>277.557165158185</v>
      </c>
      <c r="F403" s="1">
        <v>2440.46215820312</v>
      </c>
      <c r="G403">
        <f t="shared" si="7"/>
        <v>16.660046973468742</v>
      </c>
    </row>
    <row r="404" spans="1:7" ht="13" x14ac:dyDescent="0.15">
      <c r="A404" s="2">
        <v>44652</v>
      </c>
      <c r="B404" s="1" t="s">
        <v>6</v>
      </c>
      <c r="C404" s="1" t="s">
        <v>24</v>
      </c>
      <c r="D404" s="1">
        <v>37</v>
      </c>
      <c r="E404" s="1">
        <v>277.557165158185</v>
      </c>
      <c r="F404" s="1">
        <v>2440.46215820312</v>
      </c>
      <c r="G404">
        <f t="shared" si="7"/>
        <v>16.660046973468742</v>
      </c>
    </row>
    <row r="405" spans="1:7" ht="13" x14ac:dyDescent="0.15">
      <c r="A405" s="2">
        <v>44652</v>
      </c>
      <c r="B405" s="1" t="s">
        <v>12</v>
      </c>
      <c r="C405" s="1" t="s">
        <v>24</v>
      </c>
      <c r="D405" s="1">
        <v>37</v>
      </c>
      <c r="E405" s="1">
        <v>277.557165158185</v>
      </c>
      <c r="F405" s="1">
        <v>2440.46215820312</v>
      </c>
      <c r="G405">
        <f t="shared" si="7"/>
        <v>16.660046973468742</v>
      </c>
    </row>
    <row r="406" spans="1:7" ht="13" x14ac:dyDescent="0.15">
      <c r="A406" s="2">
        <v>44652</v>
      </c>
      <c r="B406" s="1" t="s">
        <v>10</v>
      </c>
      <c r="C406" s="1" t="s">
        <v>24</v>
      </c>
      <c r="D406" s="1">
        <v>37</v>
      </c>
      <c r="E406" s="1">
        <v>277.557165158185</v>
      </c>
      <c r="F406" s="1">
        <v>2440.46215820312</v>
      </c>
      <c r="G406">
        <f t="shared" si="7"/>
        <v>16.660046973468742</v>
      </c>
    </row>
    <row r="407" spans="1:7" ht="13" x14ac:dyDescent="0.15">
      <c r="A407" s="2">
        <v>44652</v>
      </c>
      <c r="B407" s="1" t="s">
        <v>14</v>
      </c>
      <c r="C407" s="1" t="s">
        <v>24</v>
      </c>
      <c r="D407" s="1">
        <v>37</v>
      </c>
      <c r="E407" s="1">
        <v>277.557165158185</v>
      </c>
      <c r="F407" s="1">
        <v>2440.46215820312</v>
      </c>
      <c r="G407">
        <f t="shared" si="7"/>
        <v>16.660046973468742</v>
      </c>
    </row>
    <row r="408" spans="1:7" ht="13" x14ac:dyDescent="0.15">
      <c r="A408" s="2">
        <v>44805</v>
      </c>
      <c r="B408" s="1" t="s">
        <v>10</v>
      </c>
      <c r="C408" s="1" t="s">
        <v>19</v>
      </c>
      <c r="D408" s="1">
        <v>52</v>
      </c>
      <c r="E408" s="1">
        <v>469.98980034848603</v>
      </c>
      <c r="F408" s="1">
        <v>2080</v>
      </c>
      <c r="G408">
        <f t="shared" si="7"/>
        <v>21.679248149981724</v>
      </c>
    </row>
    <row r="409" spans="1:7" ht="13" x14ac:dyDescent="0.15">
      <c r="A409" s="2">
        <v>44805</v>
      </c>
      <c r="B409" s="1" t="s">
        <v>6</v>
      </c>
      <c r="C409" s="1" t="s">
        <v>19</v>
      </c>
      <c r="D409" s="1">
        <v>52</v>
      </c>
      <c r="E409" s="1">
        <v>469.98980034848603</v>
      </c>
      <c r="F409" s="1">
        <v>2080</v>
      </c>
      <c r="G409">
        <f t="shared" si="7"/>
        <v>21.679248149981724</v>
      </c>
    </row>
    <row r="410" spans="1:7" ht="13" x14ac:dyDescent="0.15">
      <c r="A410" s="2">
        <v>44805</v>
      </c>
      <c r="B410" s="1" t="s">
        <v>12</v>
      </c>
      <c r="C410" s="1" t="s">
        <v>19</v>
      </c>
      <c r="D410" s="1">
        <v>52</v>
      </c>
      <c r="E410" s="1">
        <v>469.98980034848603</v>
      </c>
      <c r="F410" s="1">
        <v>2080</v>
      </c>
      <c r="G410">
        <f t="shared" si="7"/>
        <v>21.679248149981724</v>
      </c>
    </row>
    <row r="411" spans="1:7" ht="13" x14ac:dyDescent="0.15">
      <c r="A411" s="2">
        <v>44805</v>
      </c>
      <c r="B411" s="1" t="s">
        <v>13</v>
      </c>
      <c r="C411" s="1" t="s">
        <v>19</v>
      </c>
      <c r="D411" s="1">
        <v>52</v>
      </c>
      <c r="E411" s="1">
        <v>469.98980034848603</v>
      </c>
      <c r="F411" s="1">
        <v>2080</v>
      </c>
      <c r="G411">
        <f t="shared" si="7"/>
        <v>21.679248149981724</v>
      </c>
    </row>
    <row r="412" spans="1:7" ht="13" x14ac:dyDescent="0.15">
      <c r="A412" s="2">
        <v>44805</v>
      </c>
      <c r="B412" s="1" t="s">
        <v>14</v>
      </c>
      <c r="C412" s="1" t="s">
        <v>19</v>
      </c>
      <c r="D412" s="1">
        <v>52</v>
      </c>
      <c r="E412" s="1">
        <v>469.98980034848603</v>
      </c>
      <c r="F412" s="1">
        <v>2080</v>
      </c>
      <c r="G412">
        <f t="shared" si="7"/>
        <v>21.679248149981724</v>
      </c>
    </row>
    <row r="413" spans="1:7" ht="13" x14ac:dyDescent="0.15">
      <c r="A413" s="2">
        <v>44927</v>
      </c>
      <c r="B413" s="1" t="s">
        <v>13</v>
      </c>
      <c r="C413" s="1" t="s">
        <v>20</v>
      </c>
      <c r="D413" s="1">
        <v>4.9567809104919398</v>
      </c>
      <c r="E413" s="1">
        <v>99.796261462590707</v>
      </c>
      <c r="F413" s="1">
        <v>3760</v>
      </c>
      <c r="G413">
        <f t="shared" si="7"/>
        <v>9.9898078791631786</v>
      </c>
    </row>
    <row r="414" spans="1:7" ht="13" x14ac:dyDescent="0.15">
      <c r="A414" s="2">
        <v>44927</v>
      </c>
      <c r="B414" s="1" t="s">
        <v>10</v>
      </c>
      <c r="C414" s="1" t="s">
        <v>20</v>
      </c>
      <c r="D414" s="1">
        <v>4.9567809104919398</v>
      </c>
      <c r="E414" s="1">
        <v>99.796261462590707</v>
      </c>
      <c r="F414" s="1">
        <v>3760</v>
      </c>
      <c r="G414">
        <f t="shared" si="7"/>
        <v>9.9898078791631786</v>
      </c>
    </row>
    <row r="415" spans="1:7" ht="13" x14ac:dyDescent="0.15">
      <c r="A415" s="2">
        <v>44927</v>
      </c>
      <c r="B415" s="1" t="s">
        <v>6</v>
      </c>
      <c r="C415" s="1" t="s">
        <v>20</v>
      </c>
      <c r="D415" s="1">
        <v>4.9567809104919398</v>
      </c>
      <c r="E415" s="1">
        <v>99.796261462590707</v>
      </c>
      <c r="F415" s="1">
        <v>3760</v>
      </c>
      <c r="G415">
        <f t="shared" si="7"/>
        <v>9.9898078791631786</v>
      </c>
    </row>
    <row r="416" spans="1:7" ht="13" x14ac:dyDescent="0.15">
      <c r="A416" s="2">
        <v>44927</v>
      </c>
      <c r="B416" s="1" t="s">
        <v>14</v>
      </c>
      <c r="C416" s="1" t="s">
        <v>20</v>
      </c>
      <c r="D416" s="1">
        <v>4.9567809104919398</v>
      </c>
      <c r="E416" s="1">
        <v>99.796261462590707</v>
      </c>
      <c r="F416" s="1">
        <v>3760</v>
      </c>
      <c r="G416">
        <f t="shared" si="7"/>
        <v>9.9898078791631786</v>
      </c>
    </row>
    <row r="417" spans="1:7" ht="13" x14ac:dyDescent="0.15">
      <c r="A417" s="2">
        <v>44927</v>
      </c>
      <c r="B417" s="1" t="s">
        <v>12</v>
      </c>
      <c r="C417" s="1" t="s">
        <v>20</v>
      </c>
      <c r="D417" s="1">
        <v>4.9567809104919398</v>
      </c>
      <c r="E417" s="1">
        <v>99.796261462590707</v>
      </c>
      <c r="F417" s="1">
        <v>3760</v>
      </c>
      <c r="G417">
        <f t="shared" si="7"/>
        <v>9.9898078791631786</v>
      </c>
    </row>
    <row r="418" spans="1:7" ht="13" x14ac:dyDescent="0.15">
      <c r="A418" s="2">
        <v>44927</v>
      </c>
      <c r="B418" s="1" t="s">
        <v>13</v>
      </c>
      <c r="C418" s="1" t="s">
        <v>23</v>
      </c>
      <c r="D418" s="1">
        <v>41</v>
      </c>
      <c r="E418" s="1">
        <v>369.53725910721698</v>
      </c>
      <c r="F418" s="1">
        <v>3760</v>
      </c>
      <c r="G418">
        <f t="shared" si="7"/>
        <v>19.223351921743955</v>
      </c>
    </row>
    <row r="419" spans="1:7" ht="13" x14ac:dyDescent="0.15">
      <c r="A419" s="2">
        <v>44927</v>
      </c>
      <c r="B419" s="1" t="s">
        <v>10</v>
      </c>
      <c r="C419" s="1" t="s">
        <v>23</v>
      </c>
      <c r="D419" s="1">
        <v>41</v>
      </c>
      <c r="E419" s="1">
        <v>369.53725910721698</v>
      </c>
      <c r="F419" s="1">
        <v>3760</v>
      </c>
      <c r="G419">
        <f t="shared" si="7"/>
        <v>19.223351921743955</v>
      </c>
    </row>
    <row r="420" spans="1:7" ht="13" x14ac:dyDescent="0.15">
      <c r="A420" s="2">
        <v>44927</v>
      </c>
      <c r="B420" s="1" t="s">
        <v>6</v>
      </c>
      <c r="C420" s="1" t="s">
        <v>23</v>
      </c>
      <c r="D420" s="1">
        <v>41</v>
      </c>
      <c r="E420" s="1">
        <v>369.53725910721698</v>
      </c>
      <c r="F420" s="1">
        <v>3760</v>
      </c>
      <c r="G420">
        <f t="shared" si="7"/>
        <v>19.223351921743955</v>
      </c>
    </row>
    <row r="421" spans="1:7" ht="13" x14ac:dyDescent="0.15">
      <c r="A421" s="2">
        <v>44927</v>
      </c>
      <c r="B421" s="1" t="s">
        <v>14</v>
      </c>
      <c r="C421" s="1" t="s">
        <v>23</v>
      </c>
      <c r="D421" s="1">
        <v>41</v>
      </c>
      <c r="E421" s="1">
        <v>369.53725910721698</v>
      </c>
      <c r="F421" s="1">
        <v>3760</v>
      </c>
      <c r="G421">
        <f t="shared" si="7"/>
        <v>19.223351921743955</v>
      </c>
    </row>
    <row r="422" spans="1:7" ht="13" x14ac:dyDescent="0.15">
      <c r="A422" s="2">
        <v>44927</v>
      </c>
      <c r="B422" s="1" t="s">
        <v>12</v>
      </c>
      <c r="C422" s="1" t="s">
        <v>23</v>
      </c>
      <c r="D422" s="1">
        <v>41</v>
      </c>
      <c r="E422" s="1">
        <v>369.53725910721698</v>
      </c>
      <c r="F422" s="1">
        <v>3760</v>
      </c>
      <c r="G422">
        <f t="shared" si="7"/>
        <v>19.223351921743955</v>
      </c>
    </row>
    <row r="423" spans="1:7" ht="13" x14ac:dyDescent="0.15">
      <c r="A423" s="2">
        <v>44652</v>
      </c>
      <c r="B423" s="1" t="s">
        <v>13</v>
      </c>
      <c r="C423" s="1" t="s">
        <v>11</v>
      </c>
      <c r="D423" s="1">
        <v>29</v>
      </c>
      <c r="E423" s="1">
        <v>215.36690876782501</v>
      </c>
      <c r="F423" s="1">
        <v>1972.16784667968</v>
      </c>
      <c r="G423">
        <f t="shared" si="7"/>
        <v>14.675384450426673</v>
      </c>
    </row>
    <row r="424" spans="1:7" ht="13" x14ac:dyDescent="0.15">
      <c r="A424" s="2">
        <v>44652</v>
      </c>
      <c r="B424" s="1" t="s">
        <v>6</v>
      </c>
      <c r="C424" s="1" t="s">
        <v>11</v>
      </c>
      <c r="D424" s="1">
        <v>29</v>
      </c>
      <c r="E424" s="1">
        <v>215.36690876782501</v>
      </c>
      <c r="F424" s="1">
        <v>1972.16784667968</v>
      </c>
      <c r="G424">
        <f t="shared" si="7"/>
        <v>14.675384450426673</v>
      </c>
    </row>
    <row r="425" spans="1:7" ht="13" x14ac:dyDescent="0.15">
      <c r="A425" s="2">
        <v>44652</v>
      </c>
      <c r="B425" s="1" t="s">
        <v>12</v>
      </c>
      <c r="C425" s="1" t="s">
        <v>11</v>
      </c>
      <c r="D425" s="1">
        <v>29</v>
      </c>
      <c r="E425" s="1">
        <v>215.36690876782501</v>
      </c>
      <c r="F425" s="1">
        <v>1972.16784667968</v>
      </c>
      <c r="G425">
        <f t="shared" si="7"/>
        <v>14.675384450426673</v>
      </c>
    </row>
    <row r="426" spans="1:7" ht="13" x14ac:dyDescent="0.15">
      <c r="A426" s="2">
        <v>44652</v>
      </c>
      <c r="B426" s="1" t="s">
        <v>10</v>
      </c>
      <c r="C426" s="1" t="s">
        <v>11</v>
      </c>
      <c r="D426" s="1">
        <v>29</v>
      </c>
      <c r="E426" s="1">
        <v>215.36690876782501</v>
      </c>
      <c r="F426" s="1">
        <v>1972.16784667968</v>
      </c>
      <c r="G426">
        <f t="shared" si="7"/>
        <v>14.675384450426673</v>
      </c>
    </row>
    <row r="427" spans="1:7" ht="13" x14ac:dyDescent="0.15">
      <c r="A427" s="2">
        <v>44652</v>
      </c>
      <c r="B427" s="1" t="s">
        <v>14</v>
      </c>
      <c r="C427" s="1" t="s">
        <v>11</v>
      </c>
      <c r="D427" s="1">
        <v>29</v>
      </c>
      <c r="E427" s="1">
        <v>215.36690876782501</v>
      </c>
      <c r="F427" s="1">
        <v>1972.16784667968</v>
      </c>
      <c r="G427">
        <f t="shared" si="7"/>
        <v>14.675384450426673</v>
      </c>
    </row>
    <row r="428" spans="1:7" ht="13" x14ac:dyDescent="0.15">
      <c r="A428" s="2">
        <v>44958</v>
      </c>
      <c r="B428" s="1" t="s">
        <v>10</v>
      </c>
      <c r="C428" s="1" t="s">
        <v>8</v>
      </c>
      <c r="D428" s="1">
        <v>62.069156646728501</v>
      </c>
      <c r="E428" s="1">
        <v>432.41368559216602</v>
      </c>
      <c r="F428" s="1">
        <v>2626</v>
      </c>
      <c r="G428">
        <f t="shared" si="7"/>
        <v>20.794559038175493</v>
      </c>
    </row>
    <row r="429" spans="1:7" ht="13" x14ac:dyDescent="0.15">
      <c r="A429" s="2">
        <v>44958</v>
      </c>
      <c r="B429" s="1" t="s">
        <v>14</v>
      </c>
      <c r="C429" s="1" t="s">
        <v>8</v>
      </c>
      <c r="D429" s="1">
        <v>62.069156646728501</v>
      </c>
      <c r="E429" s="1">
        <v>432.41368559216602</v>
      </c>
      <c r="F429" s="1">
        <v>2626</v>
      </c>
      <c r="G429">
        <f t="shared" si="7"/>
        <v>20.794559038175493</v>
      </c>
    </row>
    <row r="430" spans="1:7" ht="13" x14ac:dyDescent="0.15">
      <c r="A430" s="2">
        <v>44958</v>
      </c>
      <c r="B430" s="1" t="s">
        <v>12</v>
      </c>
      <c r="C430" s="1" t="s">
        <v>8</v>
      </c>
      <c r="D430" s="1">
        <v>62.069156646728501</v>
      </c>
      <c r="E430" s="1">
        <v>432.41368559216602</v>
      </c>
      <c r="F430" s="1">
        <v>2626</v>
      </c>
      <c r="G430">
        <f t="shared" si="7"/>
        <v>20.794559038175493</v>
      </c>
    </row>
    <row r="431" spans="1:7" ht="13" x14ac:dyDescent="0.15">
      <c r="A431" s="2">
        <v>44958</v>
      </c>
      <c r="B431" s="1" t="s">
        <v>6</v>
      </c>
      <c r="C431" s="1" t="s">
        <v>8</v>
      </c>
      <c r="D431" s="1">
        <v>62.069156646728501</v>
      </c>
      <c r="E431" s="1">
        <v>432.41368559216602</v>
      </c>
      <c r="F431" s="1">
        <v>2626</v>
      </c>
      <c r="G431">
        <f t="shared" si="7"/>
        <v>20.794559038175493</v>
      </c>
    </row>
    <row r="432" spans="1:7" ht="13" x14ac:dyDescent="0.15">
      <c r="A432" s="2">
        <v>44958</v>
      </c>
      <c r="B432" s="1" t="s">
        <v>13</v>
      </c>
      <c r="C432" s="1" t="s">
        <v>8</v>
      </c>
      <c r="D432" s="1">
        <v>62.069156646728501</v>
      </c>
      <c r="E432" s="1">
        <v>432.41368559216602</v>
      </c>
      <c r="F432" s="1">
        <v>2626</v>
      </c>
      <c r="G432">
        <f t="shared" si="7"/>
        <v>20.794559038175493</v>
      </c>
    </row>
    <row r="433" spans="1:7" ht="13" x14ac:dyDescent="0.15">
      <c r="A433" s="3">
        <v>44835</v>
      </c>
      <c r="B433" s="1" t="s">
        <v>12</v>
      </c>
      <c r="C433" s="1" t="s">
        <v>15</v>
      </c>
      <c r="D433" s="1">
        <v>25</v>
      </c>
      <c r="E433" s="1">
        <v>191.23856853464301</v>
      </c>
      <c r="F433" s="1">
        <v>887.48645019531205</v>
      </c>
      <c r="G433">
        <f t="shared" si="7"/>
        <v>13.828903374260847</v>
      </c>
    </row>
    <row r="434" spans="1:7" ht="13" x14ac:dyDescent="0.15">
      <c r="A434" s="3">
        <v>44835</v>
      </c>
      <c r="B434" s="1" t="s">
        <v>6</v>
      </c>
      <c r="C434" s="1" t="s">
        <v>15</v>
      </c>
      <c r="D434" s="1">
        <v>25</v>
      </c>
      <c r="E434" s="1">
        <v>191.23856853464301</v>
      </c>
      <c r="F434" s="1">
        <v>887.48645019531205</v>
      </c>
      <c r="G434">
        <f t="shared" si="7"/>
        <v>13.828903374260847</v>
      </c>
    </row>
    <row r="435" spans="1:7" ht="13" x14ac:dyDescent="0.15">
      <c r="A435" s="3">
        <v>44835</v>
      </c>
      <c r="B435" s="1" t="s">
        <v>13</v>
      </c>
      <c r="C435" s="1" t="s">
        <v>15</v>
      </c>
      <c r="D435" s="1">
        <v>25</v>
      </c>
      <c r="E435" s="1">
        <v>191.23856853464301</v>
      </c>
      <c r="F435" s="1">
        <v>887.48645019531205</v>
      </c>
      <c r="G435">
        <f t="shared" si="7"/>
        <v>13.828903374260847</v>
      </c>
    </row>
    <row r="436" spans="1:7" ht="13" x14ac:dyDescent="0.15">
      <c r="A436" s="3">
        <v>44835</v>
      </c>
      <c r="B436" s="1" t="s">
        <v>14</v>
      </c>
      <c r="C436" s="1" t="s">
        <v>15</v>
      </c>
      <c r="D436" s="1">
        <v>25</v>
      </c>
      <c r="E436" s="1">
        <v>191.23856853464301</v>
      </c>
      <c r="F436" s="1">
        <v>887.48645019531205</v>
      </c>
      <c r="G436">
        <f t="shared" si="7"/>
        <v>13.828903374260847</v>
      </c>
    </row>
    <row r="437" spans="1:7" ht="13" x14ac:dyDescent="0.15">
      <c r="A437" s="3">
        <v>44835</v>
      </c>
      <c r="B437" s="1" t="s">
        <v>10</v>
      </c>
      <c r="C437" s="1" t="s">
        <v>15</v>
      </c>
      <c r="D437" s="1">
        <v>25</v>
      </c>
      <c r="E437" s="1">
        <v>191.23856853464301</v>
      </c>
      <c r="F437" s="1">
        <v>887.48645019531205</v>
      </c>
      <c r="G437">
        <f t="shared" si="7"/>
        <v>13.828903374260847</v>
      </c>
    </row>
    <row r="438" spans="1:7" ht="13" x14ac:dyDescent="0.15">
      <c r="A438" s="3">
        <v>44866</v>
      </c>
      <c r="B438" s="1" t="s">
        <v>13</v>
      </c>
      <c r="C438" s="1" t="s">
        <v>19</v>
      </c>
      <c r="D438" s="1">
        <v>52</v>
      </c>
      <c r="E438" s="1">
        <v>444.51927250867101</v>
      </c>
      <c r="F438" s="1">
        <v>1954.5</v>
      </c>
      <c r="G438">
        <f t="shared" si="7"/>
        <v>21.083625696465752</v>
      </c>
    </row>
    <row r="439" spans="1:7" ht="13" x14ac:dyDescent="0.15">
      <c r="A439" s="3">
        <v>44866</v>
      </c>
      <c r="B439" s="1" t="s">
        <v>12</v>
      </c>
      <c r="C439" s="1" t="s">
        <v>19</v>
      </c>
      <c r="D439" s="1">
        <v>52</v>
      </c>
      <c r="E439" s="1">
        <v>444.51927250867101</v>
      </c>
      <c r="F439" s="1">
        <v>1954.5</v>
      </c>
      <c r="G439">
        <f t="shared" si="7"/>
        <v>21.083625696465752</v>
      </c>
    </row>
    <row r="440" spans="1:7" ht="13" x14ac:dyDescent="0.15">
      <c r="A440" s="3">
        <v>44866</v>
      </c>
      <c r="B440" s="1" t="s">
        <v>6</v>
      </c>
      <c r="C440" s="1" t="s">
        <v>19</v>
      </c>
      <c r="D440" s="1">
        <v>52</v>
      </c>
      <c r="E440" s="1">
        <v>444.51927250867101</v>
      </c>
      <c r="F440" s="1">
        <v>1954.5</v>
      </c>
      <c r="G440">
        <f t="shared" si="7"/>
        <v>21.083625696465752</v>
      </c>
    </row>
    <row r="441" spans="1:7" ht="13" x14ac:dyDescent="0.15">
      <c r="A441" s="3">
        <v>44866</v>
      </c>
      <c r="B441" s="1" t="s">
        <v>10</v>
      </c>
      <c r="C441" s="1" t="s">
        <v>19</v>
      </c>
      <c r="D441" s="1">
        <v>52</v>
      </c>
      <c r="E441" s="1">
        <v>444.51927250867101</v>
      </c>
      <c r="F441" s="1">
        <v>1954.5</v>
      </c>
      <c r="G441">
        <f t="shared" si="7"/>
        <v>21.083625696465752</v>
      </c>
    </row>
    <row r="442" spans="1:7" ht="13" x14ac:dyDescent="0.15">
      <c r="A442" s="3">
        <v>44866</v>
      </c>
      <c r="B442" s="1" t="s">
        <v>14</v>
      </c>
      <c r="C442" s="1" t="s">
        <v>19</v>
      </c>
      <c r="D442" s="1">
        <v>52</v>
      </c>
      <c r="E442" s="1">
        <v>444.51927250867101</v>
      </c>
      <c r="F442" s="1">
        <v>1954.5</v>
      </c>
      <c r="G442">
        <f t="shared" si="7"/>
        <v>21.083625696465752</v>
      </c>
    </row>
    <row r="443" spans="1:7" ht="13" x14ac:dyDescent="0.15">
      <c r="A443" s="2">
        <v>44743</v>
      </c>
      <c r="B443" s="1" t="s">
        <v>10</v>
      </c>
      <c r="C443" s="1" t="s">
        <v>8</v>
      </c>
      <c r="D443" s="1">
        <v>46</v>
      </c>
      <c r="E443" s="1">
        <v>405.827649143869</v>
      </c>
      <c r="F443" s="1">
        <v>1697.5</v>
      </c>
      <c r="G443">
        <f t="shared" si="7"/>
        <v>20.145164410941625</v>
      </c>
    </row>
    <row r="444" spans="1:7" ht="13" x14ac:dyDescent="0.15">
      <c r="A444" s="2">
        <v>44743</v>
      </c>
      <c r="B444" s="1" t="s">
        <v>14</v>
      </c>
      <c r="C444" s="1" t="s">
        <v>8</v>
      </c>
      <c r="D444" s="1">
        <v>46</v>
      </c>
      <c r="E444" s="1">
        <v>405.827649143869</v>
      </c>
      <c r="F444" s="1">
        <v>1697.5</v>
      </c>
      <c r="G444">
        <f t="shared" si="7"/>
        <v>20.145164410941625</v>
      </c>
    </row>
    <row r="445" spans="1:7" ht="13" x14ac:dyDescent="0.15">
      <c r="A445" s="2">
        <v>44743</v>
      </c>
      <c r="B445" s="1" t="s">
        <v>6</v>
      </c>
      <c r="C445" s="1" t="s">
        <v>8</v>
      </c>
      <c r="D445" s="1">
        <v>46</v>
      </c>
      <c r="E445" s="1">
        <v>405.827649143869</v>
      </c>
      <c r="F445" s="1">
        <v>1697.5</v>
      </c>
      <c r="G445">
        <f t="shared" si="7"/>
        <v>20.145164410941625</v>
      </c>
    </row>
    <row r="446" spans="1:7" ht="13" x14ac:dyDescent="0.15">
      <c r="A446" s="2">
        <v>44743</v>
      </c>
      <c r="B446" s="1" t="s">
        <v>13</v>
      </c>
      <c r="C446" s="1" t="s">
        <v>8</v>
      </c>
      <c r="D446" s="1">
        <v>46</v>
      </c>
      <c r="E446" s="1">
        <v>405.827649143869</v>
      </c>
      <c r="F446" s="1">
        <v>1697.5</v>
      </c>
      <c r="G446">
        <f t="shared" si="7"/>
        <v>20.145164410941625</v>
      </c>
    </row>
    <row r="447" spans="1:7" ht="13" x14ac:dyDescent="0.15">
      <c r="A447" s="2">
        <v>44743</v>
      </c>
      <c r="B447" s="1" t="s">
        <v>12</v>
      </c>
      <c r="C447" s="1" t="s">
        <v>8</v>
      </c>
      <c r="D447" s="1">
        <v>46</v>
      </c>
      <c r="E447" s="1">
        <v>405.827649143869</v>
      </c>
      <c r="F447" s="1">
        <v>1697.5</v>
      </c>
      <c r="G447">
        <f t="shared" si="7"/>
        <v>20.145164410941625</v>
      </c>
    </row>
    <row r="448" spans="1:7" ht="13" x14ac:dyDescent="0.15">
      <c r="A448" s="2">
        <v>44743</v>
      </c>
      <c r="B448" s="1" t="s">
        <v>10</v>
      </c>
      <c r="C448" s="1" t="s">
        <v>9</v>
      </c>
      <c r="D448" s="1">
        <v>20.6301956176757</v>
      </c>
      <c r="E448" s="1">
        <v>196.097834361087</v>
      </c>
      <c r="F448" s="1">
        <v>1577.64282226562</v>
      </c>
      <c r="G448">
        <f t="shared" si="7"/>
        <v>14.003493648410991</v>
      </c>
    </row>
    <row r="449" spans="1:7" ht="13" x14ac:dyDescent="0.15">
      <c r="A449" s="2">
        <v>44743</v>
      </c>
      <c r="B449" s="1" t="s">
        <v>14</v>
      </c>
      <c r="C449" s="1" t="s">
        <v>9</v>
      </c>
      <c r="D449" s="1">
        <v>20.6301956176757</v>
      </c>
      <c r="E449" s="1">
        <v>196.097834361087</v>
      </c>
      <c r="F449" s="1">
        <v>1577.64282226562</v>
      </c>
      <c r="G449">
        <f t="shared" si="7"/>
        <v>14.003493648410991</v>
      </c>
    </row>
    <row r="450" spans="1:7" ht="13" x14ac:dyDescent="0.15">
      <c r="A450" s="2">
        <v>44743</v>
      </c>
      <c r="B450" s="1" t="s">
        <v>6</v>
      </c>
      <c r="C450" s="1" t="s">
        <v>9</v>
      </c>
      <c r="D450" s="1">
        <v>20.6301956176757</v>
      </c>
      <c r="E450" s="1">
        <v>196.097834361087</v>
      </c>
      <c r="F450" s="1">
        <v>1577.64282226562</v>
      </c>
      <c r="G450">
        <f t="shared" si="7"/>
        <v>14.003493648410991</v>
      </c>
    </row>
    <row r="451" spans="1:7" ht="13" x14ac:dyDescent="0.15">
      <c r="A451" s="2">
        <v>44743</v>
      </c>
      <c r="B451" s="1" t="s">
        <v>13</v>
      </c>
      <c r="C451" s="1" t="s">
        <v>9</v>
      </c>
      <c r="D451" s="1">
        <v>20.6301956176757</v>
      </c>
      <c r="E451" s="1">
        <v>196.097834361087</v>
      </c>
      <c r="F451" s="1">
        <v>1577.64282226562</v>
      </c>
      <c r="G451">
        <f t="shared" ref="G451:G514" si="8">SQRT(E451)</f>
        <v>14.003493648410991</v>
      </c>
    </row>
    <row r="452" spans="1:7" ht="13" x14ac:dyDescent="0.15">
      <c r="A452" s="2">
        <v>44743</v>
      </c>
      <c r="B452" s="1" t="s">
        <v>12</v>
      </c>
      <c r="C452" s="1" t="s">
        <v>9</v>
      </c>
      <c r="D452" s="1">
        <v>20.6301956176757</v>
      </c>
      <c r="E452" s="1">
        <v>196.097834361087</v>
      </c>
      <c r="F452" s="1">
        <v>1577.64282226562</v>
      </c>
      <c r="G452">
        <f t="shared" si="8"/>
        <v>14.003493648410991</v>
      </c>
    </row>
    <row r="453" spans="1:7" ht="13" x14ac:dyDescent="0.15">
      <c r="A453" s="3">
        <v>44835</v>
      </c>
      <c r="B453" s="1" t="s">
        <v>12</v>
      </c>
      <c r="C453" s="1" t="s">
        <v>23</v>
      </c>
      <c r="D453" s="1">
        <v>41</v>
      </c>
      <c r="E453" s="1">
        <v>327.01211970590401</v>
      </c>
      <c r="F453" s="1">
        <v>1295.5</v>
      </c>
      <c r="G453">
        <f t="shared" si="8"/>
        <v>18.083476427554078</v>
      </c>
    </row>
    <row r="454" spans="1:7" ht="13" x14ac:dyDescent="0.15">
      <c r="A454" s="3">
        <v>44835</v>
      </c>
      <c r="B454" s="1" t="s">
        <v>6</v>
      </c>
      <c r="C454" s="1" t="s">
        <v>23</v>
      </c>
      <c r="D454" s="1">
        <v>41</v>
      </c>
      <c r="E454" s="1">
        <v>327.01211970590401</v>
      </c>
      <c r="F454" s="1">
        <v>1295.5</v>
      </c>
      <c r="G454">
        <f t="shared" si="8"/>
        <v>18.083476427554078</v>
      </c>
    </row>
    <row r="455" spans="1:7" ht="13" x14ac:dyDescent="0.15">
      <c r="A455" s="3">
        <v>44835</v>
      </c>
      <c r="B455" s="1" t="s">
        <v>13</v>
      </c>
      <c r="C455" s="1" t="s">
        <v>23</v>
      </c>
      <c r="D455" s="1">
        <v>41</v>
      </c>
      <c r="E455" s="1">
        <v>327.01211970590401</v>
      </c>
      <c r="F455" s="1">
        <v>1295.5</v>
      </c>
      <c r="G455">
        <f t="shared" si="8"/>
        <v>18.083476427554078</v>
      </c>
    </row>
    <row r="456" spans="1:7" ht="13" x14ac:dyDescent="0.15">
      <c r="A456" s="3">
        <v>44835</v>
      </c>
      <c r="B456" s="1" t="s">
        <v>14</v>
      </c>
      <c r="C456" s="1" t="s">
        <v>23</v>
      </c>
      <c r="D456" s="1">
        <v>41</v>
      </c>
      <c r="E456" s="1">
        <v>327.01211970590401</v>
      </c>
      <c r="F456" s="1">
        <v>1295.5</v>
      </c>
      <c r="G456">
        <f t="shared" si="8"/>
        <v>18.083476427554078</v>
      </c>
    </row>
    <row r="457" spans="1:7" ht="13" x14ac:dyDescent="0.15">
      <c r="A457" s="3">
        <v>44835</v>
      </c>
      <c r="B457" s="1" t="s">
        <v>10</v>
      </c>
      <c r="C457" s="1" t="s">
        <v>23</v>
      </c>
      <c r="D457" s="1">
        <v>41</v>
      </c>
      <c r="E457" s="1">
        <v>327.01211970590401</v>
      </c>
      <c r="F457" s="1">
        <v>1295.5</v>
      </c>
      <c r="G457">
        <f t="shared" si="8"/>
        <v>18.083476427554078</v>
      </c>
    </row>
    <row r="458" spans="1:7" ht="13" x14ac:dyDescent="0.15">
      <c r="A458" s="2">
        <v>44652</v>
      </c>
      <c r="B458" s="1" t="s">
        <v>13</v>
      </c>
      <c r="C458" s="1" t="s">
        <v>17</v>
      </c>
      <c r="D458" s="1">
        <v>43.654424147172399</v>
      </c>
      <c r="E458" s="1">
        <v>579.73955840953204</v>
      </c>
      <c r="F458" s="1">
        <v>2540</v>
      </c>
      <c r="G458">
        <f t="shared" si="8"/>
        <v>24.077781426234687</v>
      </c>
    </row>
    <row r="459" spans="1:7" ht="13" x14ac:dyDescent="0.15">
      <c r="A459" s="2">
        <v>44652</v>
      </c>
      <c r="B459" s="1" t="s">
        <v>6</v>
      </c>
      <c r="C459" s="1" t="s">
        <v>17</v>
      </c>
      <c r="D459" s="1">
        <v>43.654424147172399</v>
      </c>
      <c r="E459" s="1">
        <v>579.73955840953204</v>
      </c>
      <c r="F459" s="1">
        <v>2540</v>
      </c>
      <c r="G459">
        <f t="shared" si="8"/>
        <v>24.077781426234687</v>
      </c>
    </row>
    <row r="460" spans="1:7" ht="13" x14ac:dyDescent="0.15">
      <c r="A460" s="2">
        <v>44652</v>
      </c>
      <c r="B460" s="1" t="s">
        <v>12</v>
      </c>
      <c r="C460" s="1" t="s">
        <v>17</v>
      </c>
      <c r="D460" s="1">
        <v>43.654424147172399</v>
      </c>
      <c r="E460" s="1">
        <v>579.73955840953204</v>
      </c>
      <c r="F460" s="1">
        <v>2540</v>
      </c>
      <c r="G460">
        <f t="shared" si="8"/>
        <v>24.077781426234687</v>
      </c>
    </row>
    <row r="461" spans="1:7" ht="13" x14ac:dyDescent="0.15">
      <c r="A461" s="2">
        <v>44652</v>
      </c>
      <c r="B461" s="1" t="s">
        <v>10</v>
      </c>
      <c r="C461" s="1" t="s">
        <v>17</v>
      </c>
      <c r="D461" s="1">
        <v>43.654424147172399</v>
      </c>
      <c r="E461" s="1">
        <v>579.73955840953204</v>
      </c>
      <c r="F461" s="1">
        <v>2540</v>
      </c>
      <c r="G461">
        <f t="shared" si="8"/>
        <v>24.077781426234687</v>
      </c>
    </row>
    <row r="462" spans="1:7" ht="13" x14ac:dyDescent="0.15">
      <c r="A462" s="2">
        <v>44652</v>
      </c>
      <c r="B462" s="1" t="s">
        <v>14</v>
      </c>
      <c r="C462" s="1" t="s">
        <v>17</v>
      </c>
      <c r="D462" s="1">
        <v>43.654424147172399</v>
      </c>
      <c r="E462" s="1">
        <v>579.73955840953204</v>
      </c>
      <c r="F462" s="1">
        <v>2540</v>
      </c>
      <c r="G462">
        <f t="shared" si="8"/>
        <v>24.077781426234687</v>
      </c>
    </row>
    <row r="463" spans="1:7" ht="13" x14ac:dyDescent="0.15">
      <c r="A463" s="2">
        <v>44562</v>
      </c>
      <c r="B463" s="1" t="s">
        <v>14</v>
      </c>
      <c r="C463" s="1" t="s">
        <v>15</v>
      </c>
      <c r="D463" s="1">
        <v>24.869464397430399</v>
      </c>
      <c r="E463" s="1">
        <v>189.14462465609199</v>
      </c>
      <c r="F463" s="1">
        <v>1295</v>
      </c>
      <c r="G463">
        <f t="shared" si="8"/>
        <v>13.752986026899467</v>
      </c>
    </row>
    <row r="464" spans="1:7" ht="13" x14ac:dyDescent="0.15">
      <c r="A464" s="2">
        <v>44562</v>
      </c>
      <c r="B464" s="1" t="s">
        <v>6</v>
      </c>
      <c r="C464" s="1" t="s">
        <v>15</v>
      </c>
      <c r="D464" s="1">
        <v>24.869464397430399</v>
      </c>
      <c r="E464" s="1">
        <v>189.14462465609199</v>
      </c>
      <c r="F464" s="1">
        <v>1295</v>
      </c>
      <c r="G464">
        <f t="shared" si="8"/>
        <v>13.752986026899467</v>
      </c>
    </row>
    <row r="465" spans="1:7" ht="13" x14ac:dyDescent="0.15">
      <c r="A465" s="2">
        <v>44562</v>
      </c>
      <c r="B465" s="1" t="s">
        <v>13</v>
      </c>
      <c r="C465" s="1" t="s">
        <v>15</v>
      </c>
      <c r="D465" s="1">
        <v>24.869464397430399</v>
      </c>
      <c r="E465" s="1">
        <v>189.14462465609199</v>
      </c>
      <c r="F465" s="1">
        <v>1295</v>
      </c>
      <c r="G465">
        <f t="shared" si="8"/>
        <v>13.752986026899467</v>
      </c>
    </row>
    <row r="466" spans="1:7" ht="13" x14ac:dyDescent="0.15">
      <c r="A466" s="2">
        <v>44562</v>
      </c>
      <c r="B466" s="1" t="s">
        <v>10</v>
      </c>
      <c r="C466" s="1" t="s">
        <v>15</v>
      </c>
      <c r="D466" s="1">
        <v>24.869464397430399</v>
      </c>
      <c r="E466" s="1">
        <v>189.14462465609199</v>
      </c>
      <c r="F466" s="1">
        <v>1295</v>
      </c>
      <c r="G466">
        <f t="shared" si="8"/>
        <v>13.752986026899467</v>
      </c>
    </row>
    <row r="467" spans="1:7" ht="13" x14ac:dyDescent="0.15">
      <c r="A467" s="2">
        <v>44562</v>
      </c>
      <c r="B467" s="1" t="s">
        <v>12</v>
      </c>
      <c r="C467" s="1" t="s">
        <v>15</v>
      </c>
      <c r="D467" s="1">
        <v>24.869464397430399</v>
      </c>
      <c r="E467" s="1">
        <v>189.14462465609199</v>
      </c>
      <c r="F467" s="1">
        <v>1295</v>
      </c>
      <c r="G467">
        <f t="shared" si="8"/>
        <v>13.752986026899467</v>
      </c>
    </row>
    <row r="468" spans="1:7" ht="13" x14ac:dyDescent="0.15">
      <c r="A468" s="2">
        <v>44805</v>
      </c>
      <c r="B468" s="1" t="s">
        <v>10</v>
      </c>
      <c r="C468" s="1" t="s">
        <v>8</v>
      </c>
      <c r="D468" s="1">
        <v>46</v>
      </c>
      <c r="E468" s="1">
        <v>390.89905913348599</v>
      </c>
      <c r="F468" s="1">
        <v>1697.5</v>
      </c>
      <c r="G468">
        <f t="shared" si="8"/>
        <v>19.771167369012026</v>
      </c>
    </row>
    <row r="469" spans="1:7" ht="13" x14ac:dyDescent="0.15">
      <c r="A469" s="2">
        <v>44805</v>
      </c>
      <c r="B469" s="1" t="s">
        <v>6</v>
      </c>
      <c r="C469" s="1" t="s">
        <v>8</v>
      </c>
      <c r="D469" s="1">
        <v>46</v>
      </c>
      <c r="E469" s="1">
        <v>390.89905913348599</v>
      </c>
      <c r="F469" s="1">
        <v>1697.5</v>
      </c>
      <c r="G469">
        <f t="shared" si="8"/>
        <v>19.771167369012026</v>
      </c>
    </row>
    <row r="470" spans="1:7" ht="13" x14ac:dyDescent="0.15">
      <c r="A470" s="2">
        <v>44805</v>
      </c>
      <c r="B470" s="1" t="s">
        <v>12</v>
      </c>
      <c r="C470" s="1" t="s">
        <v>8</v>
      </c>
      <c r="D470" s="1">
        <v>46</v>
      </c>
      <c r="E470" s="1">
        <v>390.89905913348599</v>
      </c>
      <c r="F470" s="1">
        <v>1697.5</v>
      </c>
      <c r="G470">
        <f t="shared" si="8"/>
        <v>19.771167369012026</v>
      </c>
    </row>
    <row r="471" spans="1:7" ht="13" x14ac:dyDescent="0.15">
      <c r="A471" s="2">
        <v>44805</v>
      </c>
      <c r="B471" s="1" t="s">
        <v>13</v>
      </c>
      <c r="C471" s="1" t="s">
        <v>8</v>
      </c>
      <c r="D471" s="1">
        <v>46</v>
      </c>
      <c r="E471" s="1">
        <v>390.89905913348599</v>
      </c>
      <c r="F471" s="1">
        <v>1697.5</v>
      </c>
      <c r="G471">
        <f t="shared" si="8"/>
        <v>19.771167369012026</v>
      </c>
    </row>
    <row r="472" spans="1:7" ht="13" x14ac:dyDescent="0.15">
      <c r="A472" s="2">
        <v>44805</v>
      </c>
      <c r="B472" s="1" t="s">
        <v>14</v>
      </c>
      <c r="C472" s="1" t="s">
        <v>8</v>
      </c>
      <c r="D472" s="1">
        <v>46</v>
      </c>
      <c r="E472" s="1">
        <v>390.89905913348599</v>
      </c>
      <c r="F472" s="1">
        <v>1697.5</v>
      </c>
      <c r="G472">
        <f t="shared" si="8"/>
        <v>19.771167369012026</v>
      </c>
    </row>
    <row r="473" spans="1:7" ht="13" x14ac:dyDescent="0.15">
      <c r="A473" s="3">
        <v>44896</v>
      </c>
      <c r="B473" s="1" t="s">
        <v>10</v>
      </c>
      <c r="C473" s="1" t="s">
        <v>19</v>
      </c>
      <c r="D473" s="1">
        <v>52</v>
      </c>
      <c r="E473" s="1">
        <v>488.59369590184798</v>
      </c>
      <c r="F473" s="1">
        <v>2302.5</v>
      </c>
      <c r="G473">
        <f t="shared" si="8"/>
        <v>22.104155625172567</v>
      </c>
    </row>
    <row r="474" spans="1:7" ht="13" x14ac:dyDescent="0.15">
      <c r="A474" s="3">
        <v>44896</v>
      </c>
      <c r="B474" s="1" t="s">
        <v>14</v>
      </c>
      <c r="C474" s="1" t="s">
        <v>19</v>
      </c>
      <c r="D474" s="1">
        <v>52</v>
      </c>
      <c r="E474" s="1">
        <v>488.59369590184798</v>
      </c>
      <c r="F474" s="1">
        <v>2302.5</v>
      </c>
      <c r="G474">
        <f t="shared" si="8"/>
        <v>22.104155625172567</v>
      </c>
    </row>
    <row r="475" spans="1:7" ht="13" x14ac:dyDescent="0.15">
      <c r="A475" s="3">
        <v>44896</v>
      </c>
      <c r="B475" s="1" t="s">
        <v>6</v>
      </c>
      <c r="C475" s="1" t="s">
        <v>19</v>
      </c>
      <c r="D475" s="1">
        <v>52</v>
      </c>
      <c r="E475" s="1">
        <v>488.59369590184798</v>
      </c>
      <c r="F475" s="1">
        <v>2302.5</v>
      </c>
      <c r="G475">
        <f t="shared" si="8"/>
        <v>22.104155625172567</v>
      </c>
    </row>
    <row r="476" spans="1:7" ht="13" x14ac:dyDescent="0.15">
      <c r="A476" s="3">
        <v>44896</v>
      </c>
      <c r="B476" s="1" t="s">
        <v>13</v>
      </c>
      <c r="C476" s="1" t="s">
        <v>19</v>
      </c>
      <c r="D476" s="1">
        <v>52</v>
      </c>
      <c r="E476" s="1">
        <v>488.59369590184798</v>
      </c>
      <c r="F476" s="1">
        <v>2302.5</v>
      </c>
      <c r="G476">
        <f t="shared" si="8"/>
        <v>22.104155625172567</v>
      </c>
    </row>
    <row r="477" spans="1:7" ht="13" x14ac:dyDescent="0.15">
      <c r="A477" s="3">
        <v>44896</v>
      </c>
      <c r="B477" s="1" t="s">
        <v>12</v>
      </c>
      <c r="C477" s="1" t="s">
        <v>19</v>
      </c>
      <c r="D477" s="1">
        <v>52</v>
      </c>
      <c r="E477" s="1">
        <v>488.59369590184798</v>
      </c>
      <c r="F477" s="1">
        <v>2302.5</v>
      </c>
      <c r="G477">
        <f t="shared" si="8"/>
        <v>22.104155625172567</v>
      </c>
    </row>
    <row r="478" spans="1:7" ht="13" x14ac:dyDescent="0.15">
      <c r="A478" s="3">
        <v>44835</v>
      </c>
      <c r="B478" s="1" t="s">
        <v>12</v>
      </c>
      <c r="C478" s="1" t="s">
        <v>8</v>
      </c>
      <c r="D478" s="1">
        <v>46</v>
      </c>
      <c r="E478" s="1">
        <v>387.611845909659</v>
      </c>
      <c r="F478" s="1">
        <v>1521</v>
      </c>
      <c r="G478">
        <f t="shared" si="8"/>
        <v>19.687860369010622</v>
      </c>
    </row>
    <row r="479" spans="1:7" ht="13" x14ac:dyDescent="0.15">
      <c r="A479" s="3">
        <v>44835</v>
      </c>
      <c r="B479" s="1" t="s">
        <v>6</v>
      </c>
      <c r="C479" s="1" t="s">
        <v>8</v>
      </c>
      <c r="D479" s="1">
        <v>46</v>
      </c>
      <c r="E479" s="1">
        <v>387.611845909659</v>
      </c>
      <c r="F479" s="1">
        <v>1521</v>
      </c>
      <c r="G479">
        <f t="shared" si="8"/>
        <v>19.687860369010622</v>
      </c>
    </row>
    <row r="480" spans="1:7" ht="13" x14ac:dyDescent="0.15">
      <c r="A480" s="3">
        <v>44835</v>
      </c>
      <c r="B480" s="1" t="s">
        <v>13</v>
      </c>
      <c r="C480" s="1" t="s">
        <v>8</v>
      </c>
      <c r="D480" s="1">
        <v>46</v>
      </c>
      <c r="E480" s="1">
        <v>387.611845909659</v>
      </c>
      <c r="F480" s="1">
        <v>1521</v>
      </c>
      <c r="G480">
        <f t="shared" si="8"/>
        <v>19.687860369010622</v>
      </c>
    </row>
    <row r="481" spans="1:7" ht="13" x14ac:dyDescent="0.15">
      <c r="A481" s="3">
        <v>44835</v>
      </c>
      <c r="B481" s="1" t="s">
        <v>14</v>
      </c>
      <c r="C481" s="1" t="s">
        <v>8</v>
      </c>
      <c r="D481" s="1">
        <v>46</v>
      </c>
      <c r="E481" s="1">
        <v>387.611845909659</v>
      </c>
      <c r="F481" s="1">
        <v>1521</v>
      </c>
      <c r="G481">
        <f t="shared" si="8"/>
        <v>19.687860369010622</v>
      </c>
    </row>
    <row r="482" spans="1:7" ht="13" x14ac:dyDescent="0.15">
      <c r="A482" s="3">
        <v>44835</v>
      </c>
      <c r="B482" s="1" t="s">
        <v>10</v>
      </c>
      <c r="C482" s="1" t="s">
        <v>8</v>
      </c>
      <c r="D482" s="1">
        <v>46</v>
      </c>
      <c r="E482" s="1">
        <v>387.611845909659</v>
      </c>
      <c r="F482" s="1">
        <v>1521</v>
      </c>
      <c r="G482">
        <f t="shared" si="8"/>
        <v>19.687860369010622</v>
      </c>
    </row>
    <row r="483" spans="1:7" ht="13" x14ac:dyDescent="0.15">
      <c r="A483" s="2">
        <v>44927</v>
      </c>
      <c r="B483" s="1" t="s">
        <v>13</v>
      </c>
      <c r="C483" s="1" t="s">
        <v>18</v>
      </c>
      <c r="D483" s="1">
        <v>16.886674880981399</v>
      </c>
      <c r="E483" s="1">
        <v>183.64712885544901</v>
      </c>
      <c r="F483" s="1">
        <v>3760</v>
      </c>
      <c r="G483">
        <f t="shared" si="8"/>
        <v>13.551646721171897</v>
      </c>
    </row>
    <row r="484" spans="1:7" ht="13" x14ac:dyDescent="0.15">
      <c r="A484" s="2">
        <v>44927</v>
      </c>
      <c r="B484" s="1" t="s">
        <v>10</v>
      </c>
      <c r="C484" s="1" t="s">
        <v>18</v>
      </c>
      <c r="D484" s="1">
        <v>16.886674880981399</v>
      </c>
      <c r="E484" s="1">
        <v>183.64712885544901</v>
      </c>
      <c r="F484" s="1">
        <v>3760</v>
      </c>
      <c r="G484">
        <f t="shared" si="8"/>
        <v>13.551646721171897</v>
      </c>
    </row>
    <row r="485" spans="1:7" ht="13" x14ac:dyDescent="0.15">
      <c r="A485" s="2">
        <v>44927</v>
      </c>
      <c r="B485" s="1" t="s">
        <v>6</v>
      </c>
      <c r="C485" s="1" t="s">
        <v>18</v>
      </c>
      <c r="D485" s="1">
        <v>16.886674880981399</v>
      </c>
      <c r="E485" s="1">
        <v>183.64712885544901</v>
      </c>
      <c r="F485" s="1">
        <v>3760</v>
      </c>
      <c r="G485">
        <f t="shared" si="8"/>
        <v>13.551646721171897</v>
      </c>
    </row>
    <row r="486" spans="1:7" ht="13" x14ac:dyDescent="0.15">
      <c r="A486" s="2">
        <v>44927</v>
      </c>
      <c r="B486" s="1" t="s">
        <v>14</v>
      </c>
      <c r="C486" s="1" t="s">
        <v>18</v>
      </c>
      <c r="D486" s="1">
        <v>16.886674880981399</v>
      </c>
      <c r="E486" s="1">
        <v>183.64712885544901</v>
      </c>
      <c r="F486" s="1">
        <v>3760</v>
      </c>
      <c r="G486">
        <f t="shared" si="8"/>
        <v>13.551646721171897</v>
      </c>
    </row>
    <row r="487" spans="1:7" ht="13" x14ac:dyDescent="0.15">
      <c r="A487" s="2">
        <v>44927</v>
      </c>
      <c r="B487" s="1" t="s">
        <v>12</v>
      </c>
      <c r="C487" s="1" t="s">
        <v>18</v>
      </c>
      <c r="D487" s="1">
        <v>16.886674880981399</v>
      </c>
      <c r="E487" s="1">
        <v>183.64712885544901</v>
      </c>
      <c r="F487" s="1">
        <v>3760</v>
      </c>
      <c r="G487">
        <f t="shared" si="8"/>
        <v>13.551646721171897</v>
      </c>
    </row>
    <row r="488" spans="1:7" ht="13" x14ac:dyDescent="0.15">
      <c r="A488" s="2">
        <v>44562</v>
      </c>
      <c r="B488" s="1" t="s">
        <v>14</v>
      </c>
      <c r="C488" s="1" t="s">
        <v>7</v>
      </c>
      <c r="D488" s="1">
        <v>36.260005950927699</v>
      </c>
      <c r="E488" s="1">
        <v>236.11987090641</v>
      </c>
      <c r="F488" s="1">
        <v>1375</v>
      </c>
      <c r="G488">
        <f t="shared" si="8"/>
        <v>15.366192466138449</v>
      </c>
    </row>
    <row r="489" spans="1:7" ht="13" x14ac:dyDescent="0.15">
      <c r="A489" s="2">
        <v>44562</v>
      </c>
      <c r="B489" s="1" t="s">
        <v>6</v>
      </c>
      <c r="C489" s="1" t="s">
        <v>7</v>
      </c>
      <c r="D489" s="1">
        <v>36.260005950927699</v>
      </c>
      <c r="E489" s="1">
        <v>236.11987090641</v>
      </c>
      <c r="F489" s="1">
        <v>1375</v>
      </c>
      <c r="G489">
        <f t="shared" si="8"/>
        <v>15.366192466138449</v>
      </c>
    </row>
    <row r="490" spans="1:7" ht="13" x14ac:dyDescent="0.15">
      <c r="A490" s="2">
        <v>44562</v>
      </c>
      <c r="B490" s="1" t="s">
        <v>13</v>
      </c>
      <c r="C490" s="1" t="s">
        <v>7</v>
      </c>
      <c r="D490" s="1">
        <v>36.260005950927699</v>
      </c>
      <c r="E490" s="1">
        <v>236.11987090641</v>
      </c>
      <c r="F490" s="1">
        <v>1375</v>
      </c>
      <c r="G490">
        <f t="shared" si="8"/>
        <v>15.366192466138449</v>
      </c>
    </row>
    <row r="491" spans="1:7" ht="13" x14ac:dyDescent="0.15">
      <c r="A491" s="2">
        <v>44562</v>
      </c>
      <c r="B491" s="1" t="s">
        <v>10</v>
      </c>
      <c r="C491" s="1" t="s">
        <v>7</v>
      </c>
      <c r="D491" s="1">
        <v>36.260005950927699</v>
      </c>
      <c r="E491" s="1">
        <v>236.11987090641</v>
      </c>
      <c r="F491" s="1">
        <v>1375</v>
      </c>
      <c r="G491">
        <f t="shared" si="8"/>
        <v>15.366192466138449</v>
      </c>
    </row>
    <row r="492" spans="1:7" ht="13" x14ac:dyDescent="0.15">
      <c r="A492" s="2">
        <v>44562</v>
      </c>
      <c r="B492" s="1" t="s">
        <v>12</v>
      </c>
      <c r="C492" s="1" t="s">
        <v>7</v>
      </c>
      <c r="D492" s="1">
        <v>36.260005950927699</v>
      </c>
      <c r="E492" s="1">
        <v>236.11987090641</v>
      </c>
      <c r="F492" s="1">
        <v>1375</v>
      </c>
      <c r="G492">
        <f t="shared" si="8"/>
        <v>15.366192466138449</v>
      </c>
    </row>
    <row r="493" spans="1:7" ht="13" x14ac:dyDescent="0.15">
      <c r="A493" s="2">
        <v>44593</v>
      </c>
      <c r="B493" s="1" t="s">
        <v>10</v>
      </c>
      <c r="C493" s="1" t="s">
        <v>23</v>
      </c>
      <c r="D493" s="1">
        <v>41</v>
      </c>
      <c r="E493" s="1">
        <v>294.610507146028</v>
      </c>
      <c r="F493" s="1">
        <v>1604</v>
      </c>
      <c r="G493">
        <f t="shared" si="8"/>
        <v>17.164221716874554</v>
      </c>
    </row>
    <row r="494" spans="1:7" ht="13" x14ac:dyDescent="0.15">
      <c r="A494" s="2">
        <v>44593</v>
      </c>
      <c r="B494" s="1" t="s">
        <v>6</v>
      </c>
      <c r="C494" s="1" t="s">
        <v>23</v>
      </c>
      <c r="D494" s="1">
        <v>41</v>
      </c>
      <c r="E494" s="1">
        <v>294.610507146028</v>
      </c>
      <c r="F494" s="1">
        <v>1604</v>
      </c>
      <c r="G494">
        <f t="shared" si="8"/>
        <v>17.164221716874554</v>
      </c>
    </row>
    <row r="495" spans="1:7" ht="13" x14ac:dyDescent="0.15">
      <c r="A495" s="2">
        <v>44593</v>
      </c>
      <c r="B495" s="1" t="s">
        <v>12</v>
      </c>
      <c r="C495" s="1" t="s">
        <v>23</v>
      </c>
      <c r="D495" s="1">
        <v>41</v>
      </c>
      <c r="E495" s="1">
        <v>294.610507146028</v>
      </c>
      <c r="F495" s="1">
        <v>1604</v>
      </c>
      <c r="G495">
        <f t="shared" si="8"/>
        <v>17.164221716874554</v>
      </c>
    </row>
    <row r="496" spans="1:7" ht="13" x14ac:dyDescent="0.15">
      <c r="A496" s="2">
        <v>44593</v>
      </c>
      <c r="B496" s="1" t="s">
        <v>14</v>
      </c>
      <c r="C496" s="1" t="s">
        <v>23</v>
      </c>
      <c r="D496" s="1">
        <v>41</v>
      </c>
      <c r="E496" s="1">
        <v>294.610507146028</v>
      </c>
      <c r="F496" s="1">
        <v>1604</v>
      </c>
      <c r="G496">
        <f t="shared" si="8"/>
        <v>17.164221716874554</v>
      </c>
    </row>
    <row r="497" spans="1:7" ht="13" x14ac:dyDescent="0.15">
      <c r="A497" s="2">
        <v>44593</v>
      </c>
      <c r="B497" s="1" t="s">
        <v>13</v>
      </c>
      <c r="C497" s="1" t="s">
        <v>23</v>
      </c>
      <c r="D497" s="1">
        <v>41</v>
      </c>
      <c r="E497" s="1">
        <v>294.610507146028</v>
      </c>
      <c r="F497" s="1">
        <v>1604</v>
      </c>
      <c r="G497">
        <f t="shared" si="8"/>
        <v>17.164221716874554</v>
      </c>
    </row>
    <row r="498" spans="1:7" ht="13" x14ac:dyDescent="0.15">
      <c r="A498" s="2">
        <v>44958</v>
      </c>
      <c r="B498" s="1" t="s">
        <v>10</v>
      </c>
      <c r="C498" s="1" t="s">
        <v>22</v>
      </c>
      <c r="D498" s="1">
        <v>15.3979845046997</v>
      </c>
      <c r="E498" s="1">
        <v>114.481683331882</v>
      </c>
      <c r="F498" s="1">
        <v>1820</v>
      </c>
      <c r="G498">
        <f t="shared" si="8"/>
        <v>10.699611363590829</v>
      </c>
    </row>
    <row r="499" spans="1:7" ht="13" x14ac:dyDescent="0.15">
      <c r="A499" s="2">
        <v>44958</v>
      </c>
      <c r="B499" s="1" t="s">
        <v>14</v>
      </c>
      <c r="C499" s="1" t="s">
        <v>22</v>
      </c>
      <c r="D499" s="1">
        <v>15.3979845046997</v>
      </c>
      <c r="E499" s="1">
        <v>114.481683331882</v>
      </c>
      <c r="F499" s="1">
        <v>1820</v>
      </c>
      <c r="G499">
        <f t="shared" si="8"/>
        <v>10.699611363590829</v>
      </c>
    </row>
    <row r="500" spans="1:7" ht="13" x14ac:dyDescent="0.15">
      <c r="A500" s="2">
        <v>44958</v>
      </c>
      <c r="B500" s="1" t="s">
        <v>12</v>
      </c>
      <c r="C500" s="1" t="s">
        <v>22</v>
      </c>
      <c r="D500" s="1">
        <v>15.3979845046997</v>
      </c>
      <c r="E500" s="1">
        <v>114.481683331882</v>
      </c>
      <c r="F500" s="1">
        <v>1820</v>
      </c>
      <c r="G500">
        <f t="shared" si="8"/>
        <v>10.699611363590829</v>
      </c>
    </row>
    <row r="501" spans="1:7" ht="13" x14ac:dyDescent="0.15">
      <c r="A501" s="2">
        <v>44958</v>
      </c>
      <c r="B501" s="1" t="s">
        <v>6</v>
      </c>
      <c r="C501" s="1" t="s">
        <v>22</v>
      </c>
      <c r="D501" s="1">
        <v>15.3979845046997</v>
      </c>
      <c r="E501" s="1">
        <v>114.481683331882</v>
      </c>
      <c r="F501" s="1">
        <v>1820</v>
      </c>
      <c r="G501">
        <f t="shared" si="8"/>
        <v>10.699611363590829</v>
      </c>
    </row>
    <row r="502" spans="1:7" ht="13" x14ac:dyDescent="0.15">
      <c r="A502" s="2">
        <v>44958</v>
      </c>
      <c r="B502" s="1" t="s">
        <v>13</v>
      </c>
      <c r="C502" s="1" t="s">
        <v>22</v>
      </c>
      <c r="D502" s="1">
        <v>15.3979845046997</v>
      </c>
      <c r="E502" s="1">
        <v>114.481683331882</v>
      </c>
      <c r="F502" s="1">
        <v>1820</v>
      </c>
      <c r="G502">
        <f t="shared" si="8"/>
        <v>10.699611363590829</v>
      </c>
    </row>
    <row r="503" spans="1:7" ht="13" x14ac:dyDescent="0.15">
      <c r="A503" s="2">
        <v>44774</v>
      </c>
      <c r="B503" s="1" t="s">
        <v>13</v>
      </c>
      <c r="C503" s="1" t="s">
        <v>16</v>
      </c>
      <c r="D503" s="1">
        <v>6</v>
      </c>
      <c r="E503" s="1">
        <v>72.104488620378405</v>
      </c>
      <c r="F503" s="1">
        <v>925</v>
      </c>
      <c r="G503">
        <f t="shared" si="8"/>
        <v>8.4914361930346267</v>
      </c>
    </row>
    <row r="504" spans="1:7" ht="13" x14ac:dyDescent="0.15">
      <c r="A504" s="2">
        <v>44774</v>
      </c>
      <c r="B504" s="1" t="s">
        <v>10</v>
      </c>
      <c r="C504" s="1" t="s">
        <v>16</v>
      </c>
      <c r="D504" s="1">
        <v>6</v>
      </c>
      <c r="E504" s="1">
        <v>72.104488620378405</v>
      </c>
      <c r="F504" s="1">
        <v>925</v>
      </c>
      <c r="G504">
        <f t="shared" si="8"/>
        <v>8.4914361930346267</v>
      </c>
    </row>
    <row r="505" spans="1:7" ht="13" x14ac:dyDescent="0.15">
      <c r="A505" s="2">
        <v>44774</v>
      </c>
      <c r="B505" s="1" t="s">
        <v>14</v>
      </c>
      <c r="C505" s="1" t="s">
        <v>16</v>
      </c>
      <c r="D505" s="1">
        <v>6</v>
      </c>
      <c r="E505" s="1">
        <v>72.104488620378405</v>
      </c>
      <c r="F505" s="1">
        <v>925</v>
      </c>
      <c r="G505">
        <f t="shared" si="8"/>
        <v>8.4914361930346267</v>
      </c>
    </row>
    <row r="506" spans="1:7" ht="13" x14ac:dyDescent="0.15">
      <c r="A506" s="2">
        <v>44774</v>
      </c>
      <c r="B506" s="1" t="s">
        <v>6</v>
      </c>
      <c r="C506" s="1" t="s">
        <v>16</v>
      </c>
      <c r="D506" s="1">
        <v>6</v>
      </c>
      <c r="E506" s="1">
        <v>72.104488620378405</v>
      </c>
      <c r="F506" s="1">
        <v>925</v>
      </c>
      <c r="G506">
        <f t="shared" si="8"/>
        <v>8.4914361930346267</v>
      </c>
    </row>
    <row r="507" spans="1:7" ht="13" x14ac:dyDescent="0.15">
      <c r="A507" s="2">
        <v>44774</v>
      </c>
      <c r="B507" s="1" t="s">
        <v>12</v>
      </c>
      <c r="C507" s="1" t="s">
        <v>16</v>
      </c>
      <c r="D507" s="1">
        <v>6</v>
      </c>
      <c r="E507" s="1">
        <v>72.104488620378405</v>
      </c>
      <c r="F507" s="1">
        <v>925</v>
      </c>
      <c r="G507">
        <f t="shared" si="8"/>
        <v>8.4914361930346267</v>
      </c>
    </row>
    <row r="508" spans="1:7" ht="13" x14ac:dyDescent="0.15">
      <c r="A508" s="2">
        <v>44805</v>
      </c>
      <c r="B508" s="1" t="s">
        <v>10</v>
      </c>
      <c r="C508" s="1" t="s">
        <v>7</v>
      </c>
      <c r="D508" s="1">
        <v>33</v>
      </c>
      <c r="E508" s="1">
        <v>246.663170791287</v>
      </c>
      <c r="F508" s="1">
        <v>1056.26062011718</v>
      </c>
      <c r="G508">
        <f t="shared" si="8"/>
        <v>15.705514025057791</v>
      </c>
    </row>
    <row r="509" spans="1:7" ht="13" x14ac:dyDescent="0.15">
      <c r="A509" s="2">
        <v>44805</v>
      </c>
      <c r="B509" s="1" t="s">
        <v>6</v>
      </c>
      <c r="C509" s="1" t="s">
        <v>7</v>
      </c>
      <c r="D509" s="1">
        <v>33</v>
      </c>
      <c r="E509" s="1">
        <v>246.663170791287</v>
      </c>
      <c r="F509" s="1">
        <v>1056.26062011718</v>
      </c>
      <c r="G509">
        <f t="shared" si="8"/>
        <v>15.705514025057791</v>
      </c>
    </row>
    <row r="510" spans="1:7" ht="13" x14ac:dyDescent="0.15">
      <c r="A510" s="2">
        <v>44805</v>
      </c>
      <c r="B510" s="1" t="s">
        <v>12</v>
      </c>
      <c r="C510" s="1" t="s">
        <v>7</v>
      </c>
      <c r="D510" s="1">
        <v>33</v>
      </c>
      <c r="E510" s="1">
        <v>246.663170791287</v>
      </c>
      <c r="F510" s="1">
        <v>1056.26062011718</v>
      </c>
      <c r="G510">
        <f t="shared" si="8"/>
        <v>15.705514025057791</v>
      </c>
    </row>
    <row r="511" spans="1:7" ht="13" x14ac:dyDescent="0.15">
      <c r="A511" s="2">
        <v>44805</v>
      </c>
      <c r="B511" s="1" t="s">
        <v>13</v>
      </c>
      <c r="C511" s="1" t="s">
        <v>7</v>
      </c>
      <c r="D511" s="1">
        <v>33</v>
      </c>
      <c r="E511" s="1">
        <v>246.663170791287</v>
      </c>
      <c r="F511" s="1">
        <v>1056.26062011718</v>
      </c>
      <c r="G511">
        <f t="shared" si="8"/>
        <v>15.705514025057791</v>
      </c>
    </row>
    <row r="512" spans="1:7" ht="13" x14ac:dyDescent="0.15">
      <c r="A512" s="2">
        <v>44805</v>
      </c>
      <c r="B512" s="1" t="s">
        <v>14</v>
      </c>
      <c r="C512" s="1" t="s">
        <v>7</v>
      </c>
      <c r="D512" s="1">
        <v>33</v>
      </c>
      <c r="E512" s="1">
        <v>246.663170791287</v>
      </c>
      <c r="F512" s="1">
        <v>1056.26062011718</v>
      </c>
      <c r="G512">
        <f t="shared" si="8"/>
        <v>15.705514025057791</v>
      </c>
    </row>
    <row r="513" spans="1:7" ht="13" x14ac:dyDescent="0.15">
      <c r="A513" s="2">
        <v>44713</v>
      </c>
      <c r="B513" s="1" t="s">
        <v>6</v>
      </c>
      <c r="C513" s="1" t="s">
        <v>11</v>
      </c>
      <c r="D513" s="1">
        <v>29</v>
      </c>
      <c r="E513" s="1">
        <v>217.05306705400099</v>
      </c>
      <c r="F513" s="1">
        <v>1972.16784667968</v>
      </c>
      <c r="G513">
        <f t="shared" si="8"/>
        <v>14.732720965727987</v>
      </c>
    </row>
    <row r="514" spans="1:7" ht="13" x14ac:dyDescent="0.15">
      <c r="A514" s="2">
        <v>44713</v>
      </c>
      <c r="B514" s="1" t="s">
        <v>12</v>
      </c>
      <c r="C514" s="1" t="s">
        <v>11</v>
      </c>
      <c r="D514" s="1">
        <v>29</v>
      </c>
      <c r="E514" s="1">
        <v>217.05306705400099</v>
      </c>
      <c r="F514" s="1">
        <v>1972.16784667968</v>
      </c>
      <c r="G514">
        <f t="shared" si="8"/>
        <v>14.732720965727987</v>
      </c>
    </row>
    <row r="515" spans="1:7" ht="13" x14ac:dyDescent="0.15">
      <c r="A515" s="2">
        <v>44713</v>
      </c>
      <c r="B515" s="1" t="s">
        <v>14</v>
      </c>
      <c r="C515" s="1" t="s">
        <v>11</v>
      </c>
      <c r="D515" s="1">
        <v>29</v>
      </c>
      <c r="E515" s="1">
        <v>217.05306705400099</v>
      </c>
      <c r="F515" s="1">
        <v>1972.16784667968</v>
      </c>
      <c r="G515">
        <f t="shared" ref="G515:G578" si="9">SQRT(E515)</f>
        <v>14.732720965727987</v>
      </c>
    </row>
    <row r="516" spans="1:7" ht="13" x14ac:dyDescent="0.15">
      <c r="A516" s="2">
        <v>44713</v>
      </c>
      <c r="B516" s="1" t="s">
        <v>13</v>
      </c>
      <c r="C516" s="1" t="s">
        <v>11</v>
      </c>
      <c r="D516" s="1">
        <v>29</v>
      </c>
      <c r="E516" s="1">
        <v>217.05306705400099</v>
      </c>
      <c r="F516" s="1">
        <v>1972.16784667968</v>
      </c>
      <c r="G516">
        <f t="shared" si="9"/>
        <v>14.732720965727987</v>
      </c>
    </row>
    <row r="517" spans="1:7" ht="13" x14ac:dyDescent="0.15">
      <c r="A517" s="2">
        <v>44713</v>
      </c>
      <c r="B517" s="1" t="s">
        <v>10</v>
      </c>
      <c r="C517" s="1" t="s">
        <v>11</v>
      </c>
      <c r="D517" s="1">
        <v>29</v>
      </c>
      <c r="E517" s="1">
        <v>217.05306705400099</v>
      </c>
      <c r="F517" s="1">
        <v>1972.16784667968</v>
      </c>
      <c r="G517">
        <f t="shared" si="9"/>
        <v>14.732720965727987</v>
      </c>
    </row>
    <row r="518" spans="1:7" ht="13" x14ac:dyDescent="0.15">
      <c r="A518" s="2">
        <v>44805</v>
      </c>
      <c r="B518" s="1" t="s">
        <v>10</v>
      </c>
      <c r="C518" s="1" t="s">
        <v>9</v>
      </c>
      <c r="D518" s="1">
        <v>20.6301956176757</v>
      </c>
      <c r="E518" s="1">
        <v>175.148190329805</v>
      </c>
      <c r="F518" s="1">
        <v>799.87561035156205</v>
      </c>
      <c r="G518">
        <f t="shared" si="9"/>
        <v>13.234356438066984</v>
      </c>
    </row>
    <row r="519" spans="1:7" ht="13" x14ac:dyDescent="0.15">
      <c r="A519" s="2">
        <v>44805</v>
      </c>
      <c r="B519" s="1" t="s">
        <v>6</v>
      </c>
      <c r="C519" s="1" t="s">
        <v>9</v>
      </c>
      <c r="D519" s="1">
        <v>20.6301956176757</v>
      </c>
      <c r="E519" s="1">
        <v>175.148190329805</v>
      </c>
      <c r="F519" s="1">
        <v>799.87561035156205</v>
      </c>
      <c r="G519">
        <f t="shared" si="9"/>
        <v>13.234356438066984</v>
      </c>
    </row>
    <row r="520" spans="1:7" ht="13" x14ac:dyDescent="0.15">
      <c r="A520" s="2">
        <v>44805</v>
      </c>
      <c r="B520" s="1" t="s">
        <v>12</v>
      </c>
      <c r="C520" s="1" t="s">
        <v>9</v>
      </c>
      <c r="D520" s="1">
        <v>20.6301956176757</v>
      </c>
      <c r="E520" s="1">
        <v>175.148190329805</v>
      </c>
      <c r="F520" s="1">
        <v>799.87561035156205</v>
      </c>
      <c r="G520">
        <f t="shared" si="9"/>
        <v>13.234356438066984</v>
      </c>
    </row>
    <row r="521" spans="1:7" ht="13" x14ac:dyDescent="0.15">
      <c r="A521" s="2">
        <v>44805</v>
      </c>
      <c r="B521" s="1" t="s">
        <v>13</v>
      </c>
      <c r="C521" s="1" t="s">
        <v>9</v>
      </c>
      <c r="D521" s="1">
        <v>20.6301956176757</v>
      </c>
      <c r="E521" s="1">
        <v>175.148190329805</v>
      </c>
      <c r="F521" s="1">
        <v>799.87561035156205</v>
      </c>
      <c r="G521">
        <f t="shared" si="9"/>
        <v>13.234356438066984</v>
      </c>
    </row>
    <row r="522" spans="1:7" ht="13" x14ac:dyDescent="0.15">
      <c r="A522" s="2">
        <v>44805</v>
      </c>
      <c r="B522" s="1" t="s">
        <v>14</v>
      </c>
      <c r="C522" s="1" t="s">
        <v>9</v>
      </c>
      <c r="D522" s="1">
        <v>20.6301956176757</v>
      </c>
      <c r="E522" s="1">
        <v>175.148190329805</v>
      </c>
      <c r="F522" s="1">
        <v>799.87561035156205</v>
      </c>
      <c r="G522">
        <f t="shared" si="9"/>
        <v>13.234356438066984</v>
      </c>
    </row>
    <row r="523" spans="1:7" ht="13" x14ac:dyDescent="0.15">
      <c r="A523" s="2">
        <v>44621</v>
      </c>
      <c r="B523" s="1" t="s">
        <v>12</v>
      </c>
      <c r="C523" s="1" t="s">
        <v>8</v>
      </c>
      <c r="D523" s="1">
        <v>46</v>
      </c>
      <c r="E523" s="1">
        <v>360.45678907277102</v>
      </c>
      <c r="F523" s="1">
        <v>2927.54931640625</v>
      </c>
      <c r="G523">
        <f t="shared" si="9"/>
        <v>18.985699593977859</v>
      </c>
    </row>
    <row r="524" spans="1:7" ht="13" x14ac:dyDescent="0.15">
      <c r="A524" s="2">
        <v>44621</v>
      </c>
      <c r="B524" s="1" t="s">
        <v>6</v>
      </c>
      <c r="C524" s="1" t="s">
        <v>8</v>
      </c>
      <c r="D524" s="1">
        <v>46</v>
      </c>
      <c r="E524" s="1">
        <v>360.45678907277102</v>
      </c>
      <c r="F524" s="1">
        <v>2927.54931640625</v>
      </c>
      <c r="G524">
        <f t="shared" si="9"/>
        <v>18.985699593977859</v>
      </c>
    </row>
    <row r="525" spans="1:7" ht="13" x14ac:dyDescent="0.15">
      <c r="A525" s="2">
        <v>44621</v>
      </c>
      <c r="B525" s="1" t="s">
        <v>10</v>
      </c>
      <c r="C525" s="1" t="s">
        <v>8</v>
      </c>
      <c r="D525" s="1">
        <v>46</v>
      </c>
      <c r="E525" s="1">
        <v>360.45678907277102</v>
      </c>
      <c r="F525" s="1">
        <v>2927.54931640625</v>
      </c>
      <c r="G525">
        <f t="shared" si="9"/>
        <v>18.985699593977859</v>
      </c>
    </row>
    <row r="526" spans="1:7" ht="13" x14ac:dyDescent="0.15">
      <c r="A526" s="2">
        <v>44621</v>
      </c>
      <c r="B526" s="1" t="s">
        <v>13</v>
      </c>
      <c r="C526" s="1" t="s">
        <v>8</v>
      </c>
      <c r="D526" s="1">
        <v>46</v>
      </c>
      <c r="E526" s="1">
        <v>360.45678907277102</v>
      </c>
      <c r="F526" s="1">
        <v>2927.54931640625</v>
      </c>
      <c r="G526">
        <f t="shared" si="9"/>
        <v>18.985699593977859</v>
      </c>
    </row>
    <row r="527" spans="1:7" ht="13" x14ac:dyDescent="0.15">
      <c r="A527" s="2">
        <v>44621</v>
      </c>
      <c r="B527" s="1" t="s">
        <v>14</v>
      </c>
      <c r="C527" s="1" t="s">
        <v>8</v>
      </c>
      <c r="D527" s="1">
        <v>46</v>
      </c>
      <c r="E527" s="1">
        <v>360.45678907277102</v>
      </c>
      <c r="F527" s="1">
        <v>2927.54931640625</v>
      </c>
      <c r="G527">
        <f t="shared" si="9"/>
        <v>18.985699593977859</v>
      </c>
    </row>
    <row r="528" spans="1:7" ht="13" x14ac:dyDescent="0.15">
      <c r="A528" s="2">
        <v>44682</v>
      </c>
      <c r="B528" s="1" t="s">
        <v>12</v>
      </c>
      <c r="C528" s="1" t="s">
        <v>22</v>
      </c>
      <c r="D528" s="1">
        <v>8</v>
      </c>
      <c r="E528" s="1">
        <v>117.55215446944599</v>
      </c>
      <c r="F528" s="1">
        <v>1020.5640258789</v>
      </c>
      <c r="G528">
        <f t="shared" si="9"/>
        <v>10.842147133729831</v>
      </c>
    </row>
    <row r="529" spans="1:7" ht="13" x14ac:dyDescent="0.15">
      <c r="A529" s="2">
        <v>44682</v>
      </c>
      <c r="B529" s="1" t="s">
        <v>14</v>
      </c>
      <c r="C529" s="1" t="s">
        <v>22</v>
      </c>
      <c r="D529" s="1">
        <v>8</v>
      </c>
      <c r="E529" s="1">
        <v>117.55215446944599</v>
      </c>
      <c r="F529" s="1">
        <v>1020.5640258789</v>
      </c>
      <c r="G529">
        <f t="shared" si="9"/>
        <v>10.842147133729831</v>
      </c>
    </row>
    <row r="530" spans="1:7" ht="13" x14ac:dyDescent="0.15">
      <c r="A530" s="2">
        <v>44682</v>
      </c>
      <c r="B530" s="1" t="s">
        <v>6</v>
      </c>
      <c r="C530" s="1" t="s">
        <v>22</v>
      </c>
      <c r="D530" s="1">
        <v>8</v>
      </c>
      <c r="E530" s="1">
        <v>117.55215446944599</v>
      </c>
      <c r="F530" s="1">
        <v>1020.5640258789</v>
      </c>
      <c r="G530">
        <f t="shared" si="9"/>
        <v>10.842147133729831</v>
      </c>
    </row>
    <row r="531" spans="1:7" ht="13" x14ac:dyDescent="0.15">
      <c r="A531" s="2">
        <v>44682</v>
      </c>
      <c r="B531" s="1" t="s">
        <v>13</v>
      </c>
      <c r="C531" s="1" t="s">
        <v>22</v>
      </c>
      <c r="D531" s="1">
        <v>8</v>
      </c>
      <c r="E531" s="1">
        <v>117.55215446944599</v>
      </c>
      <c r="F531" s="1">
        <v>1020.5640258789</v>
      </c>
      <c r="G531">
        <f t="shared" si="9"/>
        <v>10.842147133729831</v>
      </c>
    </row>
    <row r="532" spans="1:7" ht="13" x14ac:dyDescent="0.15">
      <c r="A532" s="2">
        <v>44682</v>
      </c>
      <c r="B532" s="1" t="s">
        <v>10</v>
      </c>
      <c r="C532" s="1" t="s">
        <v>22</v>
      </c>
      <c r="D532" s="1">
        <v>8</v>
      </c>
      <c r="E532" s="1">
        <v>117.55215446944599</v>
      </c>
      <c r="F532" s="1">
        <v>1020.5640258789</v>
      </c>
      <c r="G532">
        <f t="shared" si="9"/>
        <v>10.842147133729831</v>
      </c>
    </row>
    <row r="533" spans="1:7" ht="13" x14ac:dyDescent="0.15">
      <c r="A533" s="2">
        <v>44958</v>
      </c>
      <c r="B533" s="1" t="s">
        <v>10</v>
      </c>
      <c r="C533" s="1" t="s">
        <v>9</v>
      </c>
      <c r="D533" s="1">
        <v>23.533229827880799</v>
      </c>
      <c r="E533" s="1">
        <v>197.900212835508</v>
      </c>
      <c r="F533" s="1">
        <v>1820</v>
      </c>
      <c r="G533">
        <f t="shared" si="9"/>
        <v>14.067701050118602</v>
      </c>
    </row>
    <row r="534" spans="1:7" ht="13" x14ac:dyDescent="0.15">
      <c r="A534" s="2">
        <v>44958</v>
      </c>
      <c r="B534" s="1" t="s">
        <v>14</v>
      </c>
      <c r="C534" s="1" t="s">
        <v>9</v>
      </c>
      <c r="D534" s="1">
        <v>23.533229827880799</v>
      </c>
      <c r="E534" s="1">
        <v>197.900212835508</v>
      </c>
      <c r="F534" s="1">
        <v>1820</v>
      </c>
      <c r="G534">
        <f t="shared" si="9"/>
        <v>14.067701050118602</v>
      </c>
    </row>
    <row r="535" spans="1:7" ht="13" x14ac:dyDescent="0.15">
      <c r="A535" s="2">
        <v>44958</v>
      </c>
      <c r="B535" s="1" t="s">
        <v>12</v>
      </c>
      <c r="C535" s="1" t="s">
        <v>9</v>
      </c>
      <c r="D535" s="1">
        <v>23.533229827880799</v>
      </c>
      <c r="E535" s="1">
        <v>197.900212835508</v>
      </c>
      <c r="F535" s="1">
        <v>1820</v>
      </c>
      <c r="G535">
        <f t="shared" si="9"/>
        <v>14.067701050118602</v>
      </c>
    </row>
    <row r="536" spans="1:7" ht="13" x14ac:dyDescent="0.15">
      <c r="A536" s="2">
        <v>44958</v>
      </c>
      <c r="B536" s="1" t="s">
        <v>6</v>
      </c>
      <c r="C536" s="1" t="s">
        <v>9</v>
      </c>
      <c r="D536" s="1">
        <v>23.533229827880799</v>
      </c>
      <c r="E536" s="1">
        <v>197.900212835508</v>
      </c>
      <c r="F536" s="1">
        <v>1820</v>
      </c>
      <c r="G536">
        <f t="shared" si="9"/>
        <v>14.067701050118602</v>
      </c>
    </row>
    <row r="537" spans="1:7" ht="13" x14ac:dyDescent="0.15">
      <c r="A537" s="2">
        <v>44958</v>
      </c>
      <c r="B537" s="1" t="s">
        <v>13</v>
      </c>
      <c r="C537" s="1" t="s">
        <v>9</v>
      </c>
      <c r="D537" s="1">
        <v>23.533229827880799</v>
      </c>
      <c r="E537" s="1">
        <v>197.900212835508</v>
      </c>
      <c r="F537" s="1">
        <v>1820</v>
      </c>
      <c r="G537">
        <f t="shared" si="9"/>
        <v>14.067701050118602</v>
      </c>
    </row>
    <row r="538" spans="1:7" ht="13" x14ac:dyDescent="0.15">
      <c r="A538" s="2">
        <v>44958</v>
      </c>
      <c r="B538" s="1" t="s">
        <v>10</v>
      </c>
      <c r="C538" s="1" t="s">
        <v>21</v>
      </c>
      <c r="D538" s="1">
        <v>75.711982727050696</v>
      </c>
      <c r="E538" s="1">
        <v>833.76816607819899</v>
      </c>
      <c r="F538" s="1">
        <v>4568</v>
      </c>
      <c r="G538">
        <f t="shared" si="9"/>
        <v>28.875044001320568</v>
      </c>
    </row>
    <row r="539" spans="1:7" ht="13" x14ac:dyDescent="0.15">
      <c r="A539" s="2">
        <v>44958</v>
      </c>
      <c r="B539" s="1" t="s">
        <v>14</v>
      </c>
      <c r="C539" s="1" t="s">
        <v>21</v>
      </c>
      <c r="D539" s="1">
        <v>75.711982727050696</v>
      </c>
      <c r="E539" s="1">
        <v>833.76816607819899</v>
      </c>
      <c r="F539" s="1">
        <v>4568</v>
      </c>
      <c r="G539">
        <f t="shared" si="9"/>
        <v>28.875044001320568</v>
      </c>
    </row>
    <row r="540" spans="1:7" ht="13" x14ac:dyDescent="0.15">
      <c r="A540" s="2">
        <v>44958</v>
      </c>
      <c r="B540" s="1" t="s">
        <v>12</v>
      </c>
      <c r="C540" s="1" t="s">
        <v>21</v>
      </c>
      <c r="D540" s="1">
        <v>75.711982727050696</v>
      </c>
      <c r="E540" s="1">
        <v>833.76816607819899</v>
      </c>
      <c r="F540" s="1">
        <v>4568</v>
      </c>
      <c r="G540">
        <f t="shared" si="9"/>
        <v>28.875044001320568</v>
      </c>
    </row>
    <row r="541" spans="1:7" ht="13" x14ac:dyDescent="0.15">
      <c r="A541" s="2">
        <v>44958</v>
      </c>
      <c r="B541" s="1" t="s">
        <v>6</v>
      </c>
      <c r="C541" s="1" t="s">
        <v>21</v>
      </c>
      <c r="D541" s="1">
        <v>75.711982727050696</v>
      </c>
      <c r="E541" s="1">
        <v>833.76816607819899</v>
      </c>
      <c r="F541" s="1">
        <v>4568</v>
      </c>
      <c r="G541">
        <f t="shared" si="9"/>
        <v>28.875044001320568</v>
      </c>
    </row>
    <row r="542" spans="1:7" ht="13" x14ac:dyDescent="0.15">
      <c r="A542" s="2">
        <v>44958</v>
      </c>
      <c r="B542" s="1" t="s">
        <v>13</v>
      </c>
      <c r="C542" s="1" t="s">
        <v>21</v>
      </c>
      <c r="D542" s="1">
        <v>75.711982727050696</v>
      </c>
      <c r="E542" s="1">
        <v>833.76816607819899</v>
      </c>
      <c r="F542" s="1">
        <v>4568</v>
      </c>
      <c r="G542">
        <f t="shared" si="9"/>
        <v>28.875044001320568</v>
      </c>
    </row>
    <row r="543" spans="1:7" ht="13" x14ac:dyDescent="0.15">
      <c r="A543" s="3">
        <v>44896</v>
      </c>
      <c r="B543" s="1" t="s">
        <v>10</v>
      </c>
      <c r="C543" s="1" t="s">
        <v>18</v>
      </c>
      <c r="D543" s="1">
        <v>16.435888290405199</v>
      </c>
      <c r="E543" s="1">
        <v>171.413219024695</v>
      </c>
      <c r="F543" s="1">
        <v>2039.04309082031</v>
      </c>
      <c r="G543">
        <f t="shared" si="9"/>
        <v>13.092487121425592</v>
      </c>
    </row>
    <row r="544" spans="1:7" ht="13" x14ac:dyDescent="0.15">
      <c r="A544" s="3">
        <v>44896</v>
      </c>
      <c r="B544" s="1" t="s">
        <v>14</v>
      </c>
      <c r="C544" s="1" t="s">
        <v>18</v>
      </c>
      <c r="D544" s="1">
        <v>16.435888290405199</v>
      </c>
      <c r="E544" s="1">
        <v>171.413219024695</v>
      </c>
      <c r="F544" s="1">
        <v>2039.04309082031</v>
      </c>
      <c r="G544">
        <f t="shared" si="9"/>
        <v>13.092487121425592</v>
      </c>
    </row>
    <row r="545" spans="1:7" ht="13" x14ac:dyDescent="0.15">
      <c r="A545" s="3">
        <v>44896</v>
      </c>
      <c r="B545" s="1" t="s">
        <v>6</v>
      </c>
      <c r="C545" s="1" t="s">
        <v>18</v>
      </c>
      <c r="D545" s="1">
        <v>16.435888290405199</v>
      </c>
      <c r="E545" s="1">
        <v>171.413219024695</v>
      </c>
      <c r="F545" s="1">
        <v>2039.04309082031</v>
      </c>
      <c r="G545">
        <f t="shared" si="9"/>
        <v>13.092487121425592</v>
      </c>
    </row>
    <row r="546" spans="1:7" ht="13" x14ac:dyDescent="0.15">
      <c r="A546" s="3">
        <v>44896</v>
      </c>
      <c r="B546" s="1" t="s">
        <v>13</v>
      </c>
      <c r="C546" s="1" t="s">
        <v>18</v>
      </c>
      <c r="D546" s="1">
        <v>16.435888290405199</v>
      </c>
      <c r="E546" s="1">
        <v>171.413219024695</v>
      </c>
      <c r="F546" s="1">
        <v>2039.04309082031</v>
      </c>
      <c r="G546">
        <f t="shared" si="9"/>
        <v>13.092487121425592</v>
      </c>
    </row>
    <row r="547" spans="1:7" ht="13" x14ac:dyDescent="0.15">
      <c r="A547" s="3">
        <v>44896</v>
      </c>
      <c r="B547" s="1" t="s">
        <v>12</v>
      </c>
      <c r="C547" s="1" t="s">
        <v>18</v>
      </c>
      <c r="D547" s="1">
        <v>16.435888290405199</v>
      </c>
      <c r="E547" s="1">
        <v>171.413219024695</v>
      </c>
      <c r="F547" s="1">
        <v>2039.04309082031</v>
      </c>
      <c r="G547">
        <f t="shared" si="9"/>
        <v>13.092487121425592</v>
      </c>
    </row>
    <row r="548" spans="1:7" ht="13" x14ac:dyDescent="0.15">
      <c r="A548" s="3">
        <v>44896</v>
      </c>
      <c r="B548" s="1" t="s">
        <v>10</v>
      </c>
      <c r="C548" s="1" t="s">
        <v>15</v>
      </c>
      <c r="D548" s="1">
        <v>25</v>
      </c>
      <c r="E548" s="1">
        <v>206.11037495672301</v>
      </c>
      <c r="F548" s="1">
        <v>2039.04309082031</v>
      </c>
      <c r="G548">
        <f t="shared" si="9"/>
        <v>14.356544673309209</v>
      </c>
    </row>
    <row r="549" spans="1:7" ht="13" x14ac:dyDescent="0.15">
      <c r="A549" s="3">
        <v>44896</v>
      </c>
      <c r="B549" s="1" t="s">
        <v>14</v>
      </c>
      <c r="C549" s="1" t="s">
        <v>15</v>
      </c>
      <c r="D549" s="1">
        <v>25</v>
      </c>
      <c r="E549" s="1">
        <v>206.11037495672301</v>
      </c>
      <c r="F549" s="1">
        <v>2039.04309082031</v>
      </c>
      <c r="G549">
        <f t="shared" si="9"/>
        <v>14.356544673309209</v>
      </c>
    </row>
    <row r="550" spans="1:7" ht="13" x14ac:dyDescent="0.15">
      <c r="A550" s="3">
        <v>44896</v>
      </c>
      <c r="B550" s="1" t="s">
        <v>6</v>
      </c>
      <c r="C550" s="1" t="s">
        <v>15</v>
      </c>
      <c r="D550" s="1">
        <v>25</v>
      </c>
      <c r="E550" s="1">
        <v>206.11037495672301</v>
      </c>
      <c r="F550" s="1">
        <v>2039.04309082031</v>
      </c>
      <c r="G550">
        <f t="shared" si="9"/>
        <v>14.356544673309209</v>
      </c>
    </row>
    <row r="551" spans="1:7" ht="13" x14ac:dyDescent="0.15">
      <c r="A551" s="3">
        <v>44896</v>
      </c>
      <c r="B551" s="1" t="s">
        <v>13</v>
      </c>
      <c r="C551" s="1" t="s">
        <v>15</v>
      </c>
      <c r="D551" s="1">
        <v>25</v>
      </c>
      <c r="E551" s="1">
        <v>206.11037495672301</v>
      </c>
      <c r="F551" s="1">
        <v>2039.04309082031</v>
      </c>
      <c r="G551">
        <f t="shared" si="9"/>
        <v>14.356544673309209</v>
      </c>
    </row>
    <row r="552" spans="1:7" ht="13" x14ac:dyDescent="0.15">
      <c r="A552" s="3">
        <v>44896</v>
      </c>
      <c r="B552" s="1" t="s">
        <v>12</v>
      </c>
      <c r="C552" s="1" t="s">
        <v>15</v>
      </c>
      <c r="D552" s="1">
        <v>25</v>
      </c>
      <c r="E552" s="1">
        <v>206.11037495672301</v>
      </c>
      <c r="F552" s="1">
        <v>2039.04309082031</v>
      </c>
      <c r="G552">
        <f t="shared" si="9"/>
        <v>14.356544673309209</v>
      </c>
    </row>
    <row r="553" spans="1:7" ht="13" x14ac:dyDescent="0.15">
      <c r="A553" s="3">
        <v>44896</v>
      </c>
      <c r="B553" s="1" t="s">
        <v>10</v>
      </c>
      <c r="C553" s="1" t="s">
        <v>7</v>
      </c>
      <c r="D553" s="1">
        <v>33</v>
      </c>
      <c r="E553" s="1">
        <v>260.97519017019999</v>
      </c>
      <c r="F553" s="1">
        <v>2039.04309082031</v>
      </c>
      <c r="G553">
        <f t="shared" si="9"/>
        <v>16.154726558199616</v>
      </c>
    </row>
    <row r="554" spans="1:7" ht="13" x14ac:dyDescent="0.15">
      <c r="A554" s="3">
        <v>44896</v>
      </c>
      <c r="B554" s="1" t="s">
        <v>14</v>
      </c>
      <c r="C554" s="1" t="s">
        <v>7</v>
      </c>
      <c r="D554" s="1">
        <v>33</v>
      </c>
      <c r="E554" s="1">
        <v>260.97519017019999</v>
      </c>
      <c r="F554" s="1">
        <v>2039.04309082031</v>
      </c>
      <c r="G554">
        <f t="shared" si="9"/>
        <v>16.154726558199616</v>
      </c>
    </row>
    <row r="555" spans="1:7" ht="13" x14ac:dyDescent="0.15">
      <c r="A555" s="3">
        <v>44896</v>
      </c>
      <c r="B555" s="1" t="s">
        <v>6</v>
      </c>
      <c r="C555" s="1" t="s">
        <v>7</v>
      </c>
      <c r="D555" s="1">
        <v>33</v>
      </c>
      <c r="E555" s="1">
        <v>260.97519017019999</v>
      </c>
      <c r="F555" s="1">
        <v>2039.04309082031</v>
      </c>
      <c r="G555">
        <f t="shared" si="9"/>
        <v>16.154726558199616</v>
      </c>
    </row>
    <row r="556" spans="1:7" ht="13" x14ac:dyDescent="0.15">
      <c r="A556" s="3">
        <v>44896</v>
      </c>
      <c r="B556" s="1" t="s">
        <v>13</v>
      </c>
      <c r="C556" s="1" t="s">
        <v>7</v>
      </c>
      <c r="D556" s="1">
        <v>33</v>
      </c>
      <c r="E556" s="1">
        <v>260.97519017019999</v>
      </c>
      <c r="F556" s="1">
        <v>2039.04309082031</v>
      </c>
      <c r="G556">
        <f t="shared" si="9"/>
        <v>16.154726558199616</v>
      </c>
    </row>
    <row r="557" spans="1:7" ht="13" x14ac:dyDescent="0.15">
      <c r="A557" s="3">
        <v>44896</v>
      </c>
      <c r="B557" s="1" t="s">
        <v>12</v>
      </c>
      <c r="C557" s="1" t="s">
        <v>7</v>
      </c>
      <c r="D557" s="1">
        <v>33</v>
      </c>
      <c r="E557" s="1">
        <v>260.97519017019999</v>
      </c>
      <c r="F557" s="1">
        <v>2039.04309082031</v>
      </c>
      <c r="G557">
        <f t="shared" si="9"/>
        <v>16.154726558199616</v>
      </c>
    </row>
    <row r="558" spans="1:7" ht="13" x14ac:dyDescent="0.15">
      <c r="A558" s="2">
        <v>44958</v>
      </c>
      <c r="B558" s="1" t="s">
        <v>10</v>
      </c>
      <c r="C558" s="1" t="s">
        <v>18</v>
      </c>
      <c r="D558" s="1">
        <v>18.578865051269499</v>
      </c>
      <c r="E558" s="1">
        <v>180.40723950854701</v>
      </c>
      <c r="F558" s="1">
        <v>1820</v>
      </c>
      <c r="G558">
        <f t="shared" si="9"/>
        <v>13.431576210875141</v>
      </c>
    </row>
    <row r="559" spans="1:7" ht="13" x14ac:dyDescent="0.15">
      <c r="A559" s="2">
        <v>44958</v>
      </c>
      <c r="B559" s="1" t="s">
        <v>14</v>
      </c>
      <c r="C559" s="1" t="s">
        <v>18</v>
      </c>
      <c r="D559" s="1">
        <v>18.578865051269499</v>
      </c>
      <c r="E559" s="1">
        <v>180.40723950854701</v>
      </c>
      <c r="F559" s="1">
        <v>1820</v>
      </c>
      <c r="G559">
        <f t="shared" si="9"/>
        <v>13.431576210875141</v>
      </c>
    </row>
    <row r="560" spans="1:7" ht="13" x14ac:dyDescent="0.15">
      <c r="A560" s="2">
        <v>44958</v>
      </c>
      <c r="B560" s="1" t="s">
        <v>12</v>
      </c>
      <c r="C560" s="1" t="s">
        <v>18</v>
      </c>
      <c r="D560" s="1">
        <v>18.578865051269499</v>
      </c>
      <c r="E560" s="1">
        <v>180.40723950854701</v>
      </c>
      <c r="F560" s="1">
        <v>1820</v>
      </c>
      <c r="G560">
        <f t="shared" si="9"/>
        <v>13.431576210875141</v>
      </c>
    </row>
    <row r="561" spans="1:7" ht="13" x14ac:dyDescent="0.15">
      <c r="A561" s="2">
        <v>44958</v>
      </c>
      <c r="B561" s="1" t="s">
        <v>6</v>
      </c>
      <c r="C561" s="1" t="s">
        <v>18</v>
      </c>
      <c r="D561" s="1">
        <v>18.578865051269499</v>
      </c>
      <c r="E561" s="1">
        <v>180.40723950854701</v>
      </c>
      <c r="F561" s="1">
        <v>1820</v>
      </c>
      <c r="G561">
        <f t="shared" si="9"/>
        <v>13.431576210875141</v>
      </c>
    </row>
    <row r="562" spans="1:7" ht="13" x14ac:dyDescent="0.15">
      <c r="A562" s="2">
        <v>44958</v>
      </c>
      <c r="B562" s="1" t="s">
        <v>13</v>
      </c>
      <c r="C562" s="1" t="s">
        <v>18</v>
      </c>
      <c r="D562" s="1">
        <v>18.578865051269499</v>
      </c>
      <c r="E562" s="1">
        <v>180.40723950854701</v>
      </c>
      <c r="F562" s="1">
        <v>1820</v>
      </c>
      <c r="G562">
        <f t="shared" si="9"/>
        <v>13.431576210875141</v>
      </c>
    </row>
    <row r="563" spans="1:7" ht="13" x14ac:dyDescent="0.15">
      <c r="A563" s="2">
        <v>44986</v>
      </c>
      <c r="B563" s="1" t="s">
        <v>6</v>
      </c>
      <c r="C563" s="1" t="s">
        <v>22</v>
      </c>
      <c r="D563" s="1">
        <v>93.196271896362305</v>
      </c>
      <c r="E563" s="1">
        <v>344.68717840331999</v>
      </c>
      <c r="F563" s="1">
        <v>639.11721801757801</v>
      </c>
      <c r="G563">
        <f t="shared" si="9"/>
        <v>18.56575283696624</v>
      </c>
    </row>
    <row r="564" spans="1:7" ht="13" x14ac:dyDescent="0.15">
      <c r="A564" s="3">
        <v>44835</v>
      </c>
      <c r="B564" s="1" t="s">
        <v>12</v>
      </c>
      <c r="C564" s="1" t="s">
        <v>9</v>
      </c>
      <c r="D564" s="1">
        <v>20.6301956176757</v>
      </c>
      <c r="E564" s="1">
        <v>172.36877358276999</v>
      </c>
      <c r="F564" s="1">
        <v>799.87561035156205</v>
      </c>
      <c r="G564">
        <f t="shared" si="9"/>
        <v>13.128928881777446</v>
      </c>
    </row>
    <row r="565" spans="1:7" ht="13" x14ac:dyDescent="0.15">
      <c r="A565" s="3">
        <v>44835</v>
      </c>
      <c r="B565" s="1" t="s">
        <v>6</v>
      </c>
      <c r="C565" s="1" t="s">
        <v>9</v>
      </c>
      <c r="D565" s="1">
        <v>20.6301956176757</v>
      </c>
      <c r="E565" s="1">
        <v>172.36877358276999</v>
      </c>
      <c r="F565" s="1">
        <v>799.87561035156205</v>
      </c>
      <c r="G565">
        <f t="shared" si="9"/>
        <v>13.128928881777446</v>
      </c>
    </row>
    <row r="566" spans="1:7" ht="13" x14ac:dyDescent="0.15">
      <c r="A566" s="3">
        <v>44835</v>
      </c>
      <c r="B566" s="1" t="s">
        <v>13</v>
      </c>
      <c r="C566" s="1" t="s">
        <v>9</v>
      </c>
      <c r="D566" s="1">
        <v>20.6301956176757</v>
      </c>
      <c r="E566" s="1">
        <v>172.36877358276999</v>
      </c>
      <c r="F566" s="1">
        <v>799.87561035156205</v>
      </c>
      <c r="G566">
        <f t="shared" si="9"/>
        <v>13.128928881777446</v>
      </c>
    </row>
    <row r="567" spans="1:7" ht="13" x14ac:dyDescent="0.15">
      <c r="A567" s="3">
        <v>44835</v>
      </c>
      <c r="B567" s="1" t="s">
        <v>14</v>
      </c>
      <c r="C567" s="1" t="s">
        <v>9</v>
      </c>
      <c r="D567" s="1">
        <v>20.6301956176757</v>
      </c>
      <c r="E567" s="1">
        <v>172.36877358276999</v>
      </c>
      <c r="F567" s="1">
        <v>799.87561035156205</v>
      </c>
      <c r="G567">
        <f t="shared" si="9"/>
        <v>13.128928881777446</v>
      </c>
    </row>
    <row r="568" spans="1:7" ht="13" x14ac:dyDescent="0.15">
      <c r="A568" s="3">
        <v>44835</v>
      </c>
      <c r="B568" s="1" t="s">
        <v>10</v>
      </c>
      <c r="C568" s="1" t="s">
        <v>9</v>
      </c>
      <c r="D568" s="1">
        <v>20.6301956176757</v>
      </c>
      <c r="E568" s="1">
        <v>172.36877358276999</v>
      </c>
      <c r="F568" s="1">
        <v>799.87561035156205</v>
      </c>
      <c r="G568">
        <f t="shared" si="9"/>
        <v>13.128928881777446</v>
      </c>
    </row>
    <row r="569" spans="1:7" ht="13" x14ac:dyDescent="0.15">
      <c r="A569" s="2">
        <v>44713</v>
      </c>
      <c r="B569" s="1" t="s">
        <v>6</v>
      </c>
      <c r="C569" s="1" t="s">
        <v>23</v>
      </c>
      <c r="D569" s="1">
        <v>41</v>
      </c>
      <c r="E569" s="1">
        <v>327.66284999558599</v>
      </c>
      <c r="F569" s="1">
        <v>1488.5</v>
      </c>
      <c r="G569">
        <f t="shared" si="9"/>
        <v>18.101459885754686</v>
      </c>
    </row>
    <row r="570" spans="1:7" ht="13" x14ac:dyDescent="0.15">
      <c r="A570" s="2">
        <v>44713</v>
      </c>
      <c r="B570" s="1" t="s">
        <v>12</v>
      </c>
      <c r="C570" s="1" t="s">
        <v>23</v>
      </c>
      <c r="D570" s="1">
        <v>41</v>
      </c>
      <c r="E570" s="1">
        <v>327.66284999558599</v>
      </c>
      <c r="F570" s="1">
        <v>1488.5</v>
      </c>
      <c r="G570">
        <f t="shared" si="9"/>
        <v>18.101459885754686</v>
      </c>
    </row>
    <row r="571" spans="1:7" ht="13" x14ac:dyDescent="0.15">
      <c r="A571" s="2">
        <v>44713</v>
      </c>
      <c r="B571" s="1" t="s">
        <v>14</v>
      </c>
      <c r="C571" s="1" t="s">
        <v>23</v>
      </c>
      <c r="D571" s="1">
        <v>41</v>
      </c>
      <c r="E571" s="1">
        <v>327.66284999558599</v>
      </c>
      <c r="F571" s="1">
        <v>1488.5</v>
      </c>
      <c r="G571">
        <f t="shared" si="9"/>
        <v>18.101459885754686</v>
      </c>
    </row>
    <row r="572" spans="1:7" ht="13" x14ac:dyDescent="0.15">
      <c r="A572" s="2">
        <v>44713</v>
      </c>
      <c r="B572" s="1" t="s">
        <v>13</v>
      </c>
      <c r="C572" s="1" t="s">
        <v>23</v>
      </c>
      <c r="D572" s="1">
        <v>41</v>
      </c>
      <c r="E572" s="1">
        <v>327.66284999558599</v>
      </c>
      <c r="F572" s="1">
        <v>1488.5</v>
      </c>
      <c r="G572">
        <f t="shared" si="9"/>
        <v>18.101459885754686</v>
      </c>
    </row>
    <row r="573" spans="1:7" ht="13" x14ac:dyDescent="0.15">
      <c r="A573" s="2">
        <v>44713</v>
      </c>
      <c r="B573" s="1" t="s">
        <v>10</v>
      </c>
      <c r="C573" s="1" t="s">
        <v>23</v>
      </c>
      <c r="D573" s="1">
        <v>41</v>
      </c>
      <c r="E573" s="1">
        <v>327.66284999558599</v>
      </c>
      <c r="F573" s="1">
        <v>1488.5</v>
      </c>
      <c r="G573">
        <f t="shared" si="9"/>
        <v>18.101459885754686</v>
      </c>
    </row>
    <row r="574" spans="1:7" ht="13" x14ac:dyDescent="0.15">
      <c r="A574" s="2">
        <v>44562</v>
      </c>
      <c r="B574" s="1" t="s">
        <v>14</v>
      </c>
      <c r="C574" s="1" t="s">
        <v>21</v>
      </c>
      <c r="D574" s="1">
        <v>71.048103332519503</v>
      </c>
      <c r="E574" s="1">
        <v>698.83867205545505</v>
      </c>
      <c r="F574" s="1">
        <v>3112.5</v>
      </c>
      <c r="G574">
        <f t="shared" si="9"/>
        <v>26.435556965107715</v>
      </c>
    </row>
    <row r="575" spans="1:7" ht="13" x14ac:dyDescent="0.15">
      <c r="A575" s="2">
        <v>44562</v>
      </c>
      <c r="B575" s="1" t="s">
        <v>6</v>
      </c>
      <c r="C575" s="1" t="s">
        <v>21</v>
      </c>
      <c r="D575" s="1">
        <v>71.048103332519503</v>
      </c>
      <c r="E575" s="1">
        <v>698.83867205545505</v>
      </c>
      <c r="F575" s="1">
        <v>3112.5</v>
      </c>
      <c r="G575">
        <f t="shared" si="9"/>
        <v>26.435556965107715</v>
      </c>
    </row>
    <row r="576" spans="1:7" ht="13" x14ac:dyDescent="0.15">
      <c r="A576" s="2">
        <v>44562</v>
      </c>
      <c r="B576" s="1" t="s">
        <v>13</v>
      </c>
      <c r="C576" s="1" t="s">
        <v>21</v>
      </c>
      <c r="D576" s="1">
        <v>71.048103332519503</v>
      </c>
      <c r="E576" s="1">
        <v>698.83867205545505</v>
      </c>
      <c r="F576" s="1">
        <v>3112.5</v>
      </c>
      <c r="G576">
        <f t="shared" si="9"/>
        <v>26.435556965107715</v>
      </c>
    </row>
    <row r="577" spans="1:7" ht="13" x14ac:dyDescent="0.15">
      <c r="A577" s="2">
        <v>44562</v>
      </c>
      <c r="B577" s="1" t="s">
        <v>10</v>
      </c>
      <c r="C577" s="1" t="s">
        <v>21</v>
      </c>
      <c r="D577" s="1">
        <v>71.048103332519503</v>
      </c>
      <c r="E577" s="1">
        <v>698.83867205545505</v>
      </c>
      <c r="F577" s="1">
        <v>3112.5</v>
      </c>
      <c r="G577">
        <f t="shared" si="9"/>
        <v>26.435556965107715</v>
      </c>
    </row>
    <row r="578" spans="1:7" ht="13" x14ac:dyDescent="0.15">
      <c r="A578" s="2">
        <v>44562</v>
      </c>
      <c r="B578" s="1" t="s">
        <v>12</v>
      </c>
      <c r="C578" s="1" t="s">
        <v>21</v>
      </c>
      <c r="D578" s="1">
        <v>71.048103332519503</v>
      </c>
      <c r="E578" s="1">
        <v>698.83867205545505</v>
      </c>
      <c r="F578" s="1">
        <v>3112.5</v>
      </c>
      <c r="G578">
        <f t="shared" si="9"/>
        <v>26.435556965107715</v>
      </c>
    </row>
    <row r="579" spans="1:7" ht="13" x14ac:dyDescent="0.15">
      <c r="A579" s="2">
        <v>44927</v>
      </c>
      <c r="B579" s="1" t="s">
        <v>13</v>
      </c>
      <c r="C579" s="1" t="s">
        <v>7</v>
      </c>
      <c r="D579" s="1">
        <v>33</v>
      </c>
      <c r="E579" s="1">
        <v>278.23531186371599</v>
      </c>
      <c r="F579" s="1">
        <v>3760</v>
      </c>
      <c r="G579">
        <f t="shared" ref="G579:G642" si="10">SQRT(E579)</f>
        <v>16.680387041784012</v>
      </c>
    </row>
    <row r="580" spans="1:7" ht="13" x14ac:dyDescent="0.15">
      <c r="A580" s="2">
        <v>44927</v>
      </c>
      <c r="B580" s="1" t="s">
        <v>10</v>
      </c>
      <c r="C580" s="1" t="s">
        <v>7</v>
      </c>
      <c r="D580" s="1">
        <v>33</v>
      </c>
      <c r="E580" s="1">
        <v>278.23531186371599</v>
      </c>
      <c r="F580" s="1">
        <v>3760</v>
      </c>
      <c r="G580">
        <f t="shared" si="10"/>
        <v>16.680387041784012</v>
      </c>
    </row>
    <row r="581" spans="1:7" ht="13" x14ac:dyDescent="0.15">
      <c r="A581" s="2">
        <v>44927</v>
      </c>
      <c r="B581" s="1" t="s">
        <v>6</v>
      </c>
      <c r="C581" s="1" t="s">
        <v>7</v>
      </c>
      <c r="D581" s="1">
        <v>33</v>
      </c>
      <c r="E581" s="1">
        <v>278.23531186371599</v>
      </c>
      <c r="F581" s="1">
        <v>3760</v>
      </c>
      <c r="G581">
        <f t="shared" si="10"/>
        <v>16.680387041784012</v>
      </c>
    </row>
    <row r="582" spans="1:7" ht="13" x14ac:dyDescent="0.15">
      <c r="A582" s="2">
        <v>44927</v>
      </c>
      <c r="B582" s="1" t="s">
        <v>14</v>
      </c>
      <c r="C582" s="1" t="s">
        <v>7</v>
      </c>
      <c r="D582" s="1">
        <v>33</v>
      </c>
      <c r="E582" s="1">
        <v>278.23531186371599</v>
      </c>
      <c r="F582" s="1">
        <v>3760</v>
      </c>
      <c r="G582">
        <f t="shared" si="10"/>
        <v>16.680387041784012</v>
      </c>
    </row>
    <row r="583" spans="1:7" ht="13" x14ac:dyDescent="0.15">
      <c r="A583" s="2">
        <v>44927</v>
      </c>
      <c r="B583" s="1" t="s">
        <v>12</v>
      </c>
      <c r="C583" s="1" t="s">
        <v>7</v>
      </c>
      <c r="D583" s="1">
        <v>33</v>
      </c>
      <c r="E583" s="1">
        <v>278.23531186371599</v>
      </c>
      <c r="F583" s="1">
        <v>3760</v>
      </c>
      <c r="G583">
        <f t="shared" si="10"/>
        <v>16.680387041784012</v>
      </c>
    </row>
    <row r="584" spans="1:7" ht="13" x14ac:dyDescent="0.15">
      <c r="A584" s="2">
        <v>44652</v>
      </c>
      <c r="B584" s="1" t="s">
        <v>13</v>
      </c>
      <c r="C584" s="1" t="s">
        <v>19</v>
      </c>
      <c r="D584" s="1">
        <v>43.635046872225601</v>
      </c>
      <c r="E584" s="1">
        <v>458.00773657230002</v>
      </c>
      <c r="F584" s="1">
        <v>3147.90869140625</v>
      </c>
      <c r="G584">
        <f t="shared" si="10"/>
        <v>21.401115311410759</v>
      </c>
    </row>
    <row r="585" spans="1:7" ht="13" x14ac:dyDescent="0.15">
      <c r="A585" s="2">
        <v>44652</v>
      </c>
      <c r="B585" s="1" t="s">
        <v>6</v>
      </c>
      <c r="C585" s="1" t="s">
        <v>19</v>
      </c>
      <c r="D585" s="1">
        <v>43.635046872225601</v>
      </c>
      <c r="E585" s="1">
        <v>458.00773657230002</v>
      </c>
      <c r="F585" s="1">
        <v>3147.90869140625</v>
      </c>
      <c r="G585">
        <f t="shared" si="10"/>
        <v>21.401115311410759</v>
      </c>
    </row>
    <row r="586" spans="1:7" ht="13" x14ac:dyDescent="0.15">
      <c r="A586" s="2">
        <v>44652</v>
      </c>
      <c r="B586" s="1" t="s">
        <v>12</v>
      </c>
      <c r="C586" s="1" t="s">
        <v>19</v>
      </c>
      <c r="D586" s="1">
        <v>43.635046872225601</v>
      </c>
      <c r="E586" s="1">
        <v>458.00773657230002</v>
      </c>
      <c r="F586" s="1">
        <v>3147.90869140625</v>
      </c>
      <c r="G586">
        <f t="shared" si="10"/>
        <v>21.401115311410759</v>
      </c>
    </row>
    <row r="587" spans="1:7" ht="13" x14ac:dyDescent="0.15">
      <c r="A587" s="2">
        <v>44652</v>
      </c>
      <c r="B587" s="1" t="s">
        <v>10</v>
      </c>
      <c r="C587" s="1" t="s">
        <v>19</v>
      </c>
      <c r="D587" s="1">
        <v>43.635046872225601</v>
      </c>
      <c r="E587" s="1">
        <v>458.00773657230002</v>
      </c>
      <c r="F587" s="1">
        <v>3147.90869140625</v>
      </c>
      <c r="G587">
        <f t="shared" si="10"/>
        <v>21.401115311410759</v>
      </c>
    </row>
    <row r="588" spans="1:7" ht="13" x14ac:dyDescent="0.15">
      <c r="A588" s="2">
        <v>44652</v>
      </c>
      <c r="B588" s="1" t="s">
        <v>14</v>
      </c>
      <c r="C588" s="1" t="s">
        <v>19</v>
      </c>
      <c r="D588" s="1">
        <v>43.635046872225601</v>
      </c>
      <c r="E588" s="1">
        <v>458.00773657230002</v>
      </c>
      <c r="F588" s="1">
        <v>3147.90869140625</v>
      </c>
      <c r="G588">
        <f t="shared" si="10"/>
        <v>21.401115311410759</v>
      </c>
    </row>
    <row r="589" spans="1:7" ht="13" x14ac:dyDescent="0.15">
      <c r="A589" s="3">
        <v>44896</v>
      </c>
      <c r="B589" s="1" t="s">
        <v>10</v>
      </c>
      <c r="C589" s="1" t="s">
        <v>23</v>
      </c>
      <c r="D589" s="1">
        <v>41</v>
      </c>
      <c r="E589" s="1">
        <v>347.564984658448</v>
      </c>
      <c r="F589" s="1">
        <v>2039.04309082031</v>
      </c>
      <c r="G589">
        <f t="shared" si="10"/>
        <v>18.643094825120855</v>
      </c>
    </row>
    <row r="590" spans="1:7" ht="13" x14ac:dyDescent="0.15">
      <c r="A590" s="3">
        <v>44896</v>
      </c>
      <c r="B590" s="1" t="s">
        <v>14</v>
      </c>
      <c r="C590" s="1" t="s">
        <v>23</v>
      </c>
      <c r="D590" s="1">
        <v>41</v>
      </c>
      <c r="E590" s="1">
        <v>347.564984658448</v>
      </c>
      <c r="F590" s="1">
        <v>2039.04309082031</v>
      </c>
      <c r="G590">
        <f t="shared" si="10"/>
        <v>18.643094825120855</v>
      </c>
    </row>
    <row r="591" spans="1:7" ht="13" x14ac:dyDescent="0.15">
      <c r="A591" s="3">
        <v>44896</v>
      </c>
      <c r="B591" s="1" t="s">
        <v>6</v>
      </c>
      <c r="C591" s="1" t="s">
        <v>23</v>
      </c>
      <c r="D591" s="1">
        <v>41</v>
      </c>
      <c r="E591" s="1">
        <v>347.564984658448</v>
      </c>
      <c r="F591" s="1">
        <v>2039.04309082031</v>
      </c>
      <c r="G591">
        <f t="shared" si="10"/>
        <v>18.643094825120855</v>
      </c>
    </row>
    <row r="592" spans="1:7" ht="13" x14ac:dyDescent="0.15">
      <c r="A592" s="3">
        <v>44896</v>
      </c>
      <c r="B592" s="1" t="s">
        <v>13</v>
      </c>
      <c r="C592" s="1" t="s">
        <v>23</v>
      </c>
      <c r="D592" s="1">
        <v>41</v>
      </c>
      <c r="E592" s="1">
        <v>347.564984658448</v>
      </c>
      <c r="F592" s="1">
        <v>2039.04309082031</v>
      </c>
      <c r="G592">
        <f t="shared" si="10"/>
        <v>18.643094825120855</v>
      </c>
    </row>
    <row r="593" spans="1:7" ht="13" x14ac:dyDescent="0.15">
      <c r="A593" s="3">
        <v>44896</v>
      </c>
      <c r="B593" s="1" t="s">
        <v>12</v>
      </c>
      <c r="C593" s="1" t="s">
        <v>23</v>
      </c>
      <c r="D593" s="1">
        <v>41</v>
      </c>
      <c r="E593" s="1">
        <v>347.564984658448</v>
      </c>
      <c r="F593" s="1">
        <v>2039.04309082031</v>
      </c>
      <c r="G593">
        <f t="shared" si="10"/>
        <v>18.643094825120855</v>
      </c>
    </row>
    <row r="594" spans="1:7" ht="13" x14ac:dyDescent="0.15">
      <c r="A594" s="3">
        <v>44896</v>
      </c>
      <c r="B594" s="1" t="s">
        <v>10</v>
      </c>
      <c r="C594" s="1" t="s">
        <v>9</v>
      </c>
      <c r="D594" s="1">
        <v>21.131856918334901</v>
      </c>
      <c r="E594" s="1">
        <v>187.46318050491101</v>
      </c>
      <c r="F594" s="1">
        <v>2039.04309082031</v>
      </c>
      <c r="G594">
        <f t="shared" si="10"/>
        <v>13.691719413751912</v>
      </c>
    </row>
    <row r="595" spans="1:7" ht="13" x14ac:dyDescent="0.15">
      <c r="A595" s="3">
        <v>44896</v>
      </c>
      <c r="B595" s="1" t="s">
        <v>14</v>
      </c>
      <c r="C595" s="1" t="s">
        <v>9</v>
      </c>
      <c r="D595" s="1">
        <v>21.131856918334901</v>
      </c>
      <c r="E595" s="1">
        <v>187.46318050491101</v>
      </c>
      <c r="F595" s="1">
        <v>2039.04309082031</v>
      </c>
      <c r="G595">
        <f t="shared" si="10"/>
        <v>13.691719413751912</v>
      </c>
    </row>
    <row r="596" spans="1:7" ht="13" x14ac:dyDescent="0.15">
      <c r="A596" s="3">
        <v>44896</v>
      </c>
      <c r="B596" s="1" t="s">
        <v>6</v>
      </c>
      <c r="C596" s="1" t="s">
        <v>9</v>
      </c>
      <c r="D596" s="1">
        <v>21.131856918334901</v>
      </c>
      <c r="E596" s="1">
        <v>187.46318050491101</v>
      </c>
      <c r="F596" s="1">
        <v>2039.04309082031</v>
      </c>
      <c r="G596">
        <f t="shared" si="10"/>
        <v>13.691719413751912</v>
      </c>
    </row>
    <row r="597" spans="1:7" ht="13" x14ac:dyDescent="0.15">
      <c r="A597" s="3">
        <v>44896</v>
      </c>
      <c r="B597" s="1" t="s">
        <v>13</v>
      </c>
      <c r="C597" s="1" t="s">
        <v>9</v>
      </c>
      <c r="D597" s="1">
        <v>21.131856918334901</v>
      </c>
      <c r="E597" s="1">
        <v>187.46318050491101</v>
      </c>
      <c r="F597" s="1">
        <v>2039.04309082031</v>
      </c>
      <c r="G597">
        <f t="shared" si="10"/>
        <v>13.691719413751912</v>
      </c>
    </row>
    <row r="598" spans="1:7" ht="13" x14ac:dyDescent="0.15">
      <c r="A598" s="3">
        <v>44896</v>
      </c>
      <c r="B598" s="1" t="s">
        <v>12</v>
      </c>
      <c r="C598" s="1" t="s">
        <v>9</v>
      </c>
      <c r="D598" s="1">
        <v>21.131856918334901</v>
      </c>
      <c r="E598" s="1">
        <v>187.46318050491101</v>
      </c>
      <c r="F598" s="1">
        <v>2039.04309082031</v>
      </c>
      <c r="G598">
        <f t="shared" si="10"/>
        <v>13.691719413751912</v>
      </c>
    </row>
    <row r="599" spans="1:7" ht="13" x14ac:dyDescent="0.15">
      <c r="A599" s="2">
        <v>44562</v>
      </c>
      <c r="B599" s="1" t="s">
        <v>14</v>
      </c>
      <c r="C599" s="1" t="s">
        <v>19</v>
      </c>
      <c r="D599" s="1">
        <v>66.922064208984295</v>
      </c>
      <c r="E599" s="1">
        <v>422.10263430159102</v>
      </c>
      <c r="F599" s="1">
        <v>1879.5</v>
      </c>
      <c r="G599">
        <f t="shared" si="10"/>
        <v>20.545136512118653</v>
      </c>
    </row>
    <row r="600" spans="1:7" ht="13" x14ac:dyDescent="0.15">
      <c r="A600" s="2">
        <v>44562</v>
      </c>
      <c r="B600" s="1" t="s">
        <v>6</v>
      </c>
      <c r="C600" s="1" t="s">
        <v>19</v>
      </c>
      <c r="D600" s="1">
        <v>66.922064208984295</v>
      </c>
      <c r="E600" s="1">
        <v>422.10263430159102</v>
      </c>
      <c r="F600" s="1">
        <v>1879.5</v>
      </c>
      <c r="G600">
        <f t="shared" si="10"/>
        <v>20.545136512118653</v>
      </c>
    </row>
    <row r="601" spans="1:7" ht="13" x14ac:dyDescent="0.15">
      <c r="A601" s="2">
        <v>44562</v>
      </c>
      <c r="B601" s="1" t="s">
        <v>13</v>
      </c>
      <c r="C601" s="1" t="s">
        <v>19</v>
      </c>
      <c r="D601" s="1">
        <v>66.922064208984295</v>
      </c>
      <c r="E601" s="1">
        <v>422.10263430159102</v>
      </c>
      <c r="F601" s="1">
        <v>1879.5</v>
      </c>
      <c r="G601">
        <f t="shared" si="10"/>
        <v>20.545136512118653</v>
      </c>
    </row>
    <row r="602" spans="1:7" ht="13" x14ac:dyDescent="0.15">
      <c r="A602" s="2">
        <v>44562</v>
      </c>
      <c r="B602" s="1" t="s">
        <v>10</v>
      </c>
      <c r="C602" s="1" t="s">
        <v>19</v>
      </c>
      <c r="D602" s="1">
        <v>66.922064208984295</v>
      </c>
      <c r="E602" s="1">
        <v>422.10263430159102</v>
      </c>
      <c r="F602" s="1">
        <v>1879.5</v>
      </c>
      <c r="G602">
        <f t="shared" si="10"/>
        <v>20.545136512118653</v>
      </c>
    </row>
    <row r="603" spans="1:7" ht="13" x14ac:dyDescent="0.15">
      <c r="A603" s="2">
        <v>44562</v>
      </c>
      <c r="B603" s="1" t="s">
        <v>12</v>
      </c>
      <c r="C603" s="1" t="s">
        <v>19</v>
      </c>
      <c r="D603" s="1">
        <v>66.922064208984295</v>
      </c>
      <c r="E603" s="1">
        <v>422.10263430159102</v>
      </c>
      <c r="F603" s="1">
        <v>1879.5</v>
      </c>
      <c r="G603">
        <f t="shared" si="10"/>
        <v>20.545136512118653</v>
      </c>
    </row>
    <row r="604" spans="1:7" ht="13" x14ac:dyDescent="0.15">
      <c r="A604" s="3">
        <v>44835</v>
      </c>
      <c r="B604" s="1" t="s">
        <v>12</v>
      </c>
      <c r="C604" s="1" t="s">
        <v>22</v>
      </c>
      <c r="D604" s="1">
        <v>8</v>
      </c>
      <c r="E604" s="1">
        <v>107.678133871488</v>
      </c>
      <c r="F604" s="1">
        <v>838.5</v>
      </c>
      <c r="G604">
        <f t="shared" si="10"/>
        <v>10.376807499008931</v>
      </c>
    </row>
    <row r="605" spans="1:7" ht="13" x14ac:dyDescent="0.15">
      <c r="A605" s="3">
        <v>44835</v>
      </c>
      <c r="B605" s="1" t="s">
        <v>6</v>
      </c>
      <c r="C605" s="1" t="s">
        <v>22</v>
      </c>
      <c r="D605" s="1">
        <v>8</v>
      </c>
      <c r="E605" s="1">
        <v>107.678133871488</v>
      </c>
      <c r="F605" s="1">
        <v>838.5</v>
      </c>
      <c r="G605">
        <f t="shared" si="10"/>
        <v>10.376807499008931</v>
      </c>
    </row>
    <row r="606" spans="1:7" ht="13" x14ac:dyDescent="0.15">
      <c r="A606" s="3">
        <v>44835</v>
      </c>
      <c r="B606" s="1" t="s">
        <v>13</v>
      </c>
      <c r="C606" s="1" t="s">
        <v>22</v>
      </c>
      <c r="D606" s="1">
        <v>8</v>
      </c>
      <c r="E606" s="1">
        <v>107.678133871488</v>
      </c>
      <c r="F606" s="1">
        <v>838.5</v>
      </c>
      <c r="G606">
        <f t="shared" si="10"/>
        <v>10.376807499008931</v>
      </c>
    </row>
    <row r="607" spans="1:7" ht="13" x14ac:dyDescent="0.15">
      <c r="A607" s="3">
        <v>44835</v>
      </c>
      <c r="B607" s="1" t="s">
        <v>14</v>
      </c>
      <c r="C607" s="1" t="s">
        <v>22</v>
      </c>
      <c r="D607" s="1">
        <v>8</v>
      </c>
      <c r="E607" s="1">
        <v>107.678133871488</v>
      </c>
      <c r="F607" s="1">
        <v>838.5</v>
      </c>
      <c r="G607">
        <f t="shared" si="10"/>
        <v>10.376807499008931</v>
      </c>
    </row>
    <row r="608" spans="1:7" ht="13" x14ac:dyDescent="0.15">
      <c r="A608" s="3">
        <v>44835</v>
      </c>
      <c r="B608" s="1" t="s">
        <v>10</v>
      </c>
      <c r="C608" s="1" t="s">
        <v>22</v>
      </c>
      <c r="D608" s="1">
        <v>8</v>
      </c>
      <c r="E608" s="1">
        <v>107.678133871488</v>
      </c>
      <c r="F608" s="1">
        <v>838.5</v>
      </c>
      <c r="G608">
        <f t="shared" si="10"/>
        <v>10.376807499008931</v>
      </c>
    </row>
    <row r="609" spans="1:7" ht="13" x14ac:dyDescent="0.15">
      <c r="A609" s="2">
        <v>44593</v>
      </c>
      <c r="B609" s="1" t="s">
        <v>10</v>
      </c>
      <c r="C609" s="1" t="s">
        <v>22</v>
      </c>
      <c r="D609" s="1">
        <v>13.168941497802701</v>
      </c>
      <c r="E609" s="1">
        <v>103.436478069293</v>
      </c>
      <c r="F609" s="1">
        <v>1604</v>
      </c>
      <c r="G609">
        <f t="shared" si="10"/>
        <v>10.17037256295427</v>
      </c>
    </row>
    <row r="610" spans="1:7" ht="13" x14ac:dyDescent="0.15">
      <c r="A610" s="2">
        <v>44593</v>
      </c>
      <c r="B610" s="1" t="s">
        <v>6</v>
      </c>
      <c r="C610" s="1" t="s">
        <v>22</v>
      </c>
      <c r="D610" s="1">
        <v>13.168941497802701</v>
      </c>
      <c r="E610" s="1">
        <v>103.436478069293</v>
      </c>
      <c r="F610" s="1">
        <v>1604</v>
      </c>
      <c r="G610">
        <f t="shared" si="10"/>
        <v>10.17037256295427</v>
      </c>
    </row>
    <row r="611" spans="1:7" ht="13" x14ac:dyDescent="0.15">
      <c r="A611" s="2">
        <v>44593</v>
      </c>
      <c r="B611" s="1" t="s">
        <v>12</v>
      </c>
      <c r="C611" s="1" t="s">
        <v>22</v>
      </c>
      <c r="D611" s="1">
        <v>13.168941497802701</v>
      </c>
      <c r="E611" s="1">
        <v>103.436478069293</v>
      </c>
      <c r="F611" s="1">
        <v>1604</v>
      </c>
      <c r="G611">
        <f t="shared" si="10"/>
        <v>10.17037256295427</v>
      </c>
    </row>
    <row r="612" spans="1:7" ht="13" x14ac:dyDescent="0.15">
      <c r="A612" s="2">
        <v>44593</v>
      </c>
      <c r="B612" s="1" t="s">
        <v>14</v>
      </c>
      <c r="C612" s="1" t="s">
        <v>22</v>
      </c>
      <c r="D612" s="1">
        <v>13.168941497802701</v>
      </c>
      <c r="E612" s="1">
        <v>103.436478069293</v>
      </c>
      <c r="F612" s="1">
        <v>1604</v>
      </c>
      <c r="G612">
        <f t="shared" si="10"/>
        <v>10.17037256295427</v>
      </c>
    </row>
    <row r="613" spans="1:7" ht="13" x14ac:dyDescent="0.15">
      <c r="A613" s="2">
        <v>44593</v>
      </c>
      <c r="B613" s="1" t="s">
        <v>13</v>
      </c>
      <c r="C613" s="1" t="s">
        <v>22</v>
      </c>
      <c r="D613" s="1">
        <v>13.168941497802701</v>
      </c>
      <c r="E613" s="1">
        <v>103.436478069293</v>
      </c>
      <c r="F613" s="1">
        <v>1604</v>
      </c>
      <c r="G613">
        <f t="shared" si="10"/>
        <v>10.17037256295427</v>
      </c>
    </row>
    <row r="614" spans="1:7" ht="13" x14ac:dyDescent="0.15">
      <c r="A614" s="2">
        <v>44958</v>
      </c>
      <c r="B614" s="1" t="s">
        <v>10</v>
      </c>
      <c r="C614" s="1" t="s">
        <v>20</v>
      </c>
      <c r="D614" s="1">
        <v>6.7743735313415501</v>
      </c>
      <c r="E614" s="1">
        <v>131.22857443211601</v>
      </c>
      <c r="F614" s="1">
        <v>1820</v>
      </c>
      <c r="G614">
        <f t="shared" si="10"/>
        <v>11.455504110780808</v>
      </c>
    </row>
    <row r="615" spans="1:7" ht="13" x14ac:dyDescent="0.15">
      <c r="A615" s="2">
        <v>44958</v>
      </c>
      <c r="B615" s="1" t="s">
        <v>14</v>
      </c>
      <c r="C615" s="1" t="s">
        <v>20</v>
      </c>
      <c r="D615" s="1">
        <v>6.7743735313415501</v>
      </c>
      <c r="E615" s="1">
        <v>131.22857443211601</v>
      </c>
      <c r="F615" s="1">
        <v>1820</v>
      </c>
      <c r="G615">
        <f t="shared" si="10"/>
        <v>11.455504110780808</v>
      </c>
    </row>
    <row r="616" spans="1:7" ht="13" x14ac:dyDescent="0.15">
      <c r="A616" s="2">
        <v>44958</v>
      </c>
      <c r="B616" s="1" t="s">
        <v>12</v>
      </c>
      <c r="C616" s="1" t="s">
        <v>20</v>
      </c>
      <c r="D616" s="1">
        <v>6.7743735313415501</v>
      </c>
      <c r="E616" s="1">
        <v>131.22857443211601</v>
      </c>
      <c r="F616" s="1">
        <v>1820</v>
      </c>
      <c r="G616">
        <f t="shared" si="10"/>
        <v>11.455504110780808</v>
      </c>
    </row>
    <row r="617" spans="1:7" ht="13" x14ac:dyDescent="0.15">
      <c r="A617" s="2">
        <v>44958</v>
      </c>
      <c r="B617" s="1" t="s">
        <v>6</v>
      </c>
      <c r="C617" s="1" t="s">
        <v>20</v>
      </c>
      <c r="D617" s="1">
        <v>6.7743735313415501</v>
      </c>
      <c r="E617" s="1">
        <v>131.22857443211601</v>
      </c>
      <c r="F617" s="1">
        <v>1820</v>
      </c>
      <c r="G617">
        <f t="shared" si="10"/>
        <v>11.455504110780808</v>
      </c>
    </row>
    <row r="618" spans="1:7" ht="13" x14ac:dyDescent="0.15">
      <c r="A618" s="2">
        <v>44958</v>
      </c>
      <c r="B618" s="1" t="s">
        <v>13</v>
      </c>
      <c r="C618" s="1" t="s">
        <v>20</v>
      </c>
      <c r="D618" s="1">
        <v>6.7743735313415501</v>
      </c>
      <c r="E618" s="1">
        <v>131.22857443211601</v>
      </c>
      <c r="F618" s="1">
        <v>1820</v>
      </c>
      <c r="G618">
        <f t="shared" si="10"/>
        <v>11.455504110780808</v>
      </c>
    </row>
    <row r="619" spans="1:7" ht="13" x14ac:dyDescent="0.15">
      <c r="A619" s="2">
        <v>44713</v>
      </c>
      <c r="B619" s="1" t="s">
        <v>6</v>
      </c>
      <c r="C619" s="1" t="s">
        <v>24</v>
      </c>
      <c r="D619" s="1">
        <v>37</v>
      </c>
      <c r="E619" s="1">
        <v>281.690124021381</v>
      </c>
      <c r="F619" s="1">
        <v>1352.5</v>
      </c>
      <c r="G619">
        <f t="shared" si="10"/>
        <v>16.783626664740282</v>
      </c>
    </row>
    <row r="620" spans="1:7" ht="13" x14ac:dyDescent="0.15">
      <c r="A620" s="2">
        <v>44713</v>
      </c>
      <c r="B620" s="1" t="s">
        <v>12</v>
      </c>
      <c r="C620" s="1" t="s">
        <v>24</v>
      </c>
      <c r="D620" s="1">
        <v>37</v>
      </c>
      <c r="E620" s="1">
        <v>281.690124021381</v>
      </c>
      <c r="F620" s="1">
        <v>1352.5</v>
      </c>
      <c r="G620">
        <f t="shared" si="10"/>
        <v>16.783626664740282</v>
      </c>
    </row>
    <row r="621" spans="1:7" ht="13" x14ac:dyDescent="0.15">
      <c r="A621" s="2">
        <v>44713</v>
      </c>
      <c r="B621" s="1" t="s">
        <v>14</v>
      </c>
      <c r="C621" s="1" t="s">
        <v>24</v>
      </c>
      <c r="D621" s="1">
        <v>37</v>
      </c>
      <c r="E621" s="1">
        <v>281.690124021381</v>
      </c>
      <c r="F621" s="1">
        <v>1352.5</v>
      </c>
      <c r="G621">
        <f t="shared" si="10"/>
        <v>16.783626664740282</v>
      </c>
    </row>
    <row r="622" spans="1:7" ht="13" x14ac:dyDescent="0.15">
      <c r="A622" s="2">
        <v>44713</v>
      </c>
      <c r="B622" s="1" t="s">
        <v>13</v>
      </c>
      <c r="C622" s="1" t="s">
        <v>24</v>
      </c>
      <c r="D622" s="1">
        <v>37</v>
      </c>
      <c r="E622" s="1">
        <v>281.690124021381</v>
      </c>
      <c r="F622" s="1">
        <v>1352.5</v>
      </c>
      <c r="G622">
        <f t="shared" si="10"/>
        <v>16.783626664740282</v>
      </c>
    </row>
    <row r="623" spans="1:7" ht="13" x14ac:dyDescent="0.15">
      <c r="A623" s="2">
        <v>44713</v>
      </c>
      <c r="B623" s="1" t="s">
        <v>10</v>
      </c>
      <c r="C623" s="1" t="s">
        <v>24</v>
      </c>
      <c r="D623" s="1">
        <v>37</v>
      </c>
      <c r="E623" s="1">
        <v>281.690124021381</v>
      </c>
      <c r="F623" s="1">
        <v>1352.5</v>
      </c>
      <c r="G623">
        <f t="shared" si="10"/>
        <v>16.783626664740282</v>
      </c>
    </row>
    <row r="624" spans="1:7" ht="13" x14ac:dyDescent="0.15">
      <c r="A624" s="2">
        <v>44805</v>
      </c>
      <c r="B624" s="1" t="s">
        <v>10</v>
      </c>
      <c r="C624" s="1" t="s">
        <v>20</v>
      </c>
      <c r="D624" s="1">
        <v>4</v>
      </c>
      <c r="E624" s="1">
        <v>93.268768655354293</v>
      </c>
      <c r="F624" s="1">
        <v>895</v>
      </c>
      <c r="G624">
        <f t="shared" si="10"/>
        <v>9.6575757131567084</v>
      </c>
    </row>
    <row r="625" spans="1:7" ht="13" x14ac:dyDescent="0.15">
      <c r="A625" s="2">
        <v>44805</v>
      </c>
      <c r="B625" s="1" t="s">
        <v>6</v>
      </c>
      <c r="C625" s="1" t="s">
        <v>20</v>
      </c>
      <c r="D625" s="1">
        <v>4</v>
      </c>
      <c r="E625" s="1">
        <v>93.268768655354293</v>
      </c>
      <c r="F625" s="1">
        <v>895</v>
      </c>
      <c r="G625">
        <f t="shared" si="10"/>
        <v>9.6575757131567084</v>
      </c>
    </row>
    <row r="626" spans="1:7" ht="13" x14ac:dyDescent="0.15">
      <c r="A626" s="2">
        <v>44805</v>
      </c>
      <c r="B626" s="1" t="s">
        <v>12</v>
      </c>
      <c r="C626" s="1" t="s">
        <v>20</v>
      </c>
      <c r="D626" s="1">
        <v>4</v>
      </c>
      <c r="E626" s="1">
        <v>93.268768655354293</v>
      </c>
      <c r="F626" s="1">
        <v>895</v>
      </c>
      <c r="G626">
        <f t="shared" si="10"/>
        <v>9.6575757131567084</v>
      </c>
    </row>
    <row r="627" spans="1:7" ht="13" x14ac:dyDescent="0.15">
      <c r="A627" s="2">
        <v>44805</v>
      </c>
      <c r="B627" s="1" t="s">
        <v>13</v>
      </c>
      <c r="C627" s="1" t="s">
        <v>20</v>
      </c>
      <c r="D627" s="1">
        <v>4</v>
      </c>
      <c r="E627" s="1">
        <v>93.268768655354293</v>
      </c>
      <c r="F627" s="1">
        <v>895</v>
      </c>
      <c r="G627">
        <f t="shared" si="10"/>
        <v>9.6575757131567084</v>
      </c>
    </row>
    <row r="628" spans="1:7" ht="13" x14ac:dyDescent="0.15">
      <c r="A628" s="2">
        <v>44805</v>
      </c>
      <c r="B628" s="1" t="s">
        <v>14</v>
      </c>
      <c r="C628" s="1" t="s">
        <v>20</v>
      </c>
      <c r="D628" s="1">
        <v>4</v>
      </c>
      <c r="E628" s="1">
        <v>93.268768655354293</v>
      </c>
      <c r="F628" s="1">
        <v>895</v>
      </c>
      <c r="G628">
        <f t="shared" si="10"/>
        <v>9.6575757131567084</v>
      </c>
    </row>
    <row r="629" spans="1:7" ht="13" x14ac:dyDescent="0.15">
      <c r="A629" s="2">
        <v>44682</v>
      </c>
      <c r="B629" s="1" t="s">
        <v>12</v>
      </c>
      <c r="C629" s="1" t="s">
        <v>11</v>
      </c>
      <c r="D629" s="1">
        <v>29</v>
      </c>
      <c r="E629" s="1">
        <v>214.05714025198</v>
      </c>
      <c r="F629" s="1">
        <v>1972.16784667968</v>
      </c>
      <c r="G629">
        <f t="shared" si="10"/>
        <v>14.630691721582409</v>
      </c>
    </row>
    <row r="630" spans="1:7" ht="13" x14ac:dyDescent="0.15">
      <c r="A630" s="2">
        <v>44682</v>
      </c>
      <c r="B630" s="1" t="s">
        <v>14</v>
      </c>
      <c r="C630" s="1" t="s">
        <v>11</v>
      </c>
      <c r="D630" s="1">
        <v>29</v>
      </c>
      <c r="E630" s="1">
        <v>214.05714025198</v>
      </c>
      <c r="F630" s="1">
        <v>1972.16784667968</v>
      </c>
      <c r="G630">
        <f t="shared" si="10"/>
        <v>14.630691721582409</v>
      </c>
    </row>
    <row r="631" spans="1:7" ht="13" x14ac:dyDescent="0.15">
      <c r="A631" s="2">
        <v>44682</v>
      </c>
      <c r="B631" s="1" t="s">
        <v>6</v>
      </c>
      <c r="C631" s="1" t="s">
        <v>11</v>
      </c>
      <c r="D631" s="1">
        <v>29</v>
      </c>
      <c r="E631" s="1">
        <v>214.05714025198</v>
      </c>
      <c r="F631" s="1">
        <v>1972.16784667968</v>
      </c>
      <c r="G631">
        <f t="shared" si="10"/>
        <v>14.630691721582409</v>
      </c>
    </row>
    <row r="632" spans="1:7" ht="13" x14ac:dyDescent="0.15">
      <c r="A632" s="2">
        <v>44682</v>
      </c>
      <c r="B632" s="1" t="s">
        <v>13</v>
      </c>
      <c r="C632" s="1" t="s">
        <v>11</v>
      </c>
      <c r="D632" s="1">
        <v>29</v>
      </c>
      <c r="E632" s="1">
        <v>214.05714025198</v>
      </c>
      <c r="F632" s="1">
        <v>1972.16784667968</v>
      </c>
      <c r="G632">
        <f t="shared" si="10"/>
        <v>14.630691721582409</v>
      </c>
    </row>
    <row r="633" spans="1:7" ht="13" x14ac:dyDescent="0.15">
      <c r="A633" s="2">
        <v>44682</v>
      </c>
      <c r="B633" s="1" t="s">
        <v>10</v>
      </c>
      <c r="C633" s="1" t="s">
        <v>11</v>
      </c>
      <c r="D633" s="1">
        <v>29</v>
      </c>
      <c r="E633" s="1">
        <v>214.05714025198</v>
      </c>
      <c r="F633" s="1">
        <v>1972.16784667968</v>
      </c>
      <c r="G633">
        <f t="shared" si="10"/>
        <v>14.630691721582409</v>
      </c>
    </row>
    <row r="634" spans="1:7" ht="13" x14ac:dyDescent="0.15">
      <c r="A634" s="2">
        <v>44958</v>
      </c>
      <c r="B634" s="1" t="s">
        <v>10</v>
      </c>
      <c r="C634" s="1" t="s">
        <v>23</v>
      </c>
      <c r="D634" s="1">
        <v>53.047428131103501</v>
      </c>
      <c r="E634" s="1">
        <v>368.491174756536</v>
      </c>
      <c r="F634" s="1">
        <v>1982.21118164062</v>
      </c>
      <c r="G634">
        <f t="shared" si="10"/>
        <v>19.19612395137456</v>
      </c>
    </row>
    <row r="635" spans="1:7" ht="13" x14ac:dyDescent="0.15">
      <c r="A635" s="2">
        <v>44958</v>
      </c>
      <c r="B635" s="1" t="s">
        <v>14</v>
      </c>
      <c r="C635" s="1" t="s">
        <v>23</v>
      </c>
      <c r="D635" s="1">
        <v>53.047428131103501</v>
      </c>
      <c r="E635" s="1">
        <v>368.491174756536</v>
      </c>
      <c r="F635" s="1">
        <v>1982.21118164062</v>
      </c>
      <c r="G635">
        <f t="shared" si="10"/>
        <v>19.19612395137456</v>
      </c>
    </row>
    <row r="636" spans="1:7" ht="13" x14ac:dyDescent="0.15">
      <c r="A636" s="2">
        <v>44958</v>
      </c>
      <c r="B636" s="1" t="s">
        <v>12</v>
      </c>
      <c r="C636" s="1" t="s">
        <v>23</v>
      </c>
      <c r="D636" s="1">
        <v>53.047428131103501</v>
      </c>
      <c r="E636" s="1">
        <v>368.491174756536</v>
      </c>
      <c r="F636" s="1">
        <v>1982.21118164062</v>
      </c>
      <c r="G636">
        <f t="shared" si="10"/>
        <v>19.19612395137456</v>
      </c>
    </row>
    <row r="637" spans="1:7" ht="13" x14ac:dyDescent="0.15">
      <c r="A637" s="2">
        <v>44958</v>
      </c>
      <c r="B637" s="1" t="s">
        <v>6</v>
      </c>
      <c r="C637" s="1" t="s">
        <v>23</v>
      </c>
      <c r="D637" s="1">
        <v>53.047428131103501</v>
      </c>
      <c r="E637" s="1">
        <v>368.491174756536</v>
      </c>
      <c r="F637" s="1">
        <v>1982.21118164062</v>
      </c>
      <c r="G637">
        <f t="shared" si="10"/>
        <v>19.19612395137456</v>
      </c>
    </row>
    <row r="638" spans="1:7" ht="13" x14ac:dyDescent="0.15">
      <c r="A638" s="2">
        <v>44958</v>
      </c>
      <c r="B638" s="1" t="s">
        <v>13</v>
      </c>
      <c r="C638" s="1" t="s">
        <v>23</v>
      </c>
      <c r="D638" s="1">
        <v>53.047428131103501</v>
      </c>
      <c r="E638" s="1">
        <v>368.491174756536</v>
      </c>
      <c r="F638" s="1">
        <v>1982.21118164062</v>
      </c>
      <c r="G638">
        <f t="shared" si="10"/>
        <v>19.19612395137456</v>
      </c>
    </row>
    <row r="639" spans="1:7" ht="13" x14ac:dyDescent="0.15">
      <c r="A639" s="3">
        <v>44835</v>
      </c>
      <c r="B639" s="1" t="s">
        <v>12</v>
      </c>
      <c r="C639" s="1" t="s">
        <v>21</v>
      </c>
      <c r="D639" s="1">
        <v>59.5</v>
      </c>
      <c r="E639" s="1">
        <v>770.91225334540604</v>
      </c>
      <c r="F639" s="1">
        <v>4503</v>
      </c>
      <c r="G639">
        <f t="shared" si="10"/>
        <v>27.765306649583504</v>
      </c>
    </row>
    <row r="640" spans="1:7" ht="13" x14ac:dyDescent="0.15">
      <c r="A640" s="3">
        <v>44835</v>
      </c>
      <c r="B640" s="1" t="s">
        <v>6</v>
      </c>
      <c r="C640" s="1" t="s">
        <v>21</v>
      </c>
      <c r="D640" s="1">
        <v>59.5</v>
      </c>
      <c r="E640" s="1">
        <v>770.91225334540604</v>
      </c>
      <c r="F640" s="1">
        <v>4503</v>
      </c>
      <c r="G640">
        <f t="shared" si="10"/>
        <v>27.765306649583504</v>
      </c>
    </row>
    <row r="641" spans="1:7" ht="13" x14ac:dyDescent="0.15">
      <c r="A641" s="3">
        <v>44835</v>
      </c>
      <c r="B641" s="1" t="s">
        <v>13</v>
      </c>
      <c r="C641" s="1" t="s">
        <v>21</v>
      </c>
      <c r="D641" s="1">
        <v>59.5</v>
      </c>
      <c r="E641" s="1">
        <v>770.91225334540604</v>
      </c>
      <c r="F641" s="1">
        <v>4503</v>
      </c>
      <c r="G641">
        <f t="shared" si="10"/>
        <v>27.765306649583504</v>
      </c>
    </row>
    <row r="642" spans="1:7" ht="13" x14ac:dyDescent="0.15">
      <c r="A642" s="3">
        <v>44835</v>
      </c>
      <c r="B642" s="1" t="s">
        <v>14</v>
      </c>
      <c r="C642" s="1" t="s">
        <v>21</v>
      </c>
      <c r="D642" s="1">
        <v>59.5</v>
      </c>
      <c r="E642" s="1">
        <v>770.91225334540604</v>
      </c>
      <c r="F642" s="1">
        <v>4503</v>
      </c>
      <c r="G642">
        <f t="shared" si="10"/>
        <v>27.765306649583504</v>
      </c>
    </row>
    <row r="643" spans="1:7" ht="13" x14ac:dyDescent="0.15">
      <c r="A643" s="3">
        <v>44835</v>
      </c>
      <c r="B643" s="1" t="s">
        <v>10</v>
      </c>
      <c r="C643" s="1" t="s">
        <v>21</v>
      </c>
      <c r="D643" s="1">
        <v>59.5</v>
      </c>
      <c r="E643" s="1">
        <v>770.91225334540604</v>
      </c>
      <c r="F643" s="1">
        <v>4503</v>
      </c>
      <c r="G643">
        <f t="shared" ref="G643:G706" si="11">SQRT(E643)</f>
        <v>27.765306649583504</v>
      </c>
    </row>
    <row r="644" spans="1:7" ht="13" x14ac:dyDescent="0.15">
      <c r="A644" s="3">
        <v>44531</v>
      </c>
      <c r="B644" s="1" t="s">
        <v>14</v>
      </c>
      <c r="C644" s="1" t="s">
        <v>24</v>
      </c>
      <c r="D644" s="1">
        <v>45</v>
      </c>
      <c r="E644" s="1">
        <v>272.25635728157999</v>
      </c>
      <c r="F644" s="1">
        <v>1393.375</v>
      </c>
      <c r="G644">
        <f t="shared" si="11"/>
        <v>16.500192643771769</v>
      </c>
    </row>
    <row r="645" spans="1:7" ht="13" x14ac:dyDescent="0.15">
      <c r="A645" s="3">
        <v>44531</v>
      </c>
      <c r="B645" s="1" t="s">
        <v>6</v>
      </c>
      <c r="C645" s="1" t="s">
        <v>24</v>
      </c>
      <c r="D645" s="1">
        <v>45</v>
      </c>
      <c r="E645" s="1">
        <v>272.25635728157999</v>
      </c>
      <c r="F645" s="1">
        <v>1393.375</v>
      </c>
      <c r="G645">
        <f t="shared" si="11"/>
        <v>16.500192643771769</v>
      </c>
    </row>
    <row r="646" spans="1:7" ht="13" x14ac:dyDescent="0.15">
      <c r="A646" s="3">
        <v>44531</v>
      </c>
      <c r="B646" s="1" t="s">
        <v>10</v>
      </c>
      <c r="C646" s="1" t="s">
        <v>24</v>
      </c>
      <c r="D646" s="1">
        <v>45</v>
      </c>
      <c r="E646" s="1">
        <v>272.25635728157999</v>
      </c>
      <c r="F646" s="1">
        <v>1393.375</v>
      </c>
      <c r="G646">
        <f t="shared" si="11"/>
        <v>16.500192643771769</v>
      </c>
    </row>
    <row r="647" spans="1:7" ht="13" x14ac:dyDescent="0.15">
      <c r="A647" s="3">
        <v>44531</v>
      </c>
      <c r="B647" s="1" t="s">
        <v>12</v>
      </c>
      <c r="C647" s="1" t="s">
        <v>24</v>
      </c>
      <c r="D647" s="1">
        <v>45</v>
      </c>
      <c r="E647" s="1">
        <v>272.25635728157999</v>
      </c>
      <c r="F647" s="1">
        <v>1393.375</v>
      </c>
      <c r="G647">
        <f t="shared" si="11"/>
        <v>16.500192643771769</v>
      </c>
    </row>
    <row r="648" spans="1:7" ht="13" x14ac:dyDescent="0.15">
      <c r="A648" s="3">
        <v>44531</v>
      </c>
      <c r="B648" s="1" t="s">
        <v>13</v>
      </c>
      <c r="C648" s="1" t="s">
        <v>24</v>
      </c>
      <c r="D648" s="1">
        <v>45</v>
      </c>
      <c r="E648" s="1">
        <v>272.25635728157999</v>
      </c>
      <c r="F648" s="1">
        <v>1393.375</v>
      </c>
      <c r="G648">
        <f t="shared" si="11"/>
        <v>16.500192643771769</v>
      </c>
    </row>
    <row r="649" spans="1:7" ht="13" x14ac:dyDescent="0.15">
      <c r="A649" s="2">
        <v>44652</v>
      </c>
      <c r="B649" s="1" t="s">
        <v>13</v>
      </c>
      <c r="C649" s="1" t="s">
        <v>15</v>
      </c>
      <c r="D649" s="1">
        <v>25</v>
      </c>
      <c r="E649" s="1">
        <v>193.557483343294</v>
      </c>
      <c r="F649" s="1">
        <v>1756.73498535156</v>
      </c>
      <c r="G649">
        <f t="shared" si="11"/>
        <v>13.912493785921129</v>
      </c>
    </row>
    <row r="650" spans="1:7" ht="13" x14ac:dyDescent="0.15">
      <c r="A650" s="2">
        <v>44652</v>
      </c>
      <c r="B650" s="1" t="s">
        <v>6</v>
      </c>
      <c r="C650" s="1" t="s">
        <v>15</v>
      </c>
      <c r="D650" s="1">
        <v>25</v>
      </c>
      <c r="E650" s="1">
        <v>193.557483343294</v>
      </c>
      <c r="F650" s="1">
        <v>1756.73498535156</v>
      </c>
      <c r="G650">
        <f t="shared" si="11"/>
        <v>13.912493785921129</v>
      </c>
    </row>
    <row r="651" spans="1:7" ht="13" x14ac:dyDescent="0.15">
      <c r="A651" s="2">
        <v>44652</v>
      </c>
      <c r="B651" s="1" t="s">
        <v>12</v>
      </c>
      <c r="C651" s="1" t="s">
        <v>15</v>
      </c>
      <c r="D651" s="1">
        <v>25</v>
      </c>
      <c r="E651" s="1">
        <v>193.557483343294</v>
      </c>
      <c r="F651" s="1">
        <v>1756.73498535156</v>
      </c>
      <c r="G651">
        <f t="shared" si="11"/>
        <v>13.912493785921129</v>
      </c>
    </row>
    <row r="652" spans="1:7" ht="13" x14ac:dyDescent="0.15">
      <c r="A652" s="2">
        <v>44652</v>
      </c>
      <c r="B652" s="1" t="s">
        <v>10</v>
      </c>
      <c r="C652" s="1" t="s">
        <v>15</v>
      </c>
      <c r="D652" s="1">
        <v>25</v>
      </c>
      <c r="E652" s="1">
        <v>193.557483343294</v>
      </c>
      <c r="F652" s="1">
        <v>1756.73498535156</v>
      </c>
      <c r="G652">
        <f t="shared" si="11"/>
        <v>13.912493785921129</v>
      </c>
    </row>
    <row r="653" spans="1:7" ht="13" x14ac:dyDescent="0.15">
      <c r="A653" s="2">
        <v>44652</v>
      </c>
      <c r="B653" s="1" t="s">
        <v>14</v>
      </c>
      <c r="C653" s="1" t="s">
        <v>15</v>
      </c>
      <c r="D653" s="1">
        <v>25</v>
      </c>
      <c r="E653" s="1">
        <v>193.557483343294</v>
      </c>
      <c r="F653" s="1">
        <v>1756.73498535156</v>
      </c>
      <c r="G653">
        <f t="shared" si="11"/>
        <v>13.912493785921129</v>
      </c>
    </row>
    <row r="654" spans="1:7" ht="13" x14ac:dyDescent="0.15">
      <c r="A654" s="3">
        <v>44896</v>
      </c>
      <c r="B654" s="1" t="s">
        <v>10</v>
      </c>
      <c r="C654" s="1" t="s">
        <v>11</v>
      </c>
      <c r="D654" s="1">
        <v>29</v>
      </c>
      <c r="E654" s="1">
        <v>230.291718822299</v>
      </c>
      <c r="F654" s="1">
        <v>2039.04309082031</v>
      </c>
      <c r="G654">
        <f t="shared" si="11"/>
        <v>15.17536552516278</v>
      </c>
    </row>
    <row r="655" spans="1:7" ht="13" x14ac:dyDescent="0.15">
      <c r="A655" s="3">
        <v>44896</v>
      </c>
      <c r="B655" s="1" t="s">
        <v>14</v>
      </c>
      <c r="C655" s="1" t="s">
        <v>11</v>
      </c>
      <c r="D655" s="1">
        <v>29</v>
      </c>
      <c r="E655" s="1">
        <v>230.291718822299</v>
      </c>
      <c r="F655" s="1">
        <v>2039.04309082031</v>
      </c>
      <c r="G655">
        <f t="shared" si="11"/>
        <v>15.17536552516278</v>
      </c>
    </row>
    <row r="656" spans="1:7" ht="13" x14ac:dyDescent="0.15">
      <c r="A656" s="3">
        <v>44896</v>
      </c>
      <c r="B656" s="1" t="s">
        <v>6</v>
      </c>
      <c r="C656" s="1" t="s">
        <v>11</v>
      </c>
      <c r="D656" s="1">
        <v>29</v>
      </c>
      <c r="E656" s="1">
        <v>230.291718822299</v>
      </c>
      <c r="F656" s="1">
        <v>2039.04309082031</v>
      </c>
      <c r="G656">
        <f t="shared" si="11"/>
        <v>15.17536552516278</v>
      </c>
    </row>
    <row r="657" spans="1:7" ht="13" x14ac:dyDescent="0.15">
      <c r="A657" s="3">
        <v>44896</v>
      </c>
      <c r="B657" s="1" t="s">
        <v>13</v>
      </c>
      <c r="C657" s="1" t="s">
        <v>11</v>
      </c>
      <c r="D657" s="1">
        <v>29</v>
      </c>
      <c r="E657" s="1">
        <v>230.291718822299</v>
      </c>
      <c r="F657" s="1">
        <v>2039.04309082031</v>
      </c>
      <c r="G657">
        <f t="shared" si="11"/>
        <v>15.17536552516278</v>
      </c>
    </row>
    <row r="658" spans="1:7" ht="13" x14ac:dyDescent="0.15">
      <c r="A658" s="3">
        <v>44896</v>
      </c>
      <c r="B658" s="1" t="s">
        <v>12</v>
      </c>
      <c r="C658" s="1" t="s">
        <v>11</v>
      </c>
      <c r="D658" s="1">
        <v>29</v>
      </c>
      <c r="E658" s="1">
        <v>230.291718822299</v>
      </c>
      <c r="F658" s="1">
        <v>2039.04309082031</v>
      </c>
      <c r="G658">
        <f t="shared" si="11"/>
        <v>15.17536552516278</v>
      </c>
    </row>
    <row r="659" spans="1:7" ht="13" x14ac:dyDescent="0.15">
      <c r="A659" s="2">
        <v>44621</v>
      </c>
      <c r="B659" s="1" t="s">
        <v>12</v>
      </c>
      <c r="C659" s="1" t="s">
        <v>9</v>
      </c>
      <c r="D659" s="1">
        <v>20.6301956176757</v>
      </c>
      <c r="E659" s="1">
        <v>160.770080908186</v>
      </c>
      <c r="F659" s="1">
        <v>1255</v>
      </c>
      <c r="G659">
        <f t="shared" si="11"/>
        <v>12.679514222090136</v>
      </c>
    </row>
    <row r="660" spans="1:7" ht="13" x14ac:dyDescent="0.15">
      <c r="A660" s="2">
        <v>44621</v>
      </c>
      <c r="B660" s="1" t="s">
        <v>6</v>
      </c>
      <c r="C660" s="1" t="s">
        <v>9</v>
      </c>
      <c r="D660" s="1">
        <v>20.6301956176757</v>
      </c>
      <c r="E660" s="1">
        <v>160.770080908186</v>
      </c>
      <c r="F660" s="1">
        <v>1255</v>
      </c>
      <c r="G660">
        <f t="shared" si="11"/>
        <v>12.679514222090136</v>
      </c>
    </row>
    <row r="661" spans="1:7" ht="13" x14ac:dyDescent="0.15">
      <c r="A661" s="2">
        <v>44621</v>
      </c>
      <c r="B661" s="1" t="s">
        <v>10</v>
      </c>
      <c r="C661" s="1" t="s">
        <v>9</v>
      </c>
      <c r="D661" s="1">
        <v>20.6301956176757</v>
      </c>
      <c r="E661" s="1">
        <v>160.770080908186</v>
      </c>
      <c r="F661" s="1">
        <v>1255</v>
      </c>
      <c r="G661">
        <f t="shared" si="11"/>
        <v>12.679514222090136</v>
      </c>
    </row>
    <row r="662" spans="1:7" ht="13" x14ac:dyDescent="0.15">
      <c r="A662" s="2">
        <v>44621</v>
      </c>
      <c r="B662" s="1" t="s">
        <v>13</v>
      </c>
      <c r="C662" s="1" t="s">
        <v>9</v>
      </c>
      <c r="D662" s="1">
        <v>20.6301956176757</v>
      </c>
      <c r="E662" s="1">
        <v>160.770080908186</v>
      </c>
      <c r="F662" s="1">
        <v>1255</v>
      </c>
      <c r="G662">
        <f t="shared" si="11"/>
        <v>12.679514222090136</v>
      </c>
    </row>
    <row r="663" spans="1:7" ht="13" x14ac:dyDescent="0.15">
      <c r="A663" s="2">
        <v>44621</v>
      </c>
      <c r="B663" s="1" t="s">
        <v>14</v>
      </c>
      <c r="C663" s="1" t="s">
        <v>9</v>
      </c>
      <c r="D663" s="1">
        <v>20.6301956176757</v>
      </c>
      <c r="E663" s="1">
        <v>160.770080908186</v>
      </c>
      <c r="F663" s="1">
        <v>1255</v>
      </c>
      <c r="G663">
        <f t="shared" si="11"/>
        <v>12.679514222090136</v>
      </c>
    </row>
    <row r="664" spans="1:7" ht="13" x14ac:dyDescent="0.15">
      <c r="A664" s="2">
        <v>44682</v>
      </c>
      <c r="B664" s="1" t="s">
        <v>12</v>
      </c>
      <c r="C664" s="1" t="s">
        <v>8</v>
      </c>
      <c r="D664" s="1">
        <v>46</v>
      </c>
      <c r="E664" s="1">
        <v>386.43882700420301</v>
      </c>
      <c r="F664" s="1">
        <v>3001.0810546875</v>
      </c>
      <c r="G664">
        <f t="shared" si="11"/>
        <v>19.658047385338225</v>
      </c>
    </row>
    <row r="665" spans="1:7" ht="13" x14ac:dyDescent="0.15">
      <c r="A665" s="2">
        <v>44682</v>
      </c>
      <c r="B665" s="1" t="s">
        <v>14</v>
      </c>
      <c r="C665" s="1" t="s">
        <v>8</v>
      </c>
      <c r="D665" s="1">
        <v>46</v>
      </c>
      <c r="E665" s="1">
        <v>386.43882700420301</v>
      </c>
      <c r="F665" s="1">
        <v>3001.0810546875</v>
      </c>
      <c r="G665">
        <f t="shared" si="11"/>
        <v>19.658047385338225</v>
      </c>
    </row>
    <row r="666" spans="1:7" ht="13" x14ac:dyDescent="0.15">
      <c r="A666" s="2">
        <v>44682</v>
      </c>
      <c r="B666" s="1" t="s">
        <v>6</v>
      </c>
      <c r="C666" s="1" t="s">
        <v>8</v>
      </c>
      <c r="D666" s="1">
        <v>46</v>
      </c>
      <c r="E666" s="1">
        <v>386.43882700420301</v>
      </c>
      <c r="F666" s="1">
        <v>3001.0810546875</v>
      </c>
      <c r="G666">
        <f t="shared" si="11"/>
        <v>19.658047385338225</v>
      </c>
    </row>
    <row r="667" spans="1:7" ht="13" x14ac:dyDescent="0.15">
      <c r="A667" s="2">
        <v>44682</v>
      </c>
      <c r="B667" s="1" t="s">
        <v>13</v>
      </c>
      <c r="C667" s="1" t="s">
        <v>8</v>
      </c>
      <c r="D667" s="1">
        <v>46</v>
      </c>
      <c r="E667" s="1">
        <v>386.43882700420301</v>
      </c>
      <c r="F667" s="1">
        <v>3001.0810546875</v>
      </c>
      <c r="G667">
        <f t="shared" si="11"/>
        <v>19.658047385338225</v>
      </c>
    </row>
    <row r="668" spans="1:7" ht="13" x14ac:dyDescent="0.15">
      <c r="A668" s="2">
        <v>44682</v>
      </c>
      <c r="B668" s="1" t="s">
        <v>10</v>
      </c>
      <c r="C668" s="1" t="s">
        <v>8</v>
      </c>
      <c r="D668" s="1">
        <v>46</v>
      </c>
      <c r="E668" s="1">
        <v>386.43882700420301</v>
      </c>
      <c r="F668" s="1">
        <v>3001.0810546875</v>
      </c>
      <c r="G668">
        <f t="shared" si="11"/>
        <v>19.658047385338225</v>
      </c>
    </row>
    <row r="669" spans="1:7" ht="13" x14ac:dyDescent="0.15">
      <c r="A669" s="3">
        <v>44835</v>
      </c>
      <c r="B669" s="1" t="s">
        <v>12</v>
      </c>
      <c r="C669" s="1" t="s">
        <v>16</v>
      </c>
      <c r="D669" s="1">
        <v>6.6666666666666599</v>
      </c>
      <c r="E669" s="1">
        <v>72.692728913508603</v>
      </c>
      <c r="F669" s="1">
        <v>925</v>
      </c>
      <c r="G669">
        <f t="shared" si="11"/>
        <v>8.526003103067028</v>
      </c>
    </row>
    <row r="670" spans="1:7" ht="13" x14ac:dyDescent="0.15">
      <c r="A670" s="3">
        <v>44835</v>
      </c>
      <c r="B670" s="1" t="s">
        <v>6</v>
      </c>
      <c r="C670" s="1" t="s">
        <v>16</v>
      </c>
      <c r="D670" s="1">
        <v>6.6666666666666599</v>
      </c>
      <c r="E670" s="1">
        <v>72.692728913508603</v>
      </c>
      <c r="F670" s="1">
        <v>925</v>
      </c>
      <c r="G670">
        <f t="shared" si="11"/>
        <v>8.526003103067028</v>
      </c>
    </row>
    <row r="671" spans="1:7" ht="13" x14ac:dyDescent="0.15">
      <c r="A671" s="3">
        <v>44835</v>
      </c>
      <c r="B671" s="1" t="s">
        <v>13</v>
      </c>
      <c r="C671" s="1" t="s">
        <v>16</v>
      </c>
      <c r="D671" s="1">
        <v>6.6666666666666599</v>
      </c>
      <c r="E671" s="1">
        <v>72.692728913508603</v>
      </c>
      <c r="F671" s="1">
        <v>925</v>
      </c>
      <c r="G671">
        <f t="shared" si="11"/>
        <v>8.526003103067028</v>
      </c>
    </row>
    <row r="672" spans="1:7" ht="13" x14ac:dyDescent="0.15">
      <c r="A672" s="3">
        <v>44835</v>
      </c>
      <c r="B672" s="1" t="s">
        <v>14</v>
      </c>
      <c r="C672" s="1" t="s">
        <v>16</v>
      </c>
      <c r="D672" s="1">
        <v>6.6666666666666599</v>
      </c>
      <c r="E672" s="1">
        <v>72.692728913508603</v>
      </c>
      <c r="F672" s="1">
        <v>925</v>
      </c>
      <c r="G672">
        <f t="shared" si="11"/>
        <v>8.526003103067028</v>
      </c>
    </row>
    <row r="673" spans="1:7" ht="13" x14ac:dyDescent="0.15">
      <c r="A673" s="3">
        <v>44835</v>
      </c>
      <c r="B673" s="1" t="s">
        <v>10</v>
      </c>
      <c r="C673" s="1" t="s">
        <v>16</v>
      </c>
      <c r="D673" s="1">
        <v>6.6666666666666599</v>
      </c>
      <c r="E673" s="1">
        <v>72.692728913508603</v>
      </c>
      <c r="F673" s="1">
        <v>925</v>
      </c>
      <c r="G673">
        <f t="shared" si="11"/>
        <v>8.526003103067028</v>
      </c>
    </row>
    <row r="674" spans="1:7" ht="13" x14ac:dyDescent="0.15">
      <c r="A674" s="2">
        <v>44774</v>
      </c>
      <c r="B674" s="1" t="s">
        <v>13</v>
      </c>
      <c r="C674" s="1" t="s">
        <v>9</v>
      </c>
      <c r="D674" s="1">
        <v>20.6301956176757</v>
      </c>
      <c r="E674" s="1">
        <v>178.89032031202501</v>
      </c>
      <c r="F674" s="1">
        <v>1577.64282226562</v>
      </c>
      <c r="G674">
        <f t="shared" si="11"/>
        <v>13.374988609790478</v>
      </c>
    </row>
    <row r="675" spans="1:7" ht="13" x14ac:dyDescent="0.15">
      <c r="A675" s="2">
        <v>44774</v>
      </c>
      <c r="B675" s="1" t="s">
        <v>10</v>
      </c>
      <c r="C675" s="1" t="s">
        <v>9</v>
      </c>
      <c r="D675" s="1">
        <v>20.6301956176757</v>
      </c>
      <c r="E675" s="1">
        <v>178.89032031202501</v>
      </c>
      <c r="F675" s="1">
        <v>1577.64282226562</v>
      </c>
      <c r="G675">
        <f t="shared" si="11"/>
        <v>13.374988609790478</v>
      </c>
    </row>
    <row r="676" spans="1:7" ht="13" x14ac:dyDescent="0.15">
      <c r="A676" s="2">
        <v>44774</v>
      </c>
      <c r="B676" s="1" t="s">
        <v>14</v>
      </c>
      <c r="C676" s="1" t="s">
        <v>9</v>
      </c>
      <c r="D676" s="1">
        <v>20.6301956176757</v>
      </c>
      <c r="E676" s="1">
        <v>178.89032031202501</v>
      </c>
      <c r="F676" s="1">
        <v>1577.64282226562</v>
      </c>
      <c r="G676">
        <f t="shared" si="11"/>
        <v>13.374988609790478</v>
      </c>
    </row>
    <row r="677" spans="1:7" ht="13" x14ac:dyDescent="0.15">
      <c r="A677" s="2">
        <v>44774</v>
      </c>
      <c r="B677" s="1" t="s">
        <v>6</v>
      </c>
      <c r="C677" s="1" t="s">
        <v>9</v>
      </c>
      <c r="D677" s="1">
        <v>20.6301956176757</v>
      </c>
      <c r="E677" s="1">
        <v>178.89032031202501</v>
      </c>
      <c r="F677" s="1">
        <v>1577.64282226562</v>
      </c>
      <c r="G677">
        <f t="shared" si="11"/>
        <v>13.374988609790478</v>
      </c>
    </row>
    <row r="678" spans="1:7" ht="13" x14ac:dyDescent="0.15">
      <c r="A678" s="2">
        <v>44774</v>
      </c>
      <c r="B678" s="1" t="s">
        <v>12</v>
      </c>
      <c r="C678" s="1" t="s">
        <v>9</v>
      </c>
      <c r="D678" s="1">
        <v>20.6301956176757</v>
      </c>
      <c r="E678" s="1">
        <v>178.89032031202501</v>
      </c>
      <c r="F678" s="1">
        <v>1577.64282226562</v>
      </c>
      <c r="G678">
        <f t="shared" si="11"/>
        <v>13.374988609790478</v>
      </c>
    </row>
    <row r="679" spans="1:7" ht="13" x14ac:dyDescent="0.15">
      <c r="A679" s="2">
        <v>44682</v>
      </c>
      <c r="B679" s="1" t="s">
        <v>12</v>
      </c>
      <c r="C679" s="1" t="s">
        <v>20</v>
      </c>
      <c r="D679" s="1">
        <v>1</v>
      </c>
      <c r="E679" s="1">
        <v>101.06040040875</v>
      </c>
      <c r="F679" s="1">
        <v>895</v>
      </c>
      <c r="G679">
        <f t="shared" si="11"/>
        <v>10.052880204635386</v>
      </c>
    </row>
    <row r="680" spans="1:7" ht="13" x14ac:dyDescent="0.15">
      <c r="A680" s="2">
        <v>44682</v>
      </c>
      <c r="B680" s="1" t="s">
        <v>14</v>
      </c>
      <c r="C680" s="1" t="s">
        <v>20</v>
      </c>
      <c r="D680" s="1">
        <v>1</v>
      </c>
      <c r="E680" s="1">
        <v>101.06040040875</v>
      </c>
      <c r="F680" s="1">
        <v>895</v>
      </c>
      <c r="G680">
        <f t="shared" si="11"/>
        <v>10.052880204635386</v>
      </c>
    </row>
    <row r="681" spans="1:7" ht="13" x14ac:dyDescent="0.15">
      <c r="A681" s="2">
        <v>44682</v>
      </c>
      <c r="B681" s="1" t="s">
        <v>6</v>
      </c>
      <c r="C681" s="1" t="s">
        <v>20</v>
      </c>
      <c r="D681" s="1">
        <v>1</v>
      </c>
      <c r="E681" s="1">
        <v>101.06040040875</v>
      </c>
      <c r="F681" s="1">
        <v>895</v>
      </c>
      <c r="G681">
        <f t="shared" si="11"/>
        <v>10.052880204635386</v>
      </c>
    </row>
    <row r="682" spans="1:7" ht="13" x14ac:dyDescent="0.15">
      <c r="A682" s="2">
        <v>44682</v>
      </c>
      <c r="B682" s="1" t="s">
        <v>13</v>
      </c>
      <c r="C682" s="1" t="s">
        <v>20</v>
      </c>
      <c r="D682" s="1">
        <v>1</v>
      </c>
      <c r="E682" s="1">
        <v>101.06040040875</v>
      </c>
      <c r="F682" s="1">
        <v>895</v>
      </c>
      <c r="G682">
        <f t="shared" si="11"/>
        <v>10.052880204635386</v>
      </c>
    </row>
    <row r="683" spans="1:7" ht="13" x14ac:dyDescent="0.15">
      <c r="A683" s="2">
        <v>44682</v>
      </c>
      <c r="B683" s="1" t="s">
        <v>10</v>
      </c>
      <c r="C683" s="1" t="s">
        <v>20</v>
      </c>
      <c r="D683" s="1">
        <v>1</v>
      </c>
      <c r="E683" s="1">
        <v>101.06040040875</v>
      </c>
      <c r="F683" s="1">
        <v>895</v>
      </c>
      <c r="G683">
        <f t="shared" si="11"/>
        <v>10.052880204635386</v>
      </c>
    </row>
    <row r="684" spans="1:7" ht="13" x14ac:dyDescent="0.15">
      <c r="A684" s="3">
        <v>44866</v>
      </c>
      <c r="B684" s="1" t="s">
        <v>13</v>
      </c>
      <c r="C684" s="1" t="s">
        <v>20</v>
      </c>
      <c r="D684" s="1">
        <v>4.9567809104919398</v>
      </c>
      <c r="E684" s="1">
        <v>92.720529280742895</v>
      </c>
      <c r="F684" s="1">
        <v>1164</v>
      </c>
      <c r="G684">
        <f t="shared" si="11"/>
        <v>9.6291499770614699</v>
      </c>
    </row>
    <row r="685" spans="1:7" ht="13" x14ac:dyDescent="0.15">
      <c r="A685" s="3">
        <v>44866</v>
      </c>
      <c r="B685" s="1" t="s">
        <v>12</v>
      </c>
      <c r="C685" s="1" t="s">
        <v>20</v>
      </c>
      <c r="D685" s="1">
        <v>4.9567809104919398</v>
      </c>
      <c r="E685" s="1">
        <v>92.720529280742895</v>
      </c>
      <c r="F685" s="1">
        <v>1164</v>
      </c>
      <c r="G685">
        <f t="shared" si="11"/>
        <v>9.6291499770614699</v>
      </c>
    </row>
    <row r="686" spans="1:7" ht="13" x14ac:dyDescent="0.15">
      <c r="A686" s="3">
        <v>44866</v>
      </c>
      <c r="B686" s="1" t="s">
        <v>6</v>
      </c>
      <c r="C686" s="1" t="s">
        <v>20</v>
      </c>
      <c r="D686" s="1">
        <v>4.9567809104919398</v>
      </c>
      <c r="E686" s="1">
        <v>92.720529280742895</v>
      </c>
      <c r="F686" s="1">
        <v>1164</v>
      </c>
      <c r="G686">
        <f t="shared" si="11"/>
        <v>9.6291499770614699</v>
      </c>
    </row>
    <row r="687" spans="1:7" ht="13" x14ac:dyDescent="0.15">
      <c r="A687" s="3">
        <v>44866</v>
      </c>
      <c r="B687" s="1" t="s">
        <v>10</v>
      </c>
      <c r="C687" s="1" t="s">
        <v>20</v>
      </c>
      <c r="D687" s="1">
        <v>4.9567809104919398</v>
      </c>
      <c r="E687" s="1">
        <v>92.720529280742895</v>
      </c>
      <c r="F687" s="1">
        <v>1164</v>
      </c>
      <c r="G687">
        <f t="shared" si="11"/>
        <v>9.6291499770614699</v>
      </c>
    </row>
    <row r="688" spans="1:7" ht="13" x14ac:dyDescent="0.15">
      <c r="A688" s="3">
        <v>44866</v>
      </c>
      <c r="B688" s="1" t="s">
        <v>14</v>
      </c>
      <c r="C688" s="1" t="s">
        <v>20</v>
      </c>
      <c r="D688" s="1">
        <v>4.9567809104919398</v>
      </c>
      <c r="E688" s="1">
        <v>92.720529280742895</v>
      </c>
      <c r="F688" s="1">
        <v>1164</v>
      </c>
      <c r="G688">
        <f t="shared" si="11"/>
        <v>9.6291499770614699</v>
      </c>
    </row>
    <row r="689" spans="1:7" ht="13" x14ac:dyDescent="0.15">
      <c r="A689" s="2">
        <v>44958</v>
      </c>
      <c r="B689" s="1" t="s">
        <v>10</v>
      </c>
      <c r="C689" s="1" t="s">
        <v>24</v>
      </c>
      <c r="D689" s="1">
        <v>44.7572021484375</v>
      </c>
      <c r="E689" s="1">
        <v>318.76071629454901</v>
      </c>
      <c r="F689" s="1">
        <v>1820</v>
      </c>
      <c r="G689">
        <f t="shared" si="11"/>
        <v>17.853871185111341</v>
      </c>
    </row>
    <row r="690" spans="1:7" ht="13" x14ac:dyDescent="0.15">
      <c r="A690" s="2">
        <v>44958</v>
      </c>
      <c r="B690" s="1" t="s">
        <v>14</v>
      </c>
      <c r="C690" s="1" t="s">
        <v>24</v>
      </c>
      <c r="D690" s="1">
        <v>44.7572021484375</v>
      </c>
      <c r="E690" s="1">
        <v>318.76071629454901</v>
      </c>
      <c r="F690" s="1">
        <v>1820</v>
      </c>
      <c r="G690">
        <f t="shared" si="11"/>
        <v>17.853871185111341</v>
      </c>
    </row>
    <row r="691" spans="1:7" ht="13" x14ac:dyDescent="0.15">
      <c r="A691" s="2">
        <v>44958</v>
      </c>
      <c r="B691" s="1" t="s">
        <v>12</v>
      </c>
      <c r="C691" s="1" t="s">
        <v>24</v>
      </c>
      <c r="D691" s="1">
        <v>44.7572021484375</v>
      </c>
      <c r="E691" s="1">
        <v>318.76071629454901</v>
      </c>
      <c r="F691" s="1">
        <v>1820</v>
      </c>
      <c r="G691">
        <f t="shared" si="11"/>
        <v>17.853871185111341</v>
      </c>
    </row>
    <row r="692" spans="1:7" ht="13" x14ac:dyDescent="0.15">
      <c r="A692" s="2">
        <v>44958</v>
      </c>
      <c r="B692" s="1" t="s">
        <v>6</v>
      </c>
      <c r="C692" s="1" t="s">
        <v>24</v>
      </c>
      <c r="D692" s="1">
        <v>44.7572021484375</v>
      </c>
      <c r="E692" s="1">
        <v>318.76071629454901</v>
      </c>
      <c r="F692" s="1">
        <v>1820</v>
      </c>
      <c r="G692">
        <f t="shared" si="11"/>
        <v>17.853871185111341</v>
      </c>
    </row>
    <row r="693" spans="1:7" ht="13" x14ac:dyDescent="0.15">
      <c r="A693" s="2">
        <v>44958</v>
      </c>
      <c r="B693" s="1" t="s">
        <v>13</v>
      </c>
      <c r="C693" s="1" t="s">
        <v>24</v>
      </c>
      <c r="D693" s="1">
        <v>44.7572021484375</v>
      </c>
      <c r="E693" s="1">
        <v>318.76071629454901</v>
      </c>
      <c r="F693" s="1">
        <v>1820</v>
      </c>
      <c r="G693">
        <f t="shared" si="11"/>
        <v>17.853871185111341</v>
      </c>
    </row>
    <row r="694" spans="1:7" ht="13" x14ac:dyDescent="0.15">
      <c r="A694" s="2">
        <v>44743</v>
      </c>
      <c r="B694" s="1" t="s">
        <v>10</v>
      </c>
      <c r="C694" s="1" t="s">
        <v>22</v>
      </c>
      <c r="D694" s="1">
        <v>8</v>
      </c>
      <c r="E694" s="1">
        <v>103.796670971092</v>
      </c>
      <c r="F694" s="1">
        <v>991</v>
      </c>
      <c r="G694">
        <f t="shared" si="11"/>
        <v>10.188065124011134</v>
      </c>
    </row>
    <row r="695" spans="1:7" ht="13" x14ac:dyDescent="0.15">
      <c r="A695" s="2">
        <v>44743</v>
      </c>
      <c r="B695" s="1" t="s">
        <v>14</v>
      </c>
      <c r="C695" s="1" t="s">
        <v>22</v>
      </c>
      <c r="D695" s="1">
        <v>8</v>
      </c>
      <c r="E695" s="1">
        <v>103.796670971092</v>
      </c>
      <c r="F695" s="1">
        <v>991</v>
      </c>
      <c r="G695">
        <f t="shared" si="11"/>
        <v>10.188065124011134</v>
      </c>
    </row>
    <row r="696" spans="1:7" ht="13" x14ac:dyDescent="0.15">
      <c r="A696" s="2">
        <v>44743</v>
      </c>
      <c r="B696" s="1" t="s">
        <v>6</v>
      </c>
      <c r="C696" s="1" t="s">
        <v>22</v>
      </c>
      <c r="D696" s="1">
        <v>8</v>
      </c>
      <c r="E696" s="1">
        <v>103.796670971092</v>
      </c>
      <c r="F696" s="1">
        <v>991</v>
      </c>
      <c r="G696">
        <f t="shared" si="11"/>
        <v>10.188065124011134</v>
      </c>
    </row>
    <row r="697" spans="1:7" ht="13" x14ac:dyDescent="0.15">
      <c r="A697" s="2">
        <v>44743</v>
      </c>
      <c r="B697" s="1" t="s">
        <v>13</v>
      </c>
      <c r="C697" s="1" t="s">
        <v>22</v>
      </c>
      <c r="D697" s="1">
        <v>8</v>
      </c>
      <c r="E697" s="1">
        <v>103.796670971092</v>
      </c>
      <c r="F697" s="1">
        <v>991</v>
      </c>
      <c r="G697">
        <f t="shared" si="11"/>
        <v>10.188065124011134</v>
      </c>
    </row>
    <row r="698" spans="1:7" ht="13" x14ac:dyDescent="0.15">
      <c r="A698" s="2">
        <v>44743</v>
      </c>
      <c r="B698" s="1" t="s">
        <v>12</v>
      </c>
      <c r="C698" s="1" t="s">
        <v>22</v>
      </c>
      <c r="D698" s="1">
        <v>8</v>
      </c>
      <c r="E698" s="1">
        <v>103.796670971092</v>
      </c>
      <c r="F698" s="1">
        <v>991</v>
      </c>
      <c r="G698">
        <f t="shared" si="11"/>
        <v>10.188065124011134</v>
      </c>
    </row>
    <row r="699" spans="1:7" ht="13" x14ac:dyDescent="0.15">
      <c r="A699" s="2">
        <v>44958</v>
      </c>
      <c r="B699" s="1" t="s">
        <v>10</v>
      </c>
      <c r="C699" s="1" t="s">
        <v>17</v>
      </c>
      <c r="D699" s="1">
        <v>74.779998779296804</v>
      </c>
      <c r="E699" s="1">
        <v>642.79243865175602</v>
      </c>
      <c r="F699" s="1">
        <v>2699.12036132812</v>
      </c>
      <c r="G699">
        <f t="shared" si="11"/>
        <v>25.353351625608713</v>
      </c>
    </row>
    <row r="700" spans="1:7" ht="13" x14ac:dyDescent="0.15">
      <c r="A700" s="2">
        <v>44958</v>
      </c>
      <c r="B700" s="1" t="s">
        <v>14</v>
      </c>
      <c r="C700" s="1" t="s">
        <v>17</v>
      </c>
      <c r="D700" s="1">
        <v>74.779998779296804</v>
      </c>
      <c r="E700" s="1">
        <v>642.79243865175602</v>
      </c>
      <c r="F700" s="1">
        <v>2699.12036132812</v>
      </c>
      <c r="G700">
        <f t="shared" si="11"/>
        <v>25.353351625608713</v>
      </c>
    </row>
    <row r="701" spans="1:7" ht="13" x14ac:dyDescent="0.15">
      <c r="A701" s="2">
        <v>44958</v>
      </c>
      <c r="B701" s="1" t="s">
        <v>12</v>
      </c>
      <c r="C701" s="1" t="s">
        <v>17</v>
      </c>
      <c r="D701" s="1">
        <v>74.779998779296804</v>
      </c>
      <c r="E701" s="1">
        <v>642.79243865175602</v>
      </c>
      <c r="F701" s="1">
        <v>2699.12036132812</v>
      </c>
      <c r="G701">
        <f t="shared" si="11"/>
        <v>25.353351625608713</v>
      </c>
    </row>
    <row r="702" spans="1:7" ht="13" x14ac:dyDescent="0.15">
      <c r="A702" s="2">
        <v>44958</v>
      </c>
      <c r="B702" s="1" t="s">
        <v>6</v>
      </c>
      <c r="C702" s="1" t="s">
        <v>17</v>
      </c>
      <c r="D702" s="1">
        <v>74.779998779296804</v>
      </c>
      <c r="E702" s="1">
        <v>642.79243865175602</v>
      </c>
      <c r="F702" s="1">
        <v>2699.12036132812</v>
      </c>
      <c r="G702">
        <f t="shared" si="11"/>
        <v>25.353351625608713</v>
      </c>
    </row>
    <row r="703" spans="1:7" ht="13" x14ac:dyDescent="0.15">
      <c r="A703" s="2">
        <v>44958</v>
      </c>
      <c r="B703" s="1" t="s">
        <v>13</v>
      </c>
      <c r="C703" s="1" t="s">
        <v>17</v>
      </c>
      <c r="D703" s="1">
        <v>74.779998779296804</v>
      </c>
      <c r="E703" s="1">
        <v>642.79243865175602</v>
      </c>
      <c r="F703" s="1">
        <v>2699.12036132812</v>
      </c>
      <c r="G703">
        <f t="shared" si="11"/>
        <v>25.353351625608713</v>
      </c>
    </row>
    <row r="704" spans="1:7" ht="13" x14ac:dyDescent="0.15">
      <c r="A704" s="2">
        <v>44743</v>
      </c>
      <c r="B704" s="1" t="s">
        <v>10</v>
      </c>
      <c r="C704" s="1" t="s">
        <v>7</v>
      </c>
      <c r="D704" s="1">
        <v>33</v>
      </c>
      <c r="E704" s="1">
        <v>271.44564672107902</v>
      </c>
      <c r="F704" s="1">
        <v>2194.56420898437</v>
      </c>
      <c r="G704">
        <f t="shared" si="11"/>
        <v>16.475607628281242</v>
      </c>
    </row>
    <row r="705" spans="1:7" ht="13" x14ac:dyDescent="0.15">
      <c r="A705" s="2">
        <v>44743</v>
      </c>
      <c r="B705" s="1" t="s">
        <v>14</v>
      </c>
      <c r="C705" s="1" t="s">
        <v>7</v>
      </c>
      <c r="D705" s="1">
        <v>33</v>
      </c>
      <c r="E705" s="1">
        <v>271.44564672107902</v>
      </c>
      <c r="F705" s="1">
        <v>2194.56420898437</v>
      </c>
      <c r="G705">
        <f t="shared" si="11"/>
        <v>16.475607628281242</v>
      </c>
    </row>
    <row r="706" spans="1:7" ht="13" x14ac:dyDescent="0.15">
      <c r="A706" s="2">
        <v>44743</v>
      </c>
      <c r="B706" s="1" t="s">
        <v>6</v>
      </c>
      <c r="C706" s="1" t="s">
        <v>7</v>
      </c>
      <c r="D706" s="1">
        <v>33</v>
      </c>
      <c r="E706" s="1">
        <v>271.44564672107902</v>
      </c>
      <c r="F706" s="1">
        <v>2194.56420898437</v>
      </c>
      <c r="G706">
        <f t="shared" si="11"/>
        <v>16.475607628281242</v>
      </c>
    </row>
    <row r="707" spans="1:7" ht="13" x14ac:dyDescent="0.15">
      <c r="A707" s="2">
        <v>44743</v>
      </c>
      <c r="B707" s="1" t="s">
        <v>13</v>
      </c>
      <c r="C707" s="1" t="s">
        <v>7</v>
      </c>
      <c r="D707" s="1">
        <v>33</v>
      </c>
      <c r="E707" s="1">
        <v>271.44564672107902</v>
      </c>
      <c r="F707" s="1">
        <v>2194.56420898437</v>
      </c>
      <c r="G707">
        <f t="shared" ref="G707:G770" si="12">SQRT(E707)</f>
        <v>16.475607628281242</v>
      </c>
    </row>
    <row r="708" spans="1:7" ht="13" x14ac:dyDescent="0.15">
      <c r="A708" s="2">
        <v>44743</v>
      </c>
      <c r="B708" s="1" t="s">
        <v>12</v>
      </c>
      <c r="C708" s="1" t="s">
        <v>7</v>
      </c>
      <c r="D708" s="1">
        <v>33</v>
      </c>
      <c r="E708" s="1">
        <v>271.44564672107902</v>
      </c>
      <c r="F708" s="1">
        <v>2194.56420898437</v>
      </c>
      <c r="G708">
        <f t="shared" si="12"/>
        <v>16.475607628281242</v>
      </c>
    </row>
    <row r="709" spans="1:7" ht="13" x14ac:dyDescent="0.15">
      <c r="A709" s="2">
        <v>44774</v>
      </c>
      <c r="B709" s="1" t="s">
        <v>13</v>
      </c>
      <c r="C709" s="1" t="s">
        <v>7</v>
      </c>
      <c r="D709" s="1">
        <v>33</v>
      </c>
      <c r="E709" s="1">
        <v>250.41501863753399</v>
      </c>
      <c r="F709" s="1">
        <v>2194.56420898437</v>
      </c>
      <c r="G709">
        <f t="shared" si="12"/>
        <v>15.824506900296578</v>
      </c>
    </row>
    <row r="710" spans="1:7" ht="13" x14ac:dyDescent="0.15">
      <c r="A710" s="2">
        <v>44774</v>
      </c>
      <c r="B710" s="1" t="s">
        <v>10</v>
      </c>
      <c r="C710" s="1" t="s">
        <v>7</v>
      </c>
      <c r="D710" s="1">
        <v>33</v>
      </c>
      <c r="E710" s="1">
        <v>250.41501863753399</v>
      </c>
      <c r="F710" s="1">
        <v>2194.56420898437</v>
      </c>
      <c r="G710">
        <f t="shared" si="12"/>
        <v>15.824506900296578</v>
      </c>
    </row>
    <row r="711" spans="1:7" ht="13" x14ac:dyDescent="0.15">
      <c r="A711" s="2">
        <v>44774</v>
      </c>
      <c r="B711" s="1" t="s">
        <v>14</v>
      </c>
      <c r="C711" s="1" t="s">
        <v>7</v>
      </c>
      <c r="D711" s="1">
        <v>33</v>
      </c>
      <c r="E711" s="1">
        <v>250.41501863753399</v>
      </c>
      <c r="F711" s="1">
        <v>2194.56420898437</v>
      </c>
      <c r="G711">
        <f t="shared" si="12"/>
        <v>15.824506900296578</v>
      </c>
    </row>
    <row r="712" spans="1:7" ht="13" x14ac:dyDescent="0.15">
      <c r="A712" s="2">
        <v>44774</v>
      </c>
      <c r="B712" s="1" t="s">
        <v>6</v>
      </c>
      <c r="C712" s="1" t="s">
        <v>7</v>
      </c>
      <c r="D712" s="1">
        <v>33</v>
      </c>
      <c r="E712" s="1">
        <v>250.41501863753399</v>
      </c>
      <c r="F712" s="1">
        <v>2194.56420898437</v>
      </c>
      <c r="G712">
        <f t="shared" si="12"/>
        <v>15.824506900296578</v>
      </c>
    </row>
    <row r="713" spans="1:7" ht="13" x14ac:dyDescent="0.15">
      <c r="A713" s="2">
        <v>44774</v>
      </c>
      <c r="B713" s="1" t="s">
        <v>12</v>
      </c>
      <c r="C713" s="1" t="s">
        <v>7</v>
      </c>
      <c r="D713" s="1">
        <v>33</v>
      </c>
      <c r="E713" s="1">
        <v>250.41501863753399</v>
      </c>
      <c r="F713" s="1">
        <v>2194.56420898437</v>
      </c>
      <c r="G713">
        <f t="shared" si="12"/>
        <v>15.824506900296578</v>
      </c>
    </row>
    <row r="714" spans="1:7" ht="13" x14ac:dyDescent="0.15">
      <c r="A714" s="3">
        <v>44531</v>
      </c>
      <c r="B714" s="1" t="s">
        <v>14</v>
      </c>
      <c r="C714" s="1" t="s">
        <v>18</v>
      </c>
      <c r="D714" s="1">
        <v>16.045707702636701</v>
      </c>
      <c r="E714" s="1">
        <v>172.403719469636</v>
      </c>
      <c r="F714" s="1">
        <v>1304.3125</v>
      </c>
      <c r="G714">
        <f t="shared" si="12"/>
        <v>13.130259687821715</v>
      </c>
    </row>
    <row r="715" spans="1:7" ht="13" x14ac:dyDescent="0.15">
      <c r="A715" s="3">
        <v>44531</v>
      </c>
      <c r="B715" s="1" t="s">
        <v>6</v>
      </c>
      <c r="C715" s="1" t="s">
        <v>18</v>
      </c>
      <c r="D715" s="1">
        <v>16.045707702636701</v>
      </c>
      <c r="E715" s="1">
        <v>172.403719469636</v>
      </c>
      <c r="F715" s="1">
        <v>1304.3125</v>
      </c>
      <c r="G715">
        <f t="shared" si="12"/>
        <v>13.130259687821715</v>
      </c>
    </row>
    <row r="716" spans="1:7" ht="13" x14ac:dyDescent="0.15">
      <c r="A716" s="3">
        <v>44531</v>
      </c>
      <c r="B716" s="1" t="s">
        <v>10</v>
      </c>
      <c r="C716" s="1" t="s">
        <v>18</v>
      </c>
      <c r="D716" s="1">
        <v>16.045707702636701</v>
      </c>
      <c r="E716" s="1">
        <v>172.403719469636</v>
      </c>
      <c r="F716" s="1">
        <v>1304.3125</v>
      </c>
      <c r="G716">
        <f t="shared" si="12"/>
        <v>13.130259687821715</v>
      </c>
    </row>
    <row r="717" spans="1:7" ht="13" x14ac:dyDescent="0.15">
      <c r="A717" s="3">
        <v>44531</v>
      </c>
      <c r="B717" s="1" t="s">
        <v>12</v>
      </c>
      <c r="C717" s="1" t="s">
        <v>18</v>
      </c>
      <c r="D717" s="1">
        <v>16.045707702636701</v>
      </c>
      <c r="E717" s="1">
        <v>172.403719469636</v>
      </c>
      <c r="F717" s="1">
        <v>1304.3125</v>
      </c>
      <c r="G717">
        <f t="shared" si="12"/>
        <v>13.130259687821715</v>
      </c>
    </row>
    <row r="718" spans="1:7" ht="13" x14ac:dyDescent="0.15">
      <c r="A718" s="3">
        <v>44531</v>
      </c>
      <c r="B718" s="1" t="s">
        <v>13</v>
      </c>
      <c r="C718" s="1" t="s">
        <v>18</v>
      </c>
      <c r="D718" s="1">
        <v>16.045707702636701</v>
      </c>
      <c r="E718" s="1">
        <v>172.403719469636</v>
      </c>
      <c r="F718" s="1">
        <v>1304.3125</v>
      </c>
      <c r="G718">
        <f t="shared" si="12"/>
        <v>13.130259687821715</v>
      </c>
    </row>
    <row r="719" spans="1:7" ht="13" x14ac:dyDescent="0.15">
      <c r="A719" s="2">
        <v>44774</v>
      </c>
      <c r="B719" s="1" t="s">
        <v>13</v>
      </c>
      <c r="C719" s="1" t="s">
        <v>8</v>
      </c>
      <c r="D719" s="1">
        <v>46</v>
      </c>
      <c r="E719" s="1">
        <v>394.82709553680399</v>
      </c>
      <c r="F719" s="1">
        <v>1697.5</v>
      </c>
      <c r="G719">
        <f t="shared" si="12"/>
        <v>19.870256554378052</v>
      </c>
    </row>
    <row r="720" spans="1:7" ht="13" x14ac:dyDescent="0.15">
      <c r="A720" s="2">
        <v>44774</v>
      </c>
      <c r="B720" s="1" t="s">
        <v>10</v>
      </c>
      <c r="C720" s="1" t="s">
        <v>8</v>
      </c>
      <c r="D720" s="1">
        <v>46</v>
      </c>
      <c r="E720" s="1">
        <v>394.82709553680399</v>
      </c>
      <c r="F720" s="1">
        <v>1697.5</v>
      </c>
      <c r="G720">
        <f t="shared" si="12"/>
        <v>19.870256554378052</v>
      </c>
    </row>
    <row r="721" spans="1:7" ht="13" x14ac:dyDescent="0.15">
      <c r="A721" s="2">
        <v>44774</v>
      </c>
      <c r="B721" s="1" t="s">
        <v>14</v>
      </c>
      <c r="C721" s="1" t="s">
        <v>8</v>
      </c>
      <c r="D721" s="1">
        <v>46</v>
      </c>
      <c r="E721" s="1">
        <v>394.82709553680399</v>
      </c>
      <c r="F721" s="1">
        <v>1697.5</v>
      </c>
      <c r="G721">
        <f t="shared" si="12"/>
        <v>19.870256554378052</v>
      </c>
    </row>
    <row r="722" spans="1:7" ht="13" x14ac:dyDescent="0.15">
      <c r="A722" s="2">
        <v>44774</v>
      </c>
      <c r="B722" s="1" t="s">
        <v>6</v>
      </c>
      <c r="C722" s="1" t="s">
        <v>8</v>
      </c>
      <c r="D722" s="1">
        <v>46</v>
      </c>
      <c r="E722" s="1">
        <v>394.82709553680399</v>
      </c>
      <c r="F722" s="1">
        <v>1697.5</v>
      </c>
      <c r="G722">
        <f t="shared" si="12"/>
        <v>19.870256554378052</v>
      </c>
    </row>
    <row r="723" spans="1:7" ht="13" x14ac:dyDescent="0.15">
      <c r="A723" s="2">
        <v>44774</v>
      </c>
      <c r="B723" s="1" t="s">
        <v>12</v>
      </c>
      <c r="C723" s="1" t="s">
        <v>8</v>
      </c>
      <c r="D723" s="1">
        <v>46</v>
      </c>
      <c r="E723" s="1">
        <v>394.82709553680399</v>
      </c>
      <c r="F723" s="1">
        <v>1697.5</v>
      </c>
      <c r="G723">
        <f t="shared" si="12"/>
        <v>19.870256554378052</v>
      </c>
    </row>
    <row r="724" spans="1:7" ht="13" x14ac:dyDescent="0.15">
      <c r="A724" s="3">
        <v>44531</v>
      </c>
      <c r="B724" s="1" t="s">
        <v>14</v>
      </c>
      <c r="C724" s="1" t="s">
        <v>22</v>
      </c>
      <c r="D724" s="1">
        <v>13.168941497802701</v>
      </c>
      <c r="E724" s="1">
        <v>112.801981189901</v>
      </c>
      <c r="F724" s="1">
        <v>1286.5</v>
      </c>
      <c r="G724">
        <f t="shared" si="12"/>
        <v>10.620827707382368</v>
      </c>
    </row>
    <row r="725" spans="1:7" ht="13" x14ac:dyDescent="0.15">
      <c r="A725" s="3">
        <v>44531</v>
      </c>
      <c r="B725" s="1" t="s">
        <v>6</v>
      </c>
      <c r="C725" s="1" t="s">
        <v>22</v>
      </c>
      <c r="D725" s="1">
        <v>13.168941497802701</v>
      </c>
      <c r="E725" s="1">
        <v>112.801981189901</v>
      </c>
      <c r="F725" s="1">
        <v>1286.5</v>
      </c>
      <c r="G725">
        <f t="shared" si="12"/>
        <v>10.620827707382368</v>
      </c>
    </row>
    <row r="726" spans="1:7" ht="13" x14ac:dyDescent="0.15">
      <c r="A726" s="3">
        <v>44531</v>
      </c>
      <c r="B726" s="1" t="s">
        <v>10</v>
      </c>
      <c r="C726" s="1" t="s">
        <v>22</v>
      </c>
      <c r="D726" s="1">
        <v>13.168941497802701</v>
      </c>
      <c r="E726" s="1">
        <v>112.801981189901</v>
      </c>
      <c r="F726" s="1">
        <v>1286.5</v>
      </c>
      <c r="G726">
        <f t="shared" si="12"/>
        <v>10.620827707382368</v>
      </c>
    </row>
    <row r="727" spans="1:7" ht="13" x14ac:dyDescent="0.15">
      <c r="A727" s="3">
        <v>44531</v>
      </c>
      <c r="B727" s="1" t="s">
        <v>12</v>
      </c>
      <c r="C727" s="1" t="s">
        <v>22</v>
      </c>
      <c r="D727" s="1">
        <v>13.168941497802701</v>
      </c>
      <c r="E727" s="1">
        <v>112.801981189901</v>
      </c>
      <c r="F727" s="1">
        <v>1286.5</v>
      </c>
      <c r="G727">
        <f t="shared" si="12"/>
        <v>10.620827707382368</v>
      </c>
    </row>
    <row r="728" spans="1:7" ht="13" x14ac:dyDescent="0.15">
      <c r="A728" s="3">
        <v>44531</v>
      </c>
      <c r="B728" s="1" t="s">
        <v>13</v>
      </c>
      <c r="C728" s="1" t="s">
        <v>22</v>
      </c>
      <c r="D728" s="1">
        <v>13.168941497802701</v>
      </c>
      <c r="E728" s="1">
        <v>112.801981189901</v>
      </c>
      <c r="F728" s="1">
        <v>1286.5</v>
      </c>
      <c r="G728">
        <f t="shared" si="12"/>
        <v>10.620827707382368</v>
      </c>
    </row>
    <row r="729" spans="1:7" ht="13" x14ac:dyDescent="0.15">
      <c r="A729" s="2">
        <v>44621</v>
      </c>
      <c r="B729" s="1" t="s">
        <v>12</v>
      </c>
      <c r="C729" s="1" t="s">
        <v>21</v>
      </c>
      <c r="D729" s="1">
        <v>64</v>
      </c>
      <c r="E729" s="1">
        <v>713.78969506702197</v>
      </c>
      <c r="F729" s="1">
        <v>3133</v>
      </c>
      <c r="G729">
        <f t="shared" si="12"/>
        <v>26.716842909801713</v>
      </c>
    </row>
    <row r="730" spans="1:7" ht="13" x14ac:dyDescent="0.15">
      <c r="A730" s="2">
        <v>44621</v>
      </c>
      <c r="B730" s="1" t="s">
        <v>6</v>
      </c>
      <c r="C730" s="1" t="s">
        <v>21</v>
      </c>
      <c r="D730" s="1">
        <v>64</v>
      </c>
      <c r="E730" s="1">
        <v>713.78969506702197</v>
      </c>
      <c r="F730" s="1">
        <v>3133</v>
      </c>
      <c r="G730">
        <f t="shared" si="12"/>
        <v>26.716842909801713</v>
      </c>
    </row>
    <row r="731" spans="1:7" ht="13" x14ac:dyDescent="0.15">
      <c r="A731" s="2">
        <v>44621</v>
      </c>
      <c r="B731" s="1" t="s">
        <v>10</v>
      </c>
      <c r="C731" s="1" t="s">
        <v>21</v>
      </c>
      <c r="D731" s="1">
        <v>64</v>
      </c>
      <c r="E731" s="1">
        <v>713.78969506702197</v>
      </c>
      <c r="F731" s="1">
        <v>3133</v>
      </c>
      <c r="G731">
        <f t="shared" si="12"/>
        <v>26.716842909801713</v>
      </c>
    </row>
    <row r="732" spans="1:7" ht="13" x14ac:dyDescent="0.15">
      <c r="A732" s="2">
        <v>44621</v>
      </c>
      <c r="B732" s="1" t="s">
        <v>13</v>
      </c>
      <c r="C732" s="1" t="s">
        <v>21</v>
      </c>
      <c r="D732" s="1">
        <v>64</v>
      </c>
      <c r="E732" s="1">
        <v>713.78969506702197</v>
      </c>
      <c r="F732" s="1">
        <v>3133</v>
      </c>
      <c r="G732">
        <f t="shared" si="12"/>
        <v>26.716842909801713</v>
      </c>
    </row>
    <row r="733" spans="1:7" ht="13" x14ac:dyDescent="0.15">
      <c r="A733" s="2">
        <v>44621</v>
      </c>
      <c r="B733" s="1" t="s">
        <v>14</v>
      </c>
      <c r="C733" s="1" t="s">
        <v>21</v>
      </c>
      <c r="D733" s="1">
        <v>64</v>
      </c>
      <c r="E733" s="1">
        <v>713.78969506702197</v>
      </c>
      <c r="F733" s="1">
        <v>3133</v>
      </c>
      <c r="G733">
        <f t="shared" si="12"/>
        <v>26.716842909801713</v>
      </c>
    </row>
    <row r="734" spans="1:7" ht="13" x14ac:dyDescent="0.15">
      <c r="A734" s="2">
        <v>44986</v>
      </c>
      <c r="B734" s="1" t="s">
        <v>6</v>
      </c>
      <c r="C734" s="1" t="s">
        <v>11</v>
      </c>
      <c r="D734" s="1">
        <v>132.33062744140599</v>
      </c>
      <c r="E734" s="1">
        <v>502.13860853937399</v>
      </c>
      <c r="F734" s="1">
        <v>990.2333984375</v>
      </c>
      <c r="G734">
        <f t="shared" si="12"/>
        <v>22.408449489854803</v>
      </c>
    </row>
    <row r="735" spans="1:7" ht="13" x14ac:dyDescent="0.15">
      <c r="A735" s="2">
        <v>44986</v>
      </c>
      <c r="B735" s="1" t="s">
        <v>6</v>
      </c>
      <c r="C735" s="1" t="s">
        <v>21</v>
      </c>
      <c r="D735" s="1">
        <v>396.99191284179602</v>
      </c>
      <c r="E735" s="1">
        <v>1865.64501773897</v>
      </c>
      <c r="F735" s="1">
        <v>2757.31103515625</v>
      </c>
      <c r="G735">
        <f t="shared" si="12"/>
        <v>43.193113082283965</v>
      </c>
    </row>
    <row r="736" spans="1:7" ht="13" x14ac:dyDescent="0.15">
      <c r="A736" s="3">
        <v>44896</v>
      </c>
      <c r="B736" s="1" t="s">
        <v>10</v>
      </c>
      <c r="C736" s="1" t="s">
        <v>22</v>
      </c>
      <c r="D736" s="1">
        <v>13.489168167114199</v>
      </c>
      <c r="E736" s="1">
        <v>94.874811899995606</v>
      </c>
      <c r="F736" s="1">
        <v>2039.04309082031</v>
      </c>
      <c r="G736">
        <f t="shared" si="12"/>
        <v>9.7403702137031534</v>
      </c>
    </row>
    <row r="737" spans="1:7" ht="13" x14ac:dyDescent="0.15">
      <c r="A737" s="3">
        <v>44896</v>
      </c>
      <c r="B737" s="1" t="s">
        <v>14</v>
      </c>
      <c r="C737" s="1" t="s">
        <v>22</v>
      </c>
      <c r="D737" s="1">
        <v>13.489168167114199</v>
      </c>
      <c r="E737" s="1">
        <v>94.874811899995606</v>
      </c>
      <c r="F737" s="1">
        <v>2039.04309082031</v>
      </c>
      <c r="G737">
        <f t="shared" si="12"/>
        <v>9.7403702137031534</v>
      </c>
    </row>
    <row r="738" spans="1:7" ht="13" x14ac:dyDescent="0.15">
      <c r="A738" s="3">
        <v>44896</v>
      </c>
      <c r="B738" s="1" t="s">
        <v>6</v>
      </c>
      <c r="C738" s="1" t="s">
        <v>22</v>
      </c>
      <c r="D738" s="1">
        <v>13.489168167114199</v>
      </c>
      <c r="E738" s="1">
        <v>94.874811899995606</v>
      </c>
      <c r="F738" s="1">
        <v>2039.04309082031</v>
      </c>
      <c r="G738">
        <f t="shared" si="12"/>
        <v>9.7403702137031534</v>
      </c>
    </row>
    <row r="739" spans="1:7" ht="13" x14ac:dyDescent="0.15">
      <c r="A739" s="3">
        <v>44896</v>
      </c>
      <c r="B739" s="1" t="s">
        <v>13</v>
      </c>
      <c r="C739" s="1" t="s">
        <v>22</v>
      </c>
      <c r="D739" s="1">
        <v>13.489168167114199</v>
      </c>
      <c r="E739" s="1">
        <v>94.874811899995606</v>
      </c>
      <c r="F739" s="1">
        <v>2039.04309082031</v>
      </c>
      <c r="G739">
        <f t="shared" si="12"/>
        <v>9.7403702137031534</v>
      </c>
    </row>
    <row r="740" spans="1:7" ht="13" x14ac:dyDescent="0.15">
      <c r="A740" s="3">
        <v>44896</v>
      </c>
      <c r="B740" s="1" t="s">
        <v>12</v>
      </c>
      <c r="C740" s="1" t="s">
        <v>22</v>
      </c>
      <c r="D740" s="1">
        <v>13.489168167114199</v>
      </c>
      <c r="E740" s="1">
        <v>94.874811899995606</v>
      </c>
      <c r="F740" s="1">
        <v>2039.04309082031</v>
      </c>
      <c r="G740">
        <f t="shared" si="12"/>
        <v>9.7403702137031534</v>
      </c>
    </row>
    <row r="741" spans="1:7" ht="13" x14ac:dyDescent="0.15">
      <c r="A741" s="2">
        <v>44774</v>
      </c>
      <c r="B741" s="1" t="s">
        <v>13</v>
      </c>
      <c r="C741" s="1" t="s">
        <v>23</v>
      </c>
      <c r="D741" s="1">
        <v>41</v>
      </c>
      <c r="E741" s="1">
        <v>333.67192719585398</v>
      </c>
      <c r="F741" s="1">
        <v>1403.5</v>
      </c>
      <c r="G741">
        <f t="shared" si="12"/>
        <v>18.266689004739035</v>
      </c>
    </row>
    <row r="742" spans="1:7" ht="13" x14ac:dyDescent="0.15">
      <c r="A742" s="2">
        <v>44774</v>
      </c>
      <c r="B742" s="1" t="s">
        <v>10</v>
      </c>
      <c r="C742" s="1" t="s">
        <v>23</v>
      </c>
      <c r="D742" s="1">
        <v>41</v>
      </c>
      <c r="E742" s="1">
        <v>333.67192719585398</v>
      </c>
      <c r="F742" s="1">
        <v>1403.5</v>
      </c>
      <c r="G742">
        <f t="shared" si="12"/>
        <v>18.266689004739035</v>
      </c>
    </row>
    <row r="743" spans="1:7" ht="13" x14ac:dyDescent="0.15">
      <c r="A743" s="2">
        <v>44774</v>
      </c>
      <c r="B743" s="1" t="s">
        <v>14</v>
      </c>
      <c r="C743" s="1" t="s">
        <v>23</v>
      </c>
      <c r="D743" s="1">
        <v>41</v>
      </c>
      <c r="E743" s="1">
        <v>333.67192719585398</v>
      </c>
      <c r="F743" s="1">
        <v>1403.5</v>
      </c>
      <c r="G743">
        <f t="shared" si="12"/>
        <v>18.266689004739035</v>
      </c>
    </row>
    <row r="744" spans="1:7" ht="13" x14ac:dyDescent="0.15">
      <c r="A744" s="2">
        <v>44774</v>
      </c>
      <c r="B744" s="1" t="s">
        <v>6</v>
      </c>
      <c r="C744" s="1" t="s">
        <v>23</v>
      </c>
      <c r="D744" s="1">
        <v>41</v>
      </c>
      <c r="E744" s="1">
        <v>333.67192719585398</v>
      </c>
      <c r="F744" s="1">
        <v>1403.5</v>
      </c>
      <c r="G744">
        <f t="shared" si="12"/>
        <v>18.266689004739035</v>
      </c>
    </row>
    <row r="745" spans="1:7" ht="13" x14ac:dyDescent="0.15">
      <c r="A745" s="2">
        <v>44774</v>
      </c>
      <c r="B745" s="1" t="s">
        <v>12</v>
      </c>
      <c r="C745" s="1" t="s">
        <v>23</v>
      </c>
      <c r="D745" s="1">
        <v>41</v>
      </c>
      <c r="E745" s="1">
        <v>333.67192719585398</v>
      </c>
      <c r="F745" s="1">
        <v>1403.5</v>
      </c>
      <c r="G745">
        <f t="shared" si="12"/>
        <v>18.266689004739035</v>
      </c>
    </row>
    <row r="746" spans="1:7" ht="13" x14ac:dyDescent="0.15">
      <c r="A746" s="2">
        <v>44927</v>
      </c>
      <c r="B746" s="1" t="s">
        <v>13</v>
      </c>
      <c r="C746" s="1" t="s">
        <v>22</v>
      </c>
      <c r="D746" s="1">
        <v>13.8591346740722</v>
      </c>
      <c r="E746" s="1">
        <v>105.699221013319</v>
      </c>
      <c r="F746" s="1">
        <v>3760</v>
      </c>
      <c r="G746">
        <f t="shared" si="12"/>
        <v>10.28101264532434</v>
      </c>
    </row>
    <row r="747" spans="1:7" ht="13" x14ac:dyDescent="0.15">
      <c r="A747" s="2">
        <v>44927</v>
      </c>
      <c r="B747" s="1" t="s">
        <v>10</v>
      </c>
      <c r="C747" s="1" t="s">
        <v>22</v>
      </c>
      <c r="D747" s="1">
        <v>13.8591346740722</v>
      </c>
      <c r="E747" s="1">
        <v>105.699221013319</v>
      </c>
      <c r="F747" s="1">
        <v>3760</v>
      </c>
      <c r="G747">
        <f t="shared" si="12"/>
        <v>10.28101264532434</v>
      </c>
    </row>
    <row r="748" spans="1:7" ht="13" x14ac:dyDescent="0.15">
      <c r="A748" s="2">
        <v>44927</v>
      </c>
      <c r="B748" s="1" t="s">
        <v>6</v>
      </c>
      <c r="C748" s="1" t="s">
        <v>22</v>
      </c>
      <c r="D748" s="1">
        <v>13.8591346740722</v>
      </c>
      <c r="E748" s="1">
        <v>105.699221013319</v>
      </c>
      <c r="F748" s="1">
        <v>3760</v>
      </c>
      <c r="G748">
        <f t="shared" si="12"/>
        <v>10.28101264532434</v>
      </c>
    </row>
    <row r="749" spans="1:7" ht="13" x14ac:dyDescent="0.15">
      <c r="A749" s="2">
        <v>44927</v>
      </c>
      <c r="B749" s="1" t="s">
        <v>14</v>
      </c>
      <c r="C749" s="1" t="s">
        <v>22</v>
      </c>
      <c r="D749" s="1">
        <v>13.8591346740722</v>
      </c>
      <c r="E749" s="1">
        <v>105.699221013319</v>
      </c>
      <c r="F749" s="1">
        <v>3760</v>
      </c>
      <c r="G749">
        <f t="shared" si="12"/>
        <v>10.28101264532434</v>
      </c>
    </row>
    <row r="750" spans="1:7" ht="13" x14ac:dyDescent="0.15">
      <c r="A750" s="2">
        <v>44927</v>
      </c>
      <c r="B750" s="1" t="s">
        <v>12</v>
      </c>
      <c r="C750" s="1" t="s">
        <v>22</v>
      </c>
      <c r="D750" s="1">
        <v>13.8591346740722</v>
      </c>
      <c r="E750" s="1">
        <v>105.699221013319</v>
      </c>
      <c r="F750" s="1">
        <v>3760</v>
      </c>
      <c r="G750">
        <f t="shared" si="12"/>
        <v>10.28101264532434</v>
      </c>
    </row>
    <row r="751" spans="1:7" ht="13" x14ac:dyDescent="0.15">
      <c r="A751" s="2">
        <v>44652</v>
      </c>
      <c r="B751" s="1" t="s">
        <v>13</v>
      </c>
      <c r="C751" s="1" t="s">
        <v>7</v>
      </c>
      <c r="D751" s="1">
        <v>33</v>
      </c>
      <c r="E751" s="1">
        <v>244.663393888256</v>
      </c>
      <c r="F751" s="1">
        <v>2194.56420898437</v>
      </c>
      <c r="G751">
        <f t="shared" si="12"/>
        <v>15.641719658920371</v>
      </c>
    </row>
    <row r="752" spans="1:7" ht="13" x14ac:dyDescent="0.15">
      <c r="A752" s="2">
        <v>44652</v>
      </c>
      <c r="B752" s="1" t="s">
        <v>6</v>
      </c>
      <c r="C752" s="1" t="s">
        <v>7</v>
      </c>
      <c r="D752" s="1">
        <v>33</v>
      </c>
      <c r="E752" s="1">
        <v>244.663393888256</v>
      </c>
      <c r="F752" s="1">
        <v>2194.56420898437</v>
      </c>
      <c r="G752">
        <f t="shared" si="12"/>
        <v>15.641719658920371</v>
      </c>
    </row>
    <row r="753" spans="1:7" ht="13" x14ac:dyDescent="0.15">
      <c r="A753" s="2">
        <v>44652</v>
      </c>
      <c r="B753" s="1" t="s">
        <v>12</v>
      </c>
      <c r="C753" s="1" t="s">
        <v>7</v>
      </c>
      <c r="D753" s="1">
        <v>33</v>
      </c>
      <c r="E753" s="1">
        <v>244.663393888256</v>
      </c>
      <c r="F753" s="1">
        <v>2194.56420898437</v>
      </c>
      <c r="G753">
        <f t="shared" si="12"/>
        <v>15.641719658920371</v>
      </c>
    </row>
    <row r="754" spans="1:7" ht="13" x14ac:dyDescent="0.15">
      <c r="A754" s="2">
        <v>44652</v>
      </c>
      <c r="B754" s="1" t="s">
        <v>10</v>
      </c>
      <c r="C754" s="1" t="s">
        <v>7</v>
      </c>
      <c r="D754" s="1">
        <v>33</v>
      </c>
      <c r="E754" s="1">
        <v>244.663393888256</v>
      </c>
      <c r="F754" s="1">
        <v>2194.56420898437</v>
      </c>
      <c r="G754">
        <f t="shared" si="12"/>
        <v>15.641719658920371</v>
      </c>
    </row>
    <row r="755" spans="1:7" ht="13" x14ac:dyDescent="0.15">
      <c r="A755" s="2">
        <v>44652</v>
      </c>
      <c r="B755" s="1" t="s">
        <v>14</v>
      </c>
      <c r="C755" s="1" t="s">
        <v>7</v>
      </c>
      <c r="D755" s="1">
        <v>33</v>
      </c>
      <c r="E755" s="1">
        <v>244.663393888256</v>
      </c>
      <c r="F755" s="1">
        <v>2194.56420898437</v>
      </c>
      <c r="G755">
        <f t="shared" si="12"/>
        <v>15.641719658920371</v>
      </c>
    </row>
    <row r="756" spans="1:7" ht="13" x14ac:dyDescent="0.15">
      <c r="A756" s="2">
        <v>44774</v>
      </c>
      <c r="B756" s="1" t="s">
        <v>13</v>
      </c>
      <c r="C756" s="1" t="s">
        <v>20</v>
      </c>
      <c r="D756" s="1">
        <v>3</v>
      </c>
      <c r="E756" s="1">
        <v>88.064290150582806</v>
      </c>
      <c r="F756" s="1">
        <v>895</v>
      </c>
      <c r="G756">
        <f t="shared" si="12"/>
        <v>9.3842575705584093</v>
      </c>
    </row>
    <row r="757" spans="1:7" ht="13" x14ac:dyDescent="0.15">
      <c r="A757" s="2">
        <v>44774</v>
      </c>
      <c r="B757" s="1" t="s">
        <v>10</v>
      </c>
      <c r="C757" s="1" t="s">
        <v>20</v>
      </c>
      <c r="D757" s="1">
        <v>3</v>
      </c>
      <c r="E757" s="1">
        <v>88.064290150582806</v>
      </c>
      <c r="F757" s="1">
        <v>895</v>
      </c>
      <c r="G757">
        <f t="shared" si="12"/>
        <v>9.3842575705584093</v>
      </c>
    </row>
    <row r="758" spans="1:7" ht="13" x14ac:dyDescent="0.15">
      <c r="A758" s="2">
        <v>44774</v>
      </c>
      <c r="B758" s="1" t="s">
        <v>14</v>
      </c>
      <c r="C758" s="1" t="s">
        <v>20</v>
      </c>
      <c r="D758" s="1">
        <v>3</v>
      </c>
      <c r="E758" s="1">
        <v>88.064290150582806</v>
      </c>
      <c r="F758" s="1">
        <v>895</v>
      </c>
      <c r="G758">
        <f t="shared" si="12"/>
        <v>9.3842575705584093</v>
      </c>
    </row>
    <row r="759" spans="1:7" ht="13" x14ac:dyDescent="0.15">
      <c r="A759" s="2">
        <v>44774</v>
      </c>
      <c r="B759" s="1" t="s">
        <v>6</v>
      </c>
      <c r="C759" s="1" t="s">
        <v>20</v>
      </c>
      <c r="D759" s="1">
        <v>3</v>
      </c>
      <c r="E759" s="1">
        <v>88.064290150582806</v>
      </c>
      <c r="F759" s="1">
        <v>895</v>
      </c>
      <c r="G759">
        <f t="shared" si="12"/>
        <v>9.3842575705584093</v>
      </c>
    </row>
    <row r="760" spans="1:7" ht="13" x14ac:dyDescent="0.15">
      <c r="A760" s="2">
        <v>44774</v>
      </c>
      <c r="B760" s="1" t="s">
        <v>12</v>
      </c>
      <c r="C760" s="1" t="s">
        <v>20</v>
      </c>
      <c r="D760" s="1">
        <v>3</v>
      </c>
      <c r="E760" s="1">
        <v>88.064290150582806</v>
      </c>
      <c r="F760" s="1">
        <v>895</v>
      </c>
      <c r="G760">
        <f t="shared" si="12"/>
        <v>9.3842575705584093</v>
      </c>
    </row>
    <row r="761" spans="1:7" ht="13" x14ac:dyDescent="0.15">
      <c r="A761" s="2">
        <v>44986</v>
      </c>
      <c r="B761" s="1" t="s">
        <v>6</v>
      </c>
      <c r="C761" s="1" t="s">
        <v>23</v>
      </c>
      <c r="D761" s="1">
        <v>183.97186279296801</v>
      </c>
      <c r="E761" s="1">
        <v>685.07308410738199</v>
      </c>
      <c r="F761" s="1">
        <v>1249.29296875</v>
      </c>
      <c r="G761">
        <f t="shared" si="12"/>
        <v>26.173900819468656</v>
      </c>
    </row>
    <row r="762" spans="1:7" ht="13" x14ac:dyDescent="0.15">
      <c r="A762" s="2">
        <v>44927</v>
      </c>
      <c r="B762" s="1" t="s">
        <v>13</v>
      </c>
      <c r="C762" s="1" t="s">
        <v>16</v>
      </c>
      <c r="D762" s="1">
        <v>12.0498485565185</v>
      </c>
      <c r="E762" s="1">
        <v>67.801068207911598</v>
      </c>
      <c r="F762" s="1">
        <v>3760</v>
      </c>
      <c r="G762">
        <f t="shared" si="12"/>
        <v>8.234140404918513</v>
      </c>
    </row>
    <row r="763" spans="1:7" ht="13" x14ac:dyDescent="0.15">
      <c r="A763" s="2">
        <v>44927</v>
      </c>
      <c r="B763" s="1" t="s">
        <v>10</v>
      </c>
      <c r="C763" s="1" t="s">
        <v>16</v>
      </c>
      <c r="D763" s="1">
        <v>12.0498485565185</v>
      </c>
      <c r="E763" s="1">
        <v>67.801068207911598</v>
      </c>
      <c r="F763" s="1">
        <v>3760</v>
      </c>
      <c r="G763">
        <f t="shared" si="12"/>
        <v>8.234140404918513</v>
      </c>
    </row>
    <row r="764" spans="1:7" ht="13" x14ac:dyDescent="0.15">
      <c r="A764" s="2">
        <v>44927</v>
      </c>
      <c r="B764" s="1" t="s">
        <v>6</v>
      </c>
      <c r="C764" s="1" t="s">
        <v>16</v>
      </c>
      <c r="D764" s="1">
        <v>12.0498485565185</v>
      </c>
      <c r="E764" s="1">
        <v>67.801068207911598</v>
      </c>
      <c r="F764" s="1">
        <v>3760</v>
      </c>
      <c r="G764">
        <f t="shared" si="12"/>
        <v>8.234140404918513</v>
      </c>
    </row>
    <row r="765" spans="1:7" ht="13" x14ac:dyDescent="0.15">
      <c r="A765" s="2">
        <v>44927</v>
      </c>
      <c r="B765" s="1" t="s">
        <v>14</v>
      </c>
      <c r="C765" s="1" t="s">
        <v>16</v>
      </c>
      <c r="D765" s="1">
        <v>12.0498485565185</v>
      </c>
      <c r="E765" s="1">
        <v>67.801068207911598</v>
      </c>
      <c r="F765" s="1">
        <v>3760</v>
      </c>
      <c r="G765">
        <f t="shared" si="12"/>
        <v>8.234140404918513</v>
      </c>
    </row>
    <row r="766" spans="1:7" ht="13" x14ac:dyDescent="0.15">
      <c r="A766" s="2">
        <v>44927</v>
      </c>
      <c r="B766" s="1" t="s">
        <v>12</v>
      </c>
      <c r="C766" s="1" t="s">
        <v>16</v>
      </c>
      <c r="D766" s="1">
        <v>12.0498485565185</v>
      </c>
      <c r="E766" s="1">
        <v>67.801068207911598</v>
      </c>
      <c r="F766" s="1">
        <v>3760</v>
      </c>
      <c r="G766">
        <f t="shared" si="12"/>
        <v>8.234140404918513</v>
      </c>
    </row>
    <row r="767" spans="1:7" ht="13" x14ac:dyDescent="0.15">
      <c r="A767" s="2">
        <v>44986</v>
      </c>
      <c r="B767" s="1" t="s">
        <v>6</v>
      </c>
      <c r="C767" s="1" t="s">
        <v>19</v>
      </c>
      <c r="D767" s="1">
        <v>261.43368530273398</v>
      </c>
      <c r="E767" s="1">
        <v>987.15577355440496</v>
      </c>
      <c r="F767" s="1">
        <v>1727.71520996093</v>
      </c>
      <c r="G767">
        <f t="shared" si="12"/>
        <v>31.419035210432622</v>
      </c>
    </row>
    <row r="768" spans="1:7" ht="13" x14ac:dyDescent="0.15">
      <c r="A768" s="2">
        <v>44927</v>
      </c>
      <c r="B768" s="1" t="s">
        <v>13</v>
      </c>
      <c r="C768" s="1" t="s">
        <v>8</v>
      </c>
      <c r="D768" s="1">
        <v>46</v>
      </c>
      <c r="E768" s="1">
        <v>433.83269880494902</v>
      </c>
      <c r="F768" s="1">
        <v>3760</v>
      </c>
      <c r="G768">
        <f t="shared" si="12"/>
        <v>20.828650911783726</v>
      </c>
    </row>
    <row r="769" spans="1:7" ht="13" x14ac:dyDescent="0.15">
      <c r="A769" s="2">
        <v>44927</v>
      </c>
      <c r="B769" s="1" t="s">
        <v>10</v>
      </c>
      <c r="C769" s="1" t="s">
        <v>8</v>
      </c>
      <c r="D769" s="1">
        <v>46</v>
      </c>
      <c r="E769" s="1">
        <v>433.83269880494902</v>
      </c>
      <c r="F769" s="1">
        <v>3760</v>
      </c>
      <c r="G769">
        <f t="shared" si="12"/>
        <v>20.828650911783726</v>
      </c>
    </row>
    <row r="770" spans="1:7" ht="13" x14ac:dyDescent="0.15">
      <c r="A770" s="2">
        <v>44927</v>
      </c>
      <c r="B770" s="1" t="s">
        <v>6</v>
      </c>
      <c r="C770" s="1" t="s">
        <v>8</v>
      </c>
      <c r="D770" s="1">
        <v>46</v>
      </c>
      <c r="E770" s="1">
        <v>433.83269880494902</v>
      </c>
      <c r="F770" s="1">
        <v>3760</v>
      </c>
      <c r="G770">
        <f t="shared" si="12"/>
        <v>20.828650911783726</v>
      </c>
    </row>
    <row r="771" spans="1:7" ht="13" x14ac:dyDescent="0.15">
      <c r="A771" s="2">
        <v>44927</v>
      </c>
      <c r="B771" s="1" t="s">
        <v>14</v>
      </c>
      <c r="C771" s="1" t="s">
        <v>8</v>
      </c>
      <c r="D771" s="1">
        <v>46</v>
      </c>
      <c r="E771" s="1">
        <v>433.83269880494902</v>
      </c>
      <c r="F771" s="1">
        <v>3760</v>
      </c>
      <c r="G771">
        <f t="shared" ref="G771:G834" si="13">SQRT(E771)</f>
        <v>20.828650911783726</v>
      </c>
    </row>
    <row r="772" spans="1:7" ht="13" x14ac:dyDescent="0.15">
      <c r="A772" s="2">
        <v>44927</v>
      </c>
      <c r="B772" s="1" t="s">
        <v>12</v>
      </c>
      <c r="C772" s="1" t="s">
        <v>8</v>
      </c>
      <c r="D772" s="1">
        <v>46</v>
      </c>
      <c r="E772" s="1">
        <v>433.83269880494902</v>
      </c>
      <c r="F772" s="1">
        <v>3760</v>
      </c>
      <c r="G772">
        <f t="shared" si="13"/>
        <v>20.828650911783726</v>
      </c>
    </row>
    <row r="773" spans="1:7" ht="13" x14ac:dyDescent="0.15">
      <c r="A773" s="2">
        <v>44927</v>
      </c>
      <c r="B773" s="1" t="s">
        <v>13</v>
      </c>
      <c r="C773" s="1" t="s">
        <v>17</v>
      </c>
      <c r="D773" s="1">
        <v>58</v>
      </c>
      <c r="E773" s="1">
        <v>639.86243453729196</v>
      </c>
      <c r="F773" s="1">
        <v>3760</v>
      </c>
      <c r="G773">
        <f t="shared" si="13"/>
        <v>25.29550225904384</v>
      </c>
    </row>
    <row r="774" spans="1:7" ht="13" x14ac:dyDescent="0.15">
      <c r="A774" s="2">
        <v>44927</v>
      </c>
      <c r="B774" s="1" t="s">
        <v>10</v>
      </c>
      <c r="C774" s="1" t="s">
        <v>17</v>
      </c>
      <c r="D774" s="1">
        <v>58</v>
      </c>
      <c r="E774" s="1">
        <v>639.86243453729196</v>
      </c>
      <c r="F774" s="1">
        <v>3760</v>
      </c>
      <c r="G774">
        <f t="shared" si="13"/>
        <v>25.29550225904384</v>
      </c>
    </row>
    <row r="775" spans="1:7" ht="13" x14ac:dyDescent="0.15">
      <c r="A775" s="2">
        <v>44927</v>
      </c>
      <c r="B775" s="1" t="s">
        <v>6</v>
      </c>
      <c r="C775" s="1" t="s">
        <v>17</v>
      </c>
      <c r="D775" s="1">
        <v>58</v>
      </c>
      <c r="E775" s="1">
        <v>639.86243453729196</v>
      </c>
      <c r="F775" s="1">
        <v>3760</v>
      </c>
      <c r="G775">
        <f t="shared" si="13"/>
        <v>25.29550225904384</v>
      </c>
    </row>
    <row r="776" spans="1:7" ht="13" x14ac:dyDescent="0.15">
      <c r="A776" s="2">
        <v>44927</v>
      </c>
      <c r="B776" s="1" t="s">
        <v>14</v>
      </c>
      <c r="C776" s="1" t="s">
        <v>17</v>
      </c>
      <c r="D776" s="1">
        <v>58</v>
      </c>
      <c r="E776" s="1">
        <v>639.86243453729196</v>
      </c>
      <c r="F776" s="1">
        <v>3760</v>
      </c>
      <c r="G776">
        <f t="shared" si="13"/>
        <v>25.29550225904384</v>
      </c>
    </row>
    <row r="777" spans="1:7" ht="13" x14ac:dyDescent="0.15">
      <c r="A777" s="2">
        <v>44927</v>
      </c>
      <c r="B777" s="1" t="s">
        <v>12</v>
      </c>
      <c r="C777" s="1" t="s">
        <v>17</v>
      </c>
      <c r="D777" s="1">
        <v>58</v>
      </c>
      <c r="E777" s="1">
        <v>639.86243453729196</v>
      </c>
      <c r="F777" s="1">
        <v>3760</v>
      </c>
      <c r="G777">
        <f t="shared" si="13"/>
        <v>25.29550225904384</v>
      </c>
    </row>
    <row r="778" spans="1:7" ht="13" x14ac:dyDescent="0.15">
      <c r="A778" s="3">
        <v>44531</v>
      </c>
      <c r="B778" s="1" t="s">
        <v>14</v>
      </c>
      <c r="C778" s="1" t="s">
        <v>19</v>
      </c>
      <c r="D778" s="1">
        <v>66.922064208984295</v>
      </c>
      <c r="E778" s="1">
        <v>421.584621880643</v>
      </c>
      <c r="F778" s="1">
        <v>1736.5</v>
      </c>
      <c r="G778">
        <f t="shared" si="13"/>
        <v>20.532525949834888</v>
      </c>
    </row>
    <row r="779" spans="1:7" ht="13" x14ac:dyDescent="0.15">
      <c r="A779" s="3">
        <v>44531</v>
      </c>
      <c r="B779" s="1" t="s">
        <v>6</v>
      </c>
      <c r="C779" s="1" t="s">
        <v>19</v>
      </c>
      <c r="D779" s="1">
        <v>66.922064208984295</v>
      </c>
      <c r="E779" s="1">
        <v>421.584621880643</v>
      </c>
      <c r="F779" s="1">
        <v>1736.5</v>
      </c>
      <c r="G779">
        <f t="shared" si="13"/>
        <v>20.532525949834888</v>
      </c>
    </row>
    <row r="780" spans="1:7" ht="13" x14ac:dyDescent="0.15">
      <c r="A780" s="3">
        <v>44531</v>
      </c>
      <c r="B780" s="1" t="s">
        <v>10</v>
      </c>
      <c r="C780" s="1" t="s">
        <v>19</v>
      </c>
      <c r="D780" s="1">
        <v>66.922064208984295</v>
      </c>
      <c r="E780" s="1">
        <v>421.584621880643</v>
      </c>
      <c r="F780" s="1">
        <v>1736.5</v>
      </c>
      <c r="G780">
        <f t="shared" si="13"/>
        <v>20.532525949834888</v>
      </c>
    </row>
    <row r="781" spans="1:7" ht="13" x14ac:dyDescent="0.15">
      <c r="A781" s="3">
        <v>44531</v>
      </c>
      <c r="B781" s="1" t="s">
        <v>12</v>
      </c>
      <c r="C781" s="1" t="s">
        <v>19</v>
      </c>
      <c r="D781" s="1">
        <v>66.922064208984295</v>
      </c>
      <c r="E781" s="1">
        <v>421.584621880643</v>
      </c>
      <c r="F781" s="1">
        <v>1736.5</v>
      </c>
      <c r="G781">
        <f t="shared" si="13"/>
        <v>20.532525949834888</v>
      </c>
    </row>
    <row r="782" spans="1:7" ht="13" x14ac:dyDescent="0.15">
      <c r="A782" s="3">
        <v>44531</v>
      </c>
      <c r="B782" s="1" t="s">
        <v>13</v>
      </c>
      <c r="C782" s="1" t="s">
        <v>19</v>
      </c>
      <c r="D782" s="1">
        <v>66.922064208984295</v>
      </c>
      <c r="E782" s="1">
        <v>421.584621880643</v>
      </c>
      <c r="F782" s="1">
        <v>1736.5</v>
      </c>
      <c r="G782">
        <f t="shared" si="13"/>
        <v>20.532525949834888</v>
      </c>
    </row>
    <row r="783" spans="1:7" ht="13" x14ac:dyDescent="0.15">
      <c r="A783" s="2">
        <v>44682</v>
      </c>
      <c r="B783" s="1" t="s">
        <v>12</v>
      </c>
      <c r="C783" s="1" t="s">
        <v>21</v>
      </c>
      <c r="D783" s="1">
        <v>64</v>
      </c>
      <c r="E783" s="1">
        <v>777.42753338643001</v>
      </c>
      <c r="F783" s="1">
        <v>4094</v>
      </c>
      <c r="G783">
        <f t="shared" si="13"/>
        <v>27.882387512306583</v>
      </c>
    </row>
    <row r="784" spans="1:7" ht="13" x14ac:dyDescent="0.15">
      <c r="A784" s="2">
        <v>44682</v>
      </c>
      <c r="B784" s="1" t="s">
        <v>14</v>
      </c>
      <c r="C784" s="1" t="s">
        <v>21</v>
      </c>
      <c r="D784" s="1">
        <v>64</v>
      </c>
      <c r="E784" s="1">
        <v>777.42753338643001</v>
      </c>
      <c r="F784" s="1">
        <v>4094</v>
      </c>
      <c r="G784">
        <f t="shared" si="13"/>
        <v>27.882387512306583</v>
      </c>
    </row>
    <row r="785" spans="1:7" ht="13" x14ac:dyDescent="0.15">
      <c r="A785" s="2">
        <v>44682</v>
      </c>
      <c r="B785" s="1" t="s">
        <v>6</v>
      </c>
      <c r="C785" s="1" t="s">
        <v>21</v>
      </c>
      <c r="D785" s="1">
        <v>64</v>
      </c>
      <c r="E785" s="1">
        <v>777.42753338643001</v>
      </c>
      <c r="F785" s="1">
        <v>4094</v>
      </c>
      <c r="G785">
        <f t="shared" si="13"/>
        <v>27.882387512306583</v>
      </c>
    </row>
    <row r="786" spans="1:7" ht="13" x14ac:dyDescent="0.15">
      <c r="A786" s="2">
        <v>44682</v>
      </c>
      <c r="B786" s="1" t="s">
        <v>13</v>
      </c>
      <c r="C786" s="1" t="s">
        <v>21</v>
      </c>
      <c r="D786" s="1">
        <v>64</v>
      </c>
      <c r="E786" s="1">
        <v>777.42753338643001</v>
      </c>
      <c r="F786" s="1">
        <v>4094</v>
      </c>
      <c r="G786">
        <f t="shared" si="13"/>
        <v>27.882387512306583</v>
      </c>
    </row>
    <row r="787" spans="1:7" ht="13" x14ac:dyDescent="0.15">
      <c r="A787" s="2">
        <v>44682</v>
      </c>
      <c r="B787" s="1" t="s">
        <v>10</v>
      </c>
      <c r="C787" s="1" t="s">
        <v>21</v>
      </c>
      <c r="D787" s="1">
        <v>64</v>
      </c>
      <c r="E787" s="1">
        <v>777.42753338643001</v>
      </c>
      <c r="F787" s="1">
        <v>4094</v>
      </c>
      <c r="G787">
        <f t="shared" si="13"/>
        <v>27.882387512306583</v>
      </c>
    </row>
    <row r="788" spans="1:7" ht="13" x14ac:dyDescent="0.15">
      <c r="A788" s="3">
        <v>44866</v>
      </c>
      <c r="B788" s="1" t="s">
        <v>13</v>
      </c>
      <c r="C788" s="1" t="s">
        <v>11</v>
      </c>
      <c r="D788" s="1">
        <v>29</v>
      </c>
      <c r="E788" s="1">
        <v>203.895265803472</v>
      </c>
      <c r="F788" s="1">
        <v>1164</v>
      </c>
      <c r="G788">
        <f t="shared" si="13"/>
        <v>14.279189956137989</v>
      </c>
    </row>
    <row r="789" spans="1:7" ht="13" x14ac:dyDescent="0.15">
      <c r="A789" s="3">
        <v>44866</v>
      </c>
      <c r="B789" s="1" t="s">
        <v>12</v>
      </c>
      <c r="C789" s="1" t="s">
        <v>11</v>
      </c>
      <c r="D789" s="1">
        <v>29</v>
      </c>
      <c r="E789" s="1">
        <v>203.895265803472</v>
      </c>
      <c r="F789" s="1">
        <v>1164</v>
      </c>
      <c r="G789">
        <f t="shared" si="13"/>
        <v>14.279189956137989</v>
      </c>
    </row>
    <row r="790" spans="1:7" ht="13" x14ac:dyDescent="0.15">
      <c r="A790" s="3">
        <v>44866</v>
      </c>
      <c r="B790" s="1" t="s">
        <v>6</v>
      </c>
      <c r="C790" s="1" t="s">
        <v>11</v>
      </c>
      <c r="D790" s="1">
        <v>29</v>
      </c>
      <c r="E790" s="1">
        <v>203.895265803472</v>
      </c>
      <c r="F790" s="1">
        <v>1164</v>
      </c>
      <c r="G790">
        <f t="shared" si="13"/>
        <v>14.279189956137989</v>
      </c>
    </row>
    <row r="791" spans="1:7" ht="13" x14ac:dyDescent="0.15">
      <c r="A791" s="3">
        <v>44866</v>
      </c>
      <c r="B791" s="1" t="s">
        <v>10</v>
      </c>
      <c r="C791" s="1" t="s">
        <v>11</v>
      </c>
      <c r="D791" s="1">
        <v>29</v>
      </c>
      <c r="E791" s="1">
        <v>203.895265803472</v>
      </c>
      <c r="F791" s="1">
        <v>1164</v>
      </c>
      <c r="G791">
        <f t="shared" si="13"/>
        <v>14.279189956137989</v>
      </c>
    </row>
    <row r="792" spans="1:7" ht="13" x14ac:dyDescent="0.15">
      <c r="A792" s="3">
        <v>44866</v>
      </c>
      <c r="B792" s="1" t="s">
        <v>14</v>
      </c>
      <c r="C792" s="1" t="s">
        <v>11</v>
      </c>
      <c r="D792" s="1">
        <v>29</v>
      </c>
      <c r="E792" s="1">
        <v>203.895265803472</v>
      </c>
      <c r="F792" s="1">
        <v>1164</v>
      </c>
      <c r="G792">
        <f t="shared" si="13"/>
        <v>14.279189956137989</v>
      </c>
    </row>
    <row r="793" spans="1:7" ht="13" x14ac:dyDescent="0.15">
      <c r="A793" s="2">
        <v>44743</v>
      </c>
      <c r="B793" s="1" t="s">
        <v>10</v>
      </c>
      <c r="C793" s="1" t="s">
        <v>24</v>
      </c>
      <c r="D793" s="1">
        <v>37</v>
      </c>
      <c r="E793" s="1">
        <v>296.55635422467299</v>
      </c>
      <c r="F793" s="1">
        <v>1352.5</v>
      </c>
      <c r="G793">
        <f t="shared" si="13"/>
        <v>17.220811659868794</v>
      </c>
    </row>
    <row r="794" spans="1:7" ht="13" x14ac:dyDescent="0.15">
      <c r="A794" s="2">
        <v>44743</v>
      </c>
      <c r="B794" s="1" t="s">
        <v>14</v>
      </c>
      <c r="C794" s="1" t="s">
        <v>24</v>
      </c>
      <c r="D794" s="1">
        <v>37</v>
      </c>
      <c r="E794" s="1">
        <v>296.55635422467299</v>
      </c>
      <c r="F794" s="1">
        <v>1352.5</v>
      </c>
      <c r="G794">
        <f t="shared" si="13"/>
        <v>17.220811659868794</v>
      </c>
    </row>
    <row r="795" spans="1:7" ht="13" x14ac:dyDescent="0.15">
      <c r="A795" s="2">
        <v>44743</v>
      </c>
      <c r="B795" s="1" t="s">
        <v>6</v>
      </c>
      <c r="C795" s="1" t="s">
        <v>24</v>
      </c>
      <c r="D795" s="1">
        <v>37</v>
      </c>
      <c r="E795" s="1">
        <v>296.55635422467299</v>
      </c>
      <c r="F795" s="1">
        <v>1352.5</v>
      </c>
      <c r="G795">
        <f t="shared" si="13"/>
        <v>17.220811659868794</v>
      </c>
    </row>
    <row r="796" spans="1:7" ht="13" x14ac:dyDescent="0.15">
      <c r="A796" s="2">
        <v>44743</v>
      </c>
      <c r="B796" s="1" t="s">
        <v>13</v>
      </c>
      <c r="C796" s="1" t="s">
        <v>24</v>
      </c>
      <c r="D796" s="1">
        <v>37</v>
      </c>
      <c r="E796" s="1">
        <v>296.55635422467299</v>
      </c>
      <c r="F796" s="1">
        <v>1352.5</v>
      </c>
      <c r="G796">
        <f t="shared" si="13"/>
        <v>17.220811659868794</v>
      </c>
    </row>
    <row r="797" spans="1:7" ht="13" x14ac:dyDescent="0.15">
      <c r="A797" s="2">
        <v>44743</v>
      </c>
      <c r="B797" s="1" t="s">
        <v>12</v>
      </c>
      <c r="C797" s="1" t="s">
        <v>24</v>
      </c>
      <c r="D797" s="1">
        <v>37</v>
      </c>
      <c r="E797" s="1">
        <v>296.55635422467299</v>
      </c>
      <c r="F797" s="1">
        <v>1352.5</v>
      </c>
      <c r="G797">
        <f t="shared" si="13"/>
        <v>17.220811659868794</v>
      </c>
    </row>
    <row r="798" spans="1:7" ht="13" x14ac:dyDescent="0.15">
      <c r="A798" s="2">
        <v>44743</v>
      </c>
      <c r="B798" s="1" t="s">
        <v>10</v>
      </c>
      <c r="C798" s="1" t="s">
        <v>18</v>
      </c>
      <c r="D798" s="1">
        <v>16.045707702636701</v>
      </c>
      <c r="E798" s="1">
        <v>172.66390139123601</v>
      </c>
      <c r="F798" s="1">
        <v>991</v>
      </c>
      <c r="G798">
        <f t="shared" si="13"/>
        <v>13.140163674446221</v>
      </c>
    </row>
    <row r="799" spans="1:7" ht="13" x14ac:dyDescent="0.15">
      <c r="A799" s="2">
        <v>44743</v>
      </c>
      <c r="B799" s="1" t="s">
        <v>14</v>
      </c>
      <c r="C799" s="1" t="s">
        <v>18</v>
      </c>
      <c r="D799" s="1">
        <v>16.045707702636701</v>
      </c>
      <c r="E799" s="1">
        <v>172.66390139123601</v>
      </c>
      <c r="F799" s="1">
        <v>991</v>
      </c>
      <c r="G799">
        <f t="shared" si="13"/>
        <v>13.140163674446221</v>
      </c>
    </row>
    <row r="800" spans="1:7" ht="13" x14ac:dyDescent="0.15">
      <c r="A800" s="2">
        <v>44743</v>
      </c>
      <c r="B800" s="1" t="s">
        <v>6</v>
      </c>
      <c r="C800" s="1" t="s">
        <v>18</v>
      </c>
      <c r="D800" s="1">
        <v>16.045707702636701</v>
      </c>
      <c r="E800" s="1">
        <v>172.66390139123601</v>
      </c>
      <c r="F800" s="1">
        <v>991</v>
      </c>
      <c r="G800">
        <f t="shared" si="13"/>
        <v>13.140163674446221</v>
      </c>
    </row>
    <row r="801" spans="1:7" ht="13" x14ac:dyDescent="0.15">
      <c r="A801" s="2">
        <v>44743</v>
      </c>
      <c r="B801" s="1" t="s">
        <v>13</v>
      </c>
      <c r="C801" s="1" t="s">
        <v>18</v>
      </c>
      <c r="D801" s="1">
        <v>16.045707702636701</v>
      </c>
      <c r="E801" s="1">
        <v>172.66390139123601</v>
      </c>
      <c r="F801" s="1">
        <v>991</v>
      </c>
      <c r="G801">
        <f t="shared" si="13"/>
        <v>13.140163674446221</v>
      </c>
    </row>
    <row r="802" spans="1:7" ht="13" x14ac:dyDescent="0.15">
      <c r="A802" s="2">
        <v>44743</v>
      </c>
      <c r="B802" s="1" t="s">
        <v>12</v>
      </c>
      <c r="C802" s="1" t="s">
        <v>18</v>
      </c>
      <c r="D802" s="1">
        <v>16.045707702636701</v>
      </c>
      <c r="E802" s="1">
        <v>172.66390139123601</v>
      </c>
      <c r="F802" s="1">
        <v>991</v>
      </c>
      <c r="G802">
        <f t="shared" si="13"/>
        <v>13.140163674446221</v>
      </c>
    </row>
    <row r="803" spans="1:7" ht="13" x14ac:dyDescent="0.15">
      <c r="A803" s="2">
        <v>44958</v>
      </c>
      <c r="B803" s="1" t="s">
        <v>10</v>
      </c>
      <c r="C803" s="1" t="s">
        <v>19</v>
      </c>
      <c r="D803" s="1">
        <v>72.683036804199205</v>
      </c>
      <c r="E803" s="1">
        <v>514.90805937575794</v>
      </c>
      <c r="F803" s="1">
        <v>2570.763671875</v>
      </c>
      <c r="G803">
        <f t="shared" si="13"/>
        <v>22.691585651420617</v>
      </c>
    </row>
    <row r="804" spans="1:7" ht="13" x14ac:dyDescent="0.15">
      <c r="A804" s="2">
        <v>44958</v>
      </c>
      <c r="B804" s="1" t="s">
        <v>14</v>
      </c>
      <c r="C804" s="1" t="s">
        <v>19</v>
      </c>
      <c r="D804" s="1">
        <v>72.683036804199205</v>
      </c>
      <c r="E804" s="1">
        <v>514.90805937575794</v>
      </c>
      <c r="F804" s="1">
        <v>2570.763671875</v>
      </c>
      <c r="G804">
        <f t="shared" si="13"/>
        <v>22.691585651420617</v>
      </c>
    </row>
    <row r="805" spans="1:7" ht="13" x14ac:dyDescent="0.15">
      <c r="A805" s="2">
        <v>44958</v>
      </c>
      <c r="B805" s="1" t="s">
        <v>12</v>
      </c>
      <c r="C805" s="1" t="s">
        <v>19</v>
      </c>
      <c r="D805" s="1">
        <v>72.683036804199205</v>
      </c>
      <c r="E805" s="1">
        <v>514.90805937575794</v>
      </c>
      <c r="F805" s="1">
        <v>2570.763671875</v>
      </c>
      <c r="G805">
        <f t="shared" si="13"/>
        <v>22.691585651420617</v>
      </c>
    </row>
    <row r="806" spans="1:7" ht="13" x14ac:dyDescent="0.15">
      <c r="A806" s="2">
        <v>44958</v>
      </c>
      <c r="B806" s="1" t="s">
        <v>6</v>
      </c>
      <c r="C806" s="1" t="s">
        <v>19</v>
      </c>
      <c r="D806" s="1">
        <v>72.683036804199205</v>
      </c>
      <c r="E806" s="1">
        <v>514.90805937575794</v>
      </c>
      <c r="F806" s="1">
        <v>2570.763671875</v>
      </c>
      <c r="G806">
        <f t="shared" si="13"/>
        <v>22.691585651420617</v>
      </c>
    </row>
    <row r="807" spans="1:7" ht="13" x14ac:dyDescent="0.15">
      <c r="A807" s="2">
        <v>44958</v>
      </c>
      <c r="B807" s="1" t="s">
        <v>13</v>
      </c>
      <c r="C807" s="1" t="s">
        <v>19</v>
      </c>
      <c r="D807" s="1">
        <v>72.683036804199205</v>
      </c>
      <c r="E807" s="1">
        <v>514.90805937575794</v>
      </c>
      <c r="F807" s="1">
        <v>2570.763671875</v>
      </c>
      <c r="G807">
        <f t="shared" si="13"/>
        <v>22.691585651420617</v>
      </c>
    </row>
    <row r="808" spans="1:7" ht="13" x14ac:dyDescent="0.15">
      <c r="A808" s="3">
        <v>44866</v>
      </c>
      <c r="B808" s="1" t="s">
        <v>13</v>
      </c>
      <c r="C808" s="1" t="s">
        <v>18</v>
      </c>
      <c r="D808" s="1">
        <v>16.045707702636701</v>
      </c>
      <c r="E808" s="1">
        <v>146.784052241056</v>
      </c>
      <c r="F808" s="1">
        <v>1164</v>
      </c>
      <c r="G808">
        <f t="shared" si="13"/>
        <v>12.115446844464962</v>
      </c>
    </row>
    <row r="809" spans="1:7" ht="13" x14ac:dyDescent="0.15">
      <c r="A809" s="3">
        <v>44866</v>
      </c>
      <c r="B809" s="1" t="s">
        <v>12</v>
      </c>
      <c r="C809" s="1" t="s">
        <v>18</v>
      </c>
      <c r="D809" s="1">
        <v>16.045707702636701</v>
      </c>
      <c r="E809" s="1">
        <v>146.784052241056</v>
      </c>
      <c r="F809" s="1">
        <v>1164</v>
      </c>
      <c r="G809">
        <f t="shared" si="13"/>
        <v>12.115446844464962</v>
      </c>
    </row>
    <row r="810" spans="1:7" ht="13" x14ac:dyDescent="0.15">
      <c r="A810" s="3">
        <v>44866</v>
      </c>
      <c r="B810" s="1" t="s">
        <v>6</v>
      </c>
      <c r="C810" s="1" t="s">
        <v>18</v>
      </c>
      <c r="D810" s="1">
        <v>16.045707702636701</v>
      </c>
      <c r="E810" s="1">
        <v>146.784052241056</v>
      </c>
      <c r="F810" s="1">
        <v>1164</v>
      </c>
      <c r="G810">
        <f t="shared" si="13"/>
        <v>12.115446844464962</v>
      </c>
    </row>
    <row r="811" spans="1:7" ht="13" x14ac:dyDescent="0.15">
      <c r="A811" s="3">
        <v>44866</v>
      </c>
      <c r="B811" s="1" t="s">
        <v>10</v>
      </c>
      <c r="C811" s="1" t="s">
        <v>18</v>
      </c>
      <c r="D811" s="1">
        <v>16.045707702636701</v>
      </c>
      <c r="E811" s="1">
        <v>146.784052241056</v>
      </c>
      <c r="F811" s="1">
        <v>1164</v>
      </c>
      <c r="G811">
        <f t="shared" si="13"/>
        <v>12.115446844464962</v>
      </c>
    </row>
    <row r="812" spans="1:7" ht="13" x14ac:dyDescent="0.15">
      <c r="A812" s="3">
        <v>44866</v>
      </c>
      <c r="B812" s="1" t="s">
        <v>14</v>
      </c>
      <c r="C812" s="1" t="s">
        <v>18</v>
      </c>
      <c r="D812" s="1">
        <v>16.045707702636701</v>
      </c>
      <c r="E812" s="1">
        <v>146.784052241056</v>
      </c>
      <c r="F812" s="1">
        <v>1164</v>
      </c>
      <c r="G812">
        <f t="shared" si="13"/>
        <v>12.115446844464962</v>
      </c>
    </row>
    <row r="813" spans="1:7" ht="13" x14ac:dyDescent="0.15">
      <c r="A813" s="3">
        <v>44896</v>
      </c>
      <c r="B813" s="1" t="s">
        <v>10</v>
      </c>
      <c r="C813" s="1" t="s">
        <v>8</v>
      </c>
      <c r="D813" s="1">
        <v>46</v>
      </c>
      <c r="E813" s="1">
        <v>409.31149455962498</v>
      </c>
      <c r="F813" s="1">
        <v>2626</v>
      </c>
      <c r="G813">
        <f t="shared" si="13"/>
        <v>20.231448157747508</v>
      </c>
    </row>
    <row r="814" spans="1:7" ht="13" x14ac:dyDescent="0.15">
      <c r="A814" s="3">
        <v>44896</v>
      </c>
      <c r="B814" s="1" t="s">
        <v>14</v>
      </c>
      <c r="C814" s="1" t="s">
        <v>8</v>
      </c>
      <c r="D814" s="1">
        <v>46</v>
      </c>
      <c r="E814" s="1">
        <v>409.31149455962498</v>
      </c>
      <c r="F814" s="1">
        <v>2626</v>
      </c>
      <c r="G814">
        <f t="shared" si="13"/>
        <v>20.231448157747508</v>
      </c>
    </row>
    <row r="815" spans="1:7" ht="13" x14ac:dyDescent="0.15">
      <c r="A815" s="3">
        <v>44896</v>
      </c>
      <c r="B815" s="1" t="s">
        <v>6</v>
      </c>
      <c r="C815" s="1" t="s">
        <v>8</v>
      </c>
      <c r="D815" s="1">
        <v>46</v>
      </c>
      <c r="E815" s="1">
        <v>409.31149455962498</v>
      </c>
      <c r="F815" s="1">
        <v>2626</v>
      </c>
      <c r="G815">
        <f t="shared" si="13"/>
        <v>20.231448157747508</v>
      </c>
    </row>
    <row r="816" spans="1:7" ht="13" x14ac:dyDescent="0.15">
      <c r="A816" s="3">
        <v>44896</v>
      </c>
      <c r="B816" s="1" t="s">
        <v>13</v>
      </c>
      <c r="C816" s="1" t="s">
        <v>8</v>
      </c>
      <c r="D816" s="1">
        <v>46</v>
      </c>
      <c r="E816" s="1">
        <v>409.31149455962498</v>
      </c>
      <c r="F816" s="1">
        <v>2626</v>
      </c>
      <c r="G816">
        <f t="shared" si="13"/>
        <v>20.231448157747508</v>
      </c>
    </row>
    <row r="817" spans="1:7" ht="13" x14ac:dyDescent="0.15">
      <c r="A817" s="3">
        <v>44896</v>
      </c>
      <c r="B817" s="1" t="s">
        <v>12</v>
      </c>
      <c r="C817" s="1" t="s">
        <v>8</v>
      </c>
      <c r="D817" s="1">
        <v>46</v>
      </c>
      <c r="E817" s="1">
        <v>409.31149455962498</v>
      </c>
      <c r="F817" s="1">
        <v>2626</v>
      </c>
      <c r="G817">
        <f t="shared" si="13"/>
        <v>20.231448157747508</v>
      </c>
    </row>
    <row r="818" spans="1:7" ht="13" x14ac:dyDescent="0.15">
      <c r="A818" s="3">
        <v>44531</v>
      </c>
      <c r="B818" s="1" t="s">
        <v>14</v>
      </c>
      <c r="C818" s="1" t="s">
        <v>21</v>
      </c>
      <c r="D818" s="1">
        <v>71.048103332519503</v>
      </c>
      <c r="E818" s="1">
        <v>697.76344247078498</v>
      </c>
      <c r="F818" s="1">
        <v>3070</v>
      </c>
      <c r="G818">
        <f t="shared" si="13"/>
        <v>26.415212330601943</v>
      </c>
    </row>
    <row r="819" spans="1:7" ht="13" x14ac:dyDescent="0.15">
      <c r="A819" s="3">
        <v>44531</v>
      </c>
      <c r="B819" s="1" t="s">
        <v>6</v>
      </c>
      <c r="C819" s="1" t="s">
        <v>21</v>
      </c>
      <c r="D819" s="1">
        <v>71.048103332519503</v>
      </c>
      <c r="E819" s="1">
        <v>697.76344247078498</v>
      </c>
      <c r="F819" s="1">
        <v>3070</v>
      </c>
      <c r="G819">
        <f t="shared" si="13"/>
        <v>26.415212330601943</v>
      </c>
    </row>
    <row r="820" spans="1:7" ht="13" x14ac:dyDescent="0.15">
      <c r="A820" s="3">
        <v>44531</v>
      </c>
      <c r="B820" s="1" t="s">
        <v>10</v>
      </c>
      <c r="C820" s="1" t="s">
        <v>21</v>
      </c>
      <c r="D820" s="1">
        <v>71.048103332519503</v>
      </c>
      <c r="E820" s="1">
        <v>697.76344247078498</v>
      </c>
      <c r="F820" s="1">
        <v>3070</v>
      </c>
      <c r="G820">
        <f t="shared" si="13"/>
        <v>26.415212330601943</v>
      </c>
    </row>
    <row r="821" spans="1:7" ht="13" x14ac:dyDescent="0.15">
      <c r="A821" s="3">
        <v>44531</v>
      </c>
      <c r="B821" s="1" t="s">
        <v>12</v>
      </c>
      <c r="C821" s="1" t="s">
        <v>21</v>
      </c>
      <c r="D821" s="1">
        <v>71.048103332519503</v>
      </c>
      <c r="E821" s="1">
        <v>697.76344247078498</v>
      </c>
      <c r="F821" s="1">
        <v>3070</v>
      </c>
      <c r="G821">
        <f t="shared" si="13"/>
        <v>26.415212330601943</v>
      </c>
    </row>
    <row r="822" spans="1:7" ht="13" x14ac:dyDescent="0.15">
      <c r="A822" s="3">
        <v>44531</v>
      </c>
      <c r="B822" s="1" t="s">
        <v>13</v>
      </c>
      <c r="C822" s="1" t="s">
        <v>21</v>
      </c>
      <c r="D822" s="1">
        <v>71.048103332519503</v>
      </c>
      <c r="E822" s="1">
        <v>697.76344247078498</v>
      </c>
      <c r="F822" s="1">
        <v>3070</v>
      </c>
      <c r="G822">
        <f t="shared" si="13"/>
        <v>26.415212330601943</v>
      </c>
    </row>
    <row r="823" spans="1:7" ht="13" x14ac:dyDescent="0.15">
      <c r="A823" s="2">
        <v>44986</v>
      </c>
      <c r="B823" s="1" t="s">
        <v>6</v>
      </c>
      <c r="C823" s="1" t="s">
        <v>17</v>
      </c>
      <c r="D823" s="1">
        <v>319.53005981445301</v>
      </c>
      <c r="E823" s="1">
        <v>1346.2914081981401</v>
      </c>
      <c r="F823" s="1">
        <v>2171.20336914062</v>
      </c>
      <c r="G823">
        <f t="shared" si="13"/>
        <v>36.691843892044183</v>
      </c>
    </row>
    <row r="824" spans="1:7" ht="13" x14ac:dyDescent="0.15">
      <c r="A824" s="2">
        <v>44593</v>
      </c>
      <c r="B824" s="1" t="s">
        <v>10</v>
      </c>
      <c r="C824" s="1" t="s">
        <v>24</v>
      </c>
      <c r="D824" s="1">
        <v>37</v>
      </c>
      <c r="E824" s="1">
        <v>253.70413235606199</v>
      </c>
      <c r="F824" s="1">
        <v>1604</v>
      </c>
      <c r="G824">
        <f t="shared" si="13"/>
        <v>15.928092552344804</v>
      </c>
    </row>
    <row r="825" spans="1:7" ht="13" x14ac:dyDescent="0.15">
      <c r="A825" s="2">
        <v>44593</v>
      </c>
      <c r="B825" s="1" t="s">
        <v>6</v>
      </c>
      <c r="C825" s="1" t="s">
        <v>24</v>
      </c>
      <c r="D825" s="1">
        <v>37</v>
      </c>
      <c r="E825" s="1">
        <v>253.70413235606199</v>
      </c>
      <c r="F825" s="1">
        <v>1604</v>
      </c>
      <c r="G825">
        <f t="shared" si="13"/>
        <v>15.928092552344804</v>
      </c>
    </row>
    <row r="826" spans="1:7" ht="13" x14ac:dyDescent="0.15">
      <c r="A826" s="2">
        <v>44593</v>
      </c>
      <c r="B826" s="1" t="s">
        <v>12</v>
      </c>
      <c r="C826" s="1" t="s">
        <v>24</v>
      </c>
      <c r="D826" s="1">
        <v>37</v>
      </c>
      <c r="E826" s="1">
        <v>253.70413235606199</v>
      </c>
      <c r="F826" s="1">
        <v>1604</v>
      </c>
      <c r="G826">
        <f t="shared" si="13"/>
        <v>15.928092552344804</v>
      </c>
    </row>
    <row r="827" spans="1:7" ht="13" x14ac:dyDescent="0.15">
      <c r="A827" s="2">
        <v>44593</v>
      </c>
      <c r="B827" s="1" t="s">
        <v>14</v>
      </c>
      <c r="C827" s="1" t="s">
        <v>24</v>
      </c>
      <c r="D827" s="1">
        <v>37</v>
      </c>
      <c r="E827" s="1">
        <v>253.70413235606199</v>
      </c>
      <c r="F827" s="1">
        <v>1604</v>
      </c>
      <c r="G827">
        <f t="shared" si="13"/>
        <v>15.928092552344804</v>
      </c>
    </row>
    <row r="828" spans="1:7" ht="13" x14ac:dyDescent="0.15">
      <c r="A828" s="2">
        <v>44593</v>
      </c>
      <c r="B828" s="1" t="s">
        <v>13</v>
      </c>
      <c r="C828" s="1" t="s">
        <v>24</v>
      </c>
      <c r="D828" s="1">
        <v>37</v>
      </c>
      <c r="E828" s="1">
        <v>253.70413235606199</v>
      </c>
      <c r="F828" s="1">
        <v>1604</v>
      </c>
      <c r="G828">
        <f t="shared" si="13"/>
        <v>15.928092552344804</v>
      </c>
    </row>
    <row r="829" spans="1:7" ht="13" x14ac:dyDescent="0.15">
      <c r="A829" s="2">
        <v>44682</v>
      </c>
      <c r="B829" s="1" t="s">
        <v>12</v>
      </c>
      <c r="C829" s="1" t="s">
        <v>18</v>
      </c>
      <c r="D829" s="1">
        <v>16.045707702636701</v>
      </c>
      <c r="E829" s="1">
        <v>155.36411212342799</v>
      </c>
      <c r="F829" s="1">
        <v>989</v>
      </c>
      <c r="G829">
        <f t="shared" si="13"/>
        <v>12.464514115015795</v>
      </c>
    </row>
    <row r="830" spans="1:7" ht="13" x14ac:dyDescent="0.15">
      <c r="A830" s="2">
        <v>44682</v>
      </c>
      <c r="B830" s="1" t="s">
        <v>14</v>
      </c>
      <c r="C830" s="1" t="s">
        <v>18</v>
      </c>
      <c r="D830" s="1">
        <v>16.045707702636701</v>
      </c>
      <c r="E830" s="1">
        <v>155.36411212342799</v>
      </c>
      <c r="F830" s="1">
        <v>989</v>
      </c>
      <c r="G830">
        <f t="shared" si="13"/>
        <v>12.464514115015795</v>
      </c>
    </row>
    <row r="831" spans="1:7" ht="13" x14ac:dyDescent="0.15">
      <c r="A831" s="2">
        <v>44682</v>
      </c>
      <c r="B831" s="1" t="s">
        <v>6</v>
      </c>
      <c r="C831" s="1" t="s">
        <v>18</v>
      </c>
      <c r="D831" s="1">
        <v>16.045707702636701</v>
      </c>
      <c r="E831" s="1">
        <v>155.36411212342799</v>
      </c>
      <c r="F831" s="1">
        <v>989</v>
      </c>
      <c r="G831">
        <f t="shared" si="13"/>
        <v>12.464514115015795</v>
      </c>
    </row>
    <row r="832" spans="1:7" ht="13" x14ac:dyDescent="0.15">
      <c r="A832" s="2">
        <v>44682</v>
      </c>
      <c r="B832" s="1" t="s">
        <v>13</v>
      </c>
      <c r="C832" s="1" t="s">
        <v>18</v>
      </c>
      <c r="D832" s="1">
        <v>16.045707702636701</v>
      </c>
      <c r="E832" s="1">
        <v>155.36411212342799</v>
      </c>
      <c r="F832" s="1">
        <v>989</v>
      </c>
      <c r="G832">
        <f t="shared" si="13"/>
        <v>12.464514115015795</v>
      </c>
    </row>
    <row r="833" spans="1:7" ht="13" x14ac:dyDescent="0.15">
      <c r="A833" s="2">
        <v>44682</v>
      </c>
      <c r="B833" s="1" t="s">
        <v>10</v>
      </c>
      <c r="C833" s="1" t="s">
        <v>18</v>
      </c>
      <c r="D833" s="1">
        <v>16.045707702636701</v>
      </c>
      <c r="E833" s="1">
        <v>155.36411212342799</v>
      </c>
      <c r="F833" s="1">
        <v>989</v>
      </c>
      <c r="G833">
        <f t="shared" si="13"/>
        <v>12.464514115015795</v>
      </c>
    </row>
    <row r="834" spans="1:7" ht="13" x14ac:dyDescent="0.15">
      <c r="A834" s="2">
        <v>44805</v>
      </c>
      <c r="B834" s="1" t="s">
        <v>10</v>
      </c>
      <c r="C834" s="1" t="s">
        <v>21</v>
      </c>
      <c r="D834" s="1">
        <v>59.5</v>
      </c>
      <c r="E834" s="1">
        <v>776.82800344059899</v>
      </c>
      <c r="F834" s="1">
        <v>4503</v>
      </c>
      <c r="G834">
        <f t="shared" si="13"/>
        <v>27.871634387681663</v>
      </c>
    </row>
    <row r="835" spans="1:7" ht="13" x14ac:dyDescent="0.15">
      <c r="A835" s="2">
        <v>44805</v>
      </c>
      <c r="B835" s="1" t="s">
        <v>6</v>
      </c>
      <c r="C835" s="1" t="s">
        <v>21</v>
      </c>
      <c r="D835" s="1">
        <v>59.5</v>
      </c>
      <c r="E835" s="1">
        <v>776.82800344059899</v>
      </c>
      <c r="F835" s="1">
        <v>4503</v>
      </c>
      <c r="G835">
        <f t="shared" ref="G835:G898" si="14">SQRT(E835)</f>
        <v>27.871634387681663</v>
      </c>
    </row>
    <row r="836" spans="1:7" ht="13" x14ac:dyDescent="0.15">
      <c r="A836" s="2">
        <v>44805</v>
      </c>
      <c r="B836" s="1" t="s">
        <v>12</v>
      </c>
      <c r="C836" s="1" t="s">
        <v>21</v>
      </c>
      <c r="D836" s="1">
        <v>59.5</v>
      </c>
      <c r="E836" s="1">
        <v>776.82800344059899</v>
      </c>
      <c r="F836" s="1">
        <v>4503</v>
      </c>
      <c r="G836">
        <f t="shared" si="14"/>
        <v>27.871634387681663</v>
      </c>
    </row>
    <row r="837" spans="1:7" ht="13" x14ac:dyDescent="0.15">
      <c r="A837" s="2">
        <v>44805</v>
      </c>
      <c r="B837" s="1" t="s">
        <v>13</v>
      </c>
      <c r="C837" s="1" t="s">
        <v>21</v>
      </c>
      <c r="D837" s="1">
        <v>59.5</v>
      </c>
      <c r="E837" s="1">
        <v>776.82800344059899</v>
      </c>
      <c r="F837" s="1">
        <v>4503</v>
      </c>
      <c r="G837">
        <f t="shared" si="14"/>
        <v>27.871634387681663</v>
      </c>
    </row>
    <row r="838" spans="1:7" ht="13" x14ac:dyDescent="0.15">
      <c r="A838" s="2">
        <v>44805</v>
      </c>
      <c r="B838" s="1" t="s">
        <v>14</v>
      </c>
      <c r="C838" s="1" t="s">
        <v>21</v>
      </c>
      <c r="D838" s="1">
        <v>59.5</v>
      </c>
      <c r="E838" s="1">
        <v>776.82800344059899</v>
      </c>
      <c r="F838" s="1">
        <v>4503</v>
      </c>
      <c r="G838">
        <f t="shared" si="14"/>
        <v>27.871634387681663</v>
      </c>
    </row>
    <row r="839" spans="1:7" ht="13" x14ac:dyDescent="0.15">
      <c r="A839" s="2">
        <v>44621</v>
      </c>
      <c r="B839" s="1" t="s">
        <v>12</v>
      </c>
      <c r="C839" s="1" t="s">
        <v>16</v>
      </c>
      <c r="D839" s="1">
        <v>6</v>
      </c>
      <c r="E839" s="1">
        <v>76.4242555328739</v>
      </c>
      <c r="F839" s="1">
        <v>1027.27272033691</v>
      </c>
      <c r="G839">
        <f t="shared" si="14"/>
        <v>8.7420967469408559</v>
      </c>
    </row>
    <row r="840" spans="1:7" ht="13" x14ac:dyDescent="0.15">
      <c r="A840" s="2">
        <v>44621</v>
      </c>
      <c r="B840" s="1" t="s">
        <v>6</v>
      </c>
      <c r="C840" s="1" t="s">
        <v>16</v>
      </c>
      <c r="D840" s="1">
        <v>6</v>
      </c>
      <c r="E840" s="1">
        <v>76.4242555328739</v>
      </c>
      <c r="F840" s="1">
        <v>1027.27272033691</v>
      </c>
      <c r="G840">
        <f t="shared" si="14"/>
        <v>8.7420967469408559</v>
      </c>
    </row>
    <row r="841" spans="1:7" ht="13" x14ac:dyDescent="0.15">
      <c r="A841" s="2">
        <v>44621</v>
      </c>
      <c r="B841" s="1" t="s">
        <v>10</v>
      </c>
      <c r="C841" s="1" t="s">
        <v>16</v>
      </c>
      <c r="D841" s="1">
        <v>6</v>
      </c>
      <c r="E841" s="1">
        <v>76.4242555328739</v>
      </c>
      <c r="F841" s="1">
        <v>1027.27272033691</v>
      </c>
      <c r="G841">
        <f t="shared" si="14"/>
        <v>8.7420967469408559</v>
      </c>
    </row>
    <row r="842" spans="1:7" ht="13" x14ac:dyDescent="0.15">
      <c r="A842" s="2">
        <v>44621</v>
      </c>
      <c r="B842" s="1" t="s">
        <v>13</v>
      </c>
      <c r="C842" s="1" t="s">
        <v>16</v>
      </c>
      <c r="D842" s="1">
        <v>6</v>
      </c>
      <c r="E842" s="1">
        <v>76.4242555328739</v>
      </c>
      <c r="F842" s="1">
        <v>1027.27272033691</v>
      </c>
      <c r="G842">
        <f t="shared" si="14"/>
        <v>8.7420967469408559</v>
      </c>
    </row>
    <row r="843" spans="1:7" ht="13" x14ac:dyDescent="0.15">
      <c r="A843" s="2">
        <v>44621</v>
      </c>
      <c r="B843" s="1" t="s">
        <v>14</v>
      </c>
      <c r="C843" s="1" t="s">
        <v>16</v>
      </c>
      <c r="D843" s="1">
        <v>6</v>
      </c>
      <c r="E843" s="1">
        <v>76.4242555328739</v>
      </c>
      <c r="F843" s="1">
        <v>1027.27272033691</v>
      </c>
      <c r="G843">
        <f t="shared" si="14"/>
        <v>8.7420967469408559</v>
      </c>
    </row>
    <row r="844" spans="1:7" ht="13" x14ac:dyDescent="0.15">
      <c r="A844" s="2">
        <v>44743</v>
      </c>
      <c r="B844" s="1" t="s">
        <v>10</v>
      </c>
      <c r="C844" s="1" t="s">
        <v>23</v>
      </c>
      <c r="D844" s="1">
        <v>41</v>
      </c>
      <c r="E844" s="1">
        <v>343.80124112400199</v>
      </c>
      <c r="F844" s="1">
        <v>1488.5</v>
      </c>
      <c r="G844">
        <f t="shared" si="14"/>
        <v>18.541878036596025</v>
      </c>
    </row>
    <row r="845" spans="1:7" ht="13" x14ac:dyDescent="0.15">
      <c r="A845" s="2">
        <v>44743</v>
      </c>
      <c r="B845" s="1" t="s">
        <v>14</v>
      </c>
      <c r="C845" s="1" t="s">
        <v>23</v>
      </c>
      <c r="D845" s="1">
        <v>41</v>
      </c>
      <c r="E845" s="1">
        <v>343.80124112400199</v>
      </c>
      <c r="F845" s="1">
        <v>1488.5</v>
      </c>
      <c r="G845">
        <f t="shared" si="14"/>
        <v>18.541878036596025</v>
      </c>
    </row>
    <row r="846" spans="1:7" ht="13" x14ac:dyDescent="0.15">
      <c r="A846" s="2">
        <v>44743</v>
      </c>
      <c r="B846" s="1" t="s">
        <v>6</v>
      </c>
      <c r="C846" s="1" t="s">
        <v>23</v>
      </c>
      <c r="D846" s="1">
        <v>41</v>
      </c>
      <c r="E846" s="1">
        <v>343.80124112400199</v>
      </c>
      <c r="F846" s="1">
        <v>1488.5</v>
      </c>
      <c r="G846">
        <f t="shared" si="14"/>
        <v>18.541878036596025</v>
      </c>
    </row>
    <row r="847" spans="1:7" ht="13" x14ac:dyDescent="0.15">
      <c r="A847" s="2">
        <v>44743</v>
      </c>
      <c r="B847" s="1" t="s">
        <v>13</v>
      </c>
      <c r="C847" s="1" t="s">
        <v>23</v>
      </c>
      <c r="D847" s="1">
        <v>41</v>
      </c>
      <c r="E847" s="1">
        <v>343.80124112400199</v>
      </c>
      <c r="F847" s="1">
        <v>1488.5</v>
      </c>
      <c r="G847">
        <f t="shared" si="14"/>
        <v>18.541878036596025</v>
      </c>
    </row>
    <row r="848" spans="1:7" ht="13" x14ac:dyDescent="0.15">
      <c r="A848" s="2">
        <v>44743</v>
      </c>
      <c r="B848" s="1" t="s">
        <v>12</v>
      </c>
      <c r="C848" s="1" t="s">
        <v>23</v>
      </c>
      <c r="D848" s="1">
        <v>41</v>
      </c>
      <c r="E848" s="1">
        <v>343.80124112400199</v>
      </c>
      <c r="F848" s="1">
        <v>1488.5</v>
      </c>
      <c r="G848">
        <f t="shared" si="14"/>
        <v>18.541878036596025</v>
      </c>
    </row>
    <row r="849" spans="1:7" ht="13" x14ac:dyDescent="0.15">
      <c r="A849" s="3">
        <v>44531</v>
      </c>
      <c r="B849" s="1" t="s">
        <v>14</v>
      </c>
      <c r="C849" s="1" t="s">
        <v>9</v>
      </c>
      <c r="D849" s="1">
        <v>20.6301956176757</v>
      </c>
      <c r="E849" s="1">
        <v>193.432763938844</v>
      </c>
      <c r="F849" s="1">
        <v>1322.125</v>
      </c>
      <c r="G849">
        <f t="shared" si="14"/>
        <v>13.90801078295685</v>
      </c>
    </row>
    <row r="850" spans="1:7" ht="13" x14ac:dyDescent="0.15">
      <c r="A850" s="3">
        <v>44531</v>
      </c>
      <c r="B850" s="1" t="s">
        <v>6</v>
      </c>
      <c r="C850" s="1" t="s">
        <v>9</v>
      </c>
      <c r="D850" s="1">
        <v>20.6301956176757</v>
      </c>
      <c r="E850" s="1">
        <v>193.432763938844</v>
      </c>
      <c r="F850" s="1">
        <v>1322.125</v>
      </c>
      <c r="G850">
        <f t="shared" si="14"/>
        <v>13.90801078295685</v>
      </c>
    </row>
    <row r="851" spans="1:7" ht="13" x14ac:dyDescent="0.15">
      <c r="A851" s="3">
        <v>44531</v>
      </c>
      <c r="B851" s="1" t="s">
        <v>10</v>
      </c>
      <c r="C851" s="1" t="s">
        <v>9</v>
      </c>
      <c r="D851" s="1">
        <v>20.6301956176757</v>
      </c>
      <c r="E851" s="1">
        <v>193.432763938844</v>
      </c>
      <c r="F851" s="1">
        <v>1322.125</v>
      </c>
      <c r="G851">
        <f t="shared" si="14"/>
        <v>13.90801078295685</v>
      </c>
    </row>
    <row r="852" spans="1:7" ht="13" x14ac:dyDescent="0.15">
      <c r="A852" s="3">
        <v>44531</v>
      </c>
      <c r="B852" s="1" t="s">
        <v>12</v>
      </c>
      <c r="C852" s="1" t="s">
        <v>9</v>
      </c>
      <c r="D852" s="1">
        <v>20.6301956176757</v>
      </c>
      <c r="E852" s="1">
        <v>193.432763938844</v>
      </c>
      <c r="F852" s="1">
        <v>1322.125</v>
      </c>
      <c r="G852">
        <f t="shared" si="14"/>
        <v>13.90801078295685</v>
      </c>
    </row>
    <row r="853" spans="1:7" ht="13" x14ac:dyDescent="0.15">
      <c r="A853" s="3">
        <v>44531</v>
      </c>
      <c r="B853" s="1" t="s">
        <v>13</v>
      </c>
      <c r="C853" s="1" t="s">
        <v>9</v>
      </c>
      <c r="D853" s="1">
        <v>20.6301956176757</v>
      </c>
      <c r="E853" s="1">
        <v>193.432763938844</v>
      </c>
      <c r="F853" s="1">
        <v>1322.125</v>
      </c>
      <c r="G853">
        <f t="shared" si="14"/>
        <v>13.90801078295685</v>
      </c>
    </row>
    <row r="854" spans="1:7" ht="13" x14ac:dyDescent="0.15">
      <c r="A854" s="2">
        <v>44743</v>
      </c>
      <c r="B854" s="1" t="s">
        <v>10</v>
      </c>
      <c r="C854" s="1" t="s">
        <v>16</v>
      </c>
      <c r="D854" s="1">
        <v>6</v>
      </c>
      <c r="E854" s="1">
        <v>68.390190887901497</v>
      </c>
      <c r="F854" s="1">
        <v>991</v>
      </c>
      <c r="G854">
        <f t="shared" si="14"/>
        <v>8.269836206836354</v>
      </c>
    </row>
    <row r="855" spans="1:7" ht="13" x14ac:dyDescent="0.15">
      <c r="A855" s="2">
        <v>44743</v>
      </c>
      <c r="B855" s="1" t="s">
        <v>14</v>
      </c>
      <c r="C855" s="1" t="s">
        <v>16</v>
      </c>
      <c r="D855" s="1">
        <v>6</v>
      </c>
      <c r="E855" s="1">
        <v>68.390190887901497</v>
      </c>
      <c r="F855" s="1">
        <v>991</v>
      </c>
      <c r="G855">
        <f t="shared" si="14"/>
        <v>8.269836206836354</v>
      </c>
    </row>
    <row r="856" spans="1:7" ht="13" x14ac:dyDescent="0.15">
      <c r="A856" s="2">
        <v>44743</v>
      </c>
      <c r="B856" s="1" t="s">
        <v>6</v>
      </c>
      <c r="C856" s="1" t="s">
        <v>16</v>
      </c>
      <c r="D856" s="1">
        <v>6</v>
      </c>
      <c r="E856" s="1">
        <v>68.390190887901497</v>
      </c>
      <c r="F856" s="1">
        <v>991</v>
      </c>
      <c r="G856">
        <f t="shared" si="14"/>
        <v>8.269836206836354</v>
      </c>
    </row>
    <row r="857" spans="1:7" ht="13" x14ac:dyDescent="0.15">
      <c r="A857" s="2">
        <v>44743</v>
      </c>
      <c r="B857" s="1" t="s">
        <v>13</v>
      </c>
      <c r="C857" s="1" t="s">
        <v>16</v>
      </c>
      <c r="D857" s="1">
        <v>6</v>
      </c>
      <c r="E857" s="1">
        <v>68.390190887901497</v>
      </c>
      <c r="F857" s="1">
        <v>991</v>
      </c>
      <c r="G857">
        <f t="shared" si="14"/>
        <v>8.269836206836354</v>
      </c>
    </row>
    <row r="858" spans="1:7" ht="13" x14ac:dyDescent="0.15">
      <c r="A858" s="2">
        <v>44743</v>
      </c>
      <c r="B858" s="1" t="s">
        <v>12</v>
      </c>
      <c r="C858" s="1" t="s">
        <v>16</v>
      </c>
      <c r="D858" s="1">
        <v>6</v>
      </c>
      <c r="E858" s="1">
        <v>68.390190887901497</v>
      </c>
      <c r="F858" s="1">
        <v>991</v>
      </c>
      <c r="G858">
        <f t="shared" si="14"/>
        <v>8.269836206836354</v>
      </c>
    </row>
    <row r="859" spans="1:7" ht="13" x14ac:dyDescent="0.15">
      <c r="A859" s="2">
        <v>44774</v>
      </c>
      <c r="B859" s="1" t="s">
        <v>13</v>
      </c>
      <c r="C859" s="1" t="s">
        <v>24</v>
      </c>
      <c r="D859" s="1">
        <v>37</v>
      </c>
      <c r="E859" s="1">
        <v>287.12167036344999</v>
      </c>
      <c r="F859" s="1">
        <v>1169.5</v>
      </c>
      <c r="G859">
        <f t="shared" si="14"/>
        <v>16.944664952823647</v>
      </c>
    </row>
    <row r="860" spans="1:7" ht="13" x14ac:dyDescent="0.15">
      <c r="A860" s="2">
        <v>44774</v>
      </c>
      <c r="B860" s="1" t="s">
        <v>10</v>
      </c>
      <c r="C860" s="1" t="s">
        <v>24</v>
      </c>
      <c r="D860" s="1">
        <v>37</v>
      </c>
      <c r="E860" s="1">
        <v>287.12167036344999</v>
      </c>
      <c r="F860" s="1">
        <v>1169.5</v>
      </c>
      <c r="G860">
        <f t="shared" si="14"/>
        <v>16.944664952823647</v>
      </c>
    </row>
    <row r="861" spans="1:7" ht="13" x14ac:dyDescent="0.15">
      <c r="A861" s="2">
        <v>44774</v>
      </c>
      <c r="B861" s="1" t="s">
        <v>14</v>
      </c>
      <c r="C861" s="1" t="s">
        <v>24</v>
      </c>
      <c r="D861" s="1">
        <v>37</v>
      </c>
      <c r="E861" s="1">
        <v>287.12167036344999</v>
      </c>
      <c r="F861" s="1">
        <v>1169.5</v>
      </c>
      <c r="G861">
        <f t="shared" si="14"/>
        <v>16.944664952823647</v>
      </c>
    </row>
    <row r="862" spans="1:7" ht="13" x14ac:dyDescent="0.15">
      <c r="A862" s="2">
        <v>44774</v>
      </c>
      <c r="B862" s="1" t="s">
        <v>6</v>
      </c>
      <c r="C862" s="1" t="s">
        <v>24</v>
      </c>
      <c r="D862" s="1">
        <v>37</v>
      </c>
      <c r="E862" s="1">
        <v>287.12167036344999</v>
      </c>
      <c r="F862" s="1">
        <v>1169.5</v>
      </c>
      <c r="G862">
        <f t="shared" si="14"/>
        <v>16.944664952823647</v>
      </c>
    </row>
    <row r="863" spans="1:7" ht="13" x14ac:dyDescent="0.15">
      <c r="A863" s="2">
        <v>44774</v>
      </c>
      <c r="B863" s="1" t="s">
        <v>12</v>
      </c>
      <c r="C863" s="1" t="s">
        <v>24</v>
      </c>
      <c r="D863" s="1">
        <v>37</v>
      </c>
      <c r="E863" s="1">
        <v>287.12167036344999</v>
      </c>
      <c r="F863" s="1">
        <v>1169.5</v>
      </c>
      <c r="G863">
        <f t="shared" si="14"/>
        <v>16.944664952823647</v>
      </c>
    </row>
    <row r="864" spans="1:7" ht="13" x14ac:dyDescent="0.15">
      <c r="A864" s="3">
        <v>44896</v>
      </c>
      <c r="B864" s="1" t="s">
        <v>10</v>
      </c>
      <c r="C864" s="1" t="s">
        <v>24</v>
      </c>
      <c r="D864" s="1">
        <v>37</v>
      </c>
      <c r="E864" s="1">
        <v>299.51891353527202</v>
      </c>
      <c r="F864" s="1">
        <v>2039.04309082031</v>
      </c>
      <c r="G864">
        <f t="shared" si="14"/>
        <v>17.306614733542549</v>
      </c>
    </row>
    <row r="865" spans="1:7" ht="13" x14ac:dyDescent="0.15">
      <c r="A865" s="3">
        <v>44896</v>
      </c>
      <c r="B865" s="1" t="s">
        <v>14</v>
      </c>
      <c r="C865" s="1" t="s">
        <v>24</v>
      </c>
      <c r="D865" s="1">
        <v>37</v>
      </c>
      <c r="E865" s="1">
        <v>299.51891353527202</v>
      </c>
      <c r="F865" s="1">
        <v>2039.04309082031</v>
      </c>
      <c r="G865">
        <f t="shared" si="14"/>
        <v>17.306614733542549</v>
      </c>
    </row>
    <row r="866" spans="1:7" ht="13" x14ac:dyDescent="0.15">
      <c r="A866" s="3">
        <v>44896</v>
      </c>
      <c r="B866" s="1" t="s">
        <v>6</v>
      </c>
      <c r="C866" s="1" t="s">
        <v>24</v>
      </c>
      <c r="D866" s="1">
        <v>37</v>
      </c>
      <c r="E866" s="1">
        <v>299.51891353527202</v>
      </c>
      <c r="F866" s="1">
        <v>2039.04309082031</v>
      </c>
      <c r="G866">
        <f t="shared" si="14"/>
        <v>17.306614733542549</v>
      </c>
    </row>
    <row r="867" spans="1:7" ht="13" x14ac:dyDescent="0.15">
      <c r="A867" s="3">
        <v>44896</v>
      </c>
      <c r="B867" s="1" t="s">
        <v>13</v>
      </c>
      <c r="C867" s="1" t="s">
        <v>24</v>
      </c>
      <c r="D867" s="1">
        <v>37</v>
      </c>
      <c r="E867" s="1">
        <v>299.51891353527202</v>
      </c>
      <c r="F867" s="1">
        <v>2039.04309082031</v>
      </c>
      <c r="G867">
        <f t="shared" si="14"/>
        <v>17.306614733542549</v>
      </c>
    </row>
    <row r="868" spans="1:7" ht="13" x14ac:dyDescent="0.15">
      <c r="A868" s="3">
        <v>44896</v>
      </c>
      <c r="B868" s="1" t="s">
        <v>12</v>
      </c>
      <c r="C868" s="1" t="s">
        <v>24</v>
      </c>
      <c r="D868" s="1">
        <v>37</v>
      </c>
      <c r="E868" s="1">
        <v>299.51891353527202</v>
      </c>
      <c r="F868" s="1">
        <v>2039.04309082031</v>
      </c>
      <c r="G868">
        <f t="shared" si="14"/>
        <v>17.306614733542549</v>
      </c>
    </row>
    <row r="869" spans="1:7" ht="13" x14ac:dyDescent="0.15">
      <c r="A869" s="3">
        <v>44866</v>
      </c>
      <c r="B869" s="1" t="s">
        <v>13</v>
      </c>
      <c r="C869" s="1" t="s">
        <v>21</v>
      </c>
      <c r="D869" s="1">
        <v>64</v>
      </c>
      <c r="E869" s="1">
        <v>722.30571058676298</v>
      </c>
      <c r="F869" s="1">
        <v>4503</v>
      </c>
      <c r="G869">
        <f t="shared" si="14"/>
        <v>26.875745768011033</v>
      </c>
    </row>
    <row r="870" spans="1:7" ht="13" x14ac:dyDescent="0.15">
      <c r="A870" s="3">
        <v>44866</v>
      </c>
      <c r="B870" s="1" t="s">
        <v>12</v>
      </c>
      <c r="C870" s="1" t="s">
        <v>21</v>
      </c>
      <c r="D870" s="1">
        <v>64</v>
      </c>
      <c r="E870" s="1">
        <v>722.30571058676298</v>
      </c>
      <c r="F870" s="1">
        <v>4503</v>
      </c>
      <c r="G870">
        <f t="shared" si="14"/>
        <v>26.875745768011033</v>
      </c>
    </row>
    <row r="871" spans="1:7" ht="13" x14ac:dyDescent="0.15">
      <c r="A871" s="3">
        <v>44866</v>
      </c>
      <c r="B871" s="1" t="s">
        <v>6</v>
      </c>
      <c r="C871" s="1" t="s">
        <v>21</v>
      </c>
      <c r="D871" s="1">
        <v>64</v>
      </c>
      <c r="E871" s="1">
        <v>722.30571058676298</v>
      </c>
      <c r="F871" s="1">
        <v>4503</v>
      </c>
      <c r="G871">
        <f t="shared" si="14"/>
        <v>26.875745768011033</v>
      </c>
    </row>
    <row r="872" spans="1:7" ht="13" x14ac:dyDescent="0.15">
      <c r="A872" s="3">
        <v>44866</v>
      </c>
      <c r="B872" s="1" t="s">
        <v>10</v>
      </c>
      <c r="C872" s="1" t="s">
        <v>21</v>
      </c>
      <c r="D872" s="1">
        <v>64</v>
      </c>
      <c r="E872" s="1">
        <v>722.30571058676298</v>
      </c>
      <c r="F872" s="1">
        <v>4503</v>
      </c>
      <c r="G872">
        <f t="shared" si="14"/>
        <v>26.875745768011033</v>
      </c>
    </row>
    <row r="873" spans="1:7" ht="13" x14ac:dyDescent="0.15">
      <c r="A873" s="3">
        <v>44866</v>
      </c>
      <c r="B873" s="1" t="s">
        <v>14</v>
      </c>
      <c r="C873" s="1" t="s">
        <v>21</v>
      </c>
      <c r="D873" s="1">
        <v>64</v>
      </c>
      <c r="E873" s="1">
        <v>722.30571058676298</v>
      </c>
      <c r="F873" s="1">
        <v>4503</v>
      </c>
      <c r="G873">
        <f t="shared" si="14"/>
        <v>26.875745768011033</v>
      </c>
    </row>
    <row r="874" spans="1:7" ht="13" x14ac:dyDescent="0.15">
      <c r="A874" s="2">
        <v>44927</v>
      </c>
      <c r="B874" s="1" t="s">
        <v>13</v>
      </c>
      <c r="C874" s="1" t="s">
        <v>9</v>
      </c>
      <c r="D874" s="1">
        <v>21.711437225341701</v>
      </c>
      <c r="E874" s="1">
        <v>200.58000130687699</v>
      </c>
      <c r="F874" s="1">
        <v>3760</v>
      </c>
      <c r="G874">
        <f t="shared" si="14"/>
        <v>14.162626921121554</v>
      </c>
    </row>
    <row r="875" spans="1:7" ht="13" x14ac:dyDescent="0.15">
      <c r="A875" s="2">
        <v>44927</v>
      </c>
      <c r="B875" s="1" t="s">
        <v>10</v>
      </c>
      <c r="C875" s="1" t="s">
        <v>9</v>
      </c>
      <c r="D875" s="1">
        <v>21.711437225341701</v>
      </c>
      <c r="E875" s="1">
        <v>200.58000130687699</v>
      </c>
      <c r="F875" s="1">
        <v>3760</v>
      </c>
      <c r="G875">
        <f t="shared" si="14"/>
        <v>14.162626921121554</v>
      </c>
    </row>
    <row r="876" spans="1:7" ht="13" x14ac:dyDescent="0.15">
      <c r="A876" s="2">
        <v>44927</v>
      </c>
      <c r="B876" s="1" t="s">
        <v>6</v>
      </c>
      <c r="C876" s="1" t="s">
        <v>9</v>
      </c>
      <c r="D876" s="1">
        <v>21.711437225341701</v>
      </c>
      <c r="E876" s="1">
        <v>200.58000130687699</v>
      </c>
      <c r="F876" s="1">
        <v>3760</v>
      </c>
      <c r="G876">
        <f t="shared" si="14"/>
        <v>14.162626921121554</v>
      </c>
    </row>
    <row r="877" spans="1:7" ht="13" x14ac:dyDescent="0.15">
      <c r="A877" s="2">
        <v>44927</v>
      </c>
      <c r="B877" s="1" t="s">
        <v>14</v>
      </c>
      <c r="C877" s="1" t="s">
        <v>9</v>
      </c>
      <c r="D877" s="1">
        <v>21.711437225341701</v>
      </c>
      <c r="E877" s="1">
        <v>200.58000130687699</v>
      </c>
      <c r="F877" s="1">
        <v>3760</v>
      </c>
      <c r="G877">
        <f t="shared" si="14"/>
        <v>14.162626921121554</v>
      </c>
    </row>
    <row r="878" spans="1:7" ht="13" x14ac:dyDescent="0.15">
      <c r="A878" s="2">
        <v>44927</v>
      </c>
      <c r="B878" s="1" t="s">
        <v>12</v>
      </c>
      <c r="C878" s="1" t="s">
        <v>9</v>
      </c>
      <c r="D878" s="1">
        <v>21.711437225341701</v>
      </c>
      <c r="E878" s="1">
        <v>200.58000130687699</v>
      </c>
      <c r="F878" s="1">
        <v>3760</v>
      </c>
      <c r="G878">
        <f t="shared" si="14"/>
        <v>14.162626921121554</v>
      </c>
    </row>
    <row r="879" spans="1:7" ht="13" x14ac:dyDescent="0.15">
      <c r="A879" s="2">
        <v>44593</v>
      </c>
      <c r="B879" s="1" t="s">
        <v>10</v>
      </c>
      <c r="C879" s="1" t="s">
        <v>18</v>
      </c>
      <c r="D879" s="1">
        <v>16.045707702636701</v>
      </c>
      <c r="E879" s="1">
        <v>140.712635335513</v>
      </c>
      <c r="F879" s="1">
        <v>1604</v>
      </c>
      <c r="G879">
        <f t="shared" si="14"/>
        <v>11.862235680322366</v>
      </c>
    </row>
    <row r="880" spans="1:7" ht="13" x14ac:dyDescent="0.15">
      <c r="A880" s="2">
        <v>44593</v>
      </c>
      <c r="B880" s="1" t="s">
        <v>6</v>
      </c>
      <c r="C880" s="1" t="s">
        <v>18</v>
      </c>
      <c r="D880" s="1">
        <v>16.045707702636701</v>
      </c>
      <c r="E880" s="1">
        <v>140.712635335513</v>
      </c>
      <c r="F880" s="1">
        <v>1604</v>
      </c>
      <c r="G880">
        <f t="shared" si="14"/>
        <v>11.862235680322366</v>
      </c>
    </row>
    <row r="881" spans="1:7" ht="13" x14ac:dyDescent="0.15">
      <c r="A881" s="2">
        <v>44593</v>
      </c>
      <c r="B881" s="1" t="s">
        <v>12</v>
      </c>
      <c r="C881" s="1" t="s">
        <v>18</v>
      </c>
      <c r="D881" s="1">
        <v>16.045707702636701</v>
      </c>
      <c r="E881" s="1">
        <v>140.712635335513</v>
      </c>
      <c r="F881" s="1">
        <v>1604</v>
      </c>
      <c r="G881">
        <f t="shared" si="14"/>
        <v>11.862235680322366</v>
      </c>
    </row>
    <row r="882" spans="1:7" ht="13" x14ac:dyDescent="0.15">
      <c r="A882" s="2">
        <v>44593</v>
      </c>
      <c r="B882" s="1" t="s">
        <v>14</v>
      </c>
      <c r="C882" s="1" t="s">
        <v>18</v>
      </c>
      <c r="D882" s="1">
        <v>16.045707702636701</v>
      </c>
      <c r="E882" s="1">
        <v>140.712635335513</v>
      </c>
      <c r="F882" s="1">
        <v>1604</v>
      </c>
      <c r="G882">
        <f t="shared" si="14"/>
        <v>11.862235680322366</v>
      </c>
    </row>
    <row r="883" spans="1:7" ht="13" x14ac:dyDescent="0.15">
      <c r="A883" s="2">
        <v>44593</v>
      </c>
      <c r="B883" s="1" t="s">
        <v>13</v>
      </c>
      <c r="C883" s="1" t="s">
        <v>18</v>
      </c>
      <c r="D883" s="1">
        <v>16.045707702636701</v>
      </c>
      <c r="E883" s="1">
        <v>140.712635335513</v>
      </c>
      <c r="F883" s="1">
        <v>1604</v>
      </c>
      <c r="G883">
        <f t="shared" si="14"/>
        <v>11.862235680322366</v>
      </c>
    </row>
    <row r="884" spans="1:7" ht="13" x14ac:dyDescent="0.15">
      <c r="A884" s="2">
        <v>44562</v>
      </c>
      <c r="B884" s="1" t="s">
        <v>14</v>
      </c>
      <c r="C884" s="1" t="s">
        <v>20</v>
      </c>
      <c r="D884" s="1">
        <v>1</v>
      </c>
      <c r="E884" s="1">
        <v>92.179647373450095</v>
      </c>
      <c r="F884" s="1">
        <v>895</v>
      </c>
      <c r="G884">
        <f t="shared" si="14"/>
        <v>9.6010232461675713</v>
      </c>
    </row>
    <row r="885" spans="1:7" ht="13" x14ac:dyDescent="0.15">
      <c r="A885" s="2">
        <v>44562</v>
      </c>
      <c r="B885" s="1" t="s">
        <v>6</v>
      </c>
      <c r="C885" s="1" t="s">
        <v>20</v>
      </c>
      <c r="D885" s="1">
        <v>1</v>
      </c>
      <c r="E885" s="1">
        <v>92.179647373450095</v>
      </c>
      <c r="F885" s="1">
        <v>895</v>
      </c>
      <c r="G885">
        <f t="shared" si="14"/>
        <v>9.6010232461675713</v>
      </c>
    </row>
    <row r="886" spans="1:7" ht="13" x14ac:dyDescent="0.15">
      <c r="A886" s="2">
        <v>44562</v>
      </c>
      <c r="B886" s="1" t="s">
        <v>13</v>
      </c>
      <c r="C886" s="1" t="s">
        <v>20</v>
      </c>
      <c r="D886" s="1">
        <v>1</v>
      </c>
      <c r="E886" s="1">
        <v>92.179647373450095</v>
      </c>
      <c r="F886" s="1">
        <v>895</v>
      </c>
      <c r="G886">
        <f t="shared" si="14"/>
        <v>9.6010232461675713</v>
      </c>
    </row>
    <row r="887" spans="1:7" ht="13" x14ac:dyDescent="0.15">
      <c r="A887" s="2">
        <v>44562</v>
      </c>
      <c r="B887" s="1" t="s">
        <v>10</v>
      </c>
      <c r="C887" s="1" t="s">
        <v>20</v>
      </c>
      <c r="D887" s="1">
        <v>1</v>
      </c>
      <c r="E887" s="1">
        <v>92.179647373450095</v>
      </c>
      <c r="F887" s="1">
        <v>895</v>
      </c>
      <c r="G887">
        <f t="shared" si="14"/>
        <v>9.6010232461675713</v>
      </c>
    </row>
    <row r="888" spans="1:7" ht="13" x14ac:dyDescent="0.15">
      <c r="A888" s="2">
        <v>44562</v>
      </c>
      <c r="B888" s="1" t="s">
        <v>12</v>
      </c>
      <c r="C888" s="1" t="s">
        <v>20</v>
      </c>
      <c r="D888" s="1">
        <v>1</v>
      </c>
      <c r="E888" s="1">
        <v>92.179647373450095</v>
      </c>
      <c r="F888" s="1">
        <v>895</v>
      </c>
      <c r="G888">
        <f t="shared" si="14"/>
        <v>9.6010232461675713</v>
      </c>
    </row>
    <row r="889" spans="1:7" ht="13" x14ac:dyDescent="0.15">
      <c r="A889" s="2">
        <v>44652</v>
      </c>
      <c r="B889" s="1" t="s">
        <v>13</v>
      </c>
      <c r="C889" s="1" t="s">
        <v>21</v>
      </c>
      <c r="D889" s="1">
        <v>64</v>
      </c>
      <c r="E889" s="1">
        <v>765.31831584798397</v>
      </c>
      <c r="F889" s="1">
        <v>4503</v>
      </c>
      <c r="G889">
        <f t="shared" si="14"/>
        <v>27.664387140292554</v>
      </c>
    </row>
    <row r="890" spans="1:7" ht="13" x14ac:dyDescent="0.15">
      <c r="A890" s="2">
        <v>44652</v>
      </c>
      <c r="B890" s="1" t="s">
        <v>6</v>
      </c>
      <c r="C890" s="1" t="s">
        <v>21</v>
      </c>
      <c r="D890" s="1">
        <v>64</v>
      </c>
      <c r="E890" s="1">
        <v>765.31831584798397</v>
      </c>
      <c r="F890" s="1">
        <v>4503</v>
      </c>
      <c r="G890">
        <f t="shared" si="14"/>
        <v>27.664387140292554</v>
      </c>
    </row>
    <row r="891" spans="1:7" ht="13" x14ac:dyDescent="0.15">
      <c r="A891" s="2">
        <v>44652</v>
      </c>
      <c r="B891" s="1" t="s">
        <v>12</v>
      </c>
      <c r="C891" s="1" t="s">
        <v>21</v>
      </c>
      <c r="D891" s="1">
        <v>64</v>
      </c>
      <c r="E891" s="1">
        <v>765.31831584798397</v>
      </c>
      <c r="F891" s="1">
        <v>4503</v>
      </c>
      <c r="G891">
        <f t="shared" si="14"/>
        <v>27.664387140292554</v>
      </c>
    </row>
    <row r="892" spans="1:7" ht="13" x14ac:dyDescent="0.15">
      <c r="A892" s="2">
        <v>44652</v>
      </c>
      <c r="B892" s="1" t="s">
        <v>10</v>
      </c>
      <c r="C892" s="1" t="s">
        <v>21</v>
      </c>
      <c r="D892" s="1">
        <v>64</v>
      </c>
      <c r="E892" s="1">
        <v>765.31831584798397</v>
      </c>
      <c r="F892" s="1">
        <v>4503</v>
      </c>
      <c r="G892">
        <f t="shared" si="14"/>
        <v>27.664387140292554</v>
      </c>
    </row>
    <row r="893" spans="1:7" ht="13" x14ac:dyDescent="0.15">
      <c r="A893" s="2">
        <v>44652</v>
      </c>
      <c r="B893" s="1" t="s">
        <v>14</v>
      </c>
      <c r="C893" s="1" t="s">
        <v>21</v>
      </c>
      <c r="D893" s="1">
        <v>64</v>
      </c>
      <c r="E893" s="1">
        <v>765.31831584798397</v>
      </c>
      <c r="F893" s="1">
        <v>4503</v>
      </c>
      <c r="G893">
        <f t="shared" si="14"/>
        <v>27.664387140292554</v>
      </c>
    </row>
    <row r="894" spans="1:7" ht="13" x14ac:dyDescent="0.15">
      <c r="A894" s="2">
        <v>44958</v>
      </c>
      <c r="B894" s="1" t="s">
        <v>10</v>
      </c>
      <c r="C894" s="1" t="s">
        <v>7</v>
      </c>
      <c r="D894" s="1">
        <v>38.270286560058501</v>
      </c>
      <c r="E894" s="1">
        <v>277.23064729221102</v>
      </c>
      <c r="F894" s="1">
        <v>1820</v>
      </c>
      <c r="G894">
        <f t="shared" si="14"/>
        <v>16.650244661632183</v>
      </c>
    </row>
    <row r="895" spans="1:7" ht="13" x14ac:dyDescent="0.15">
      <c r="A895" s="2">
        <v>44958</v>
      </c>
      <c r="B895" s="1" t="s">
        <v>14</v>
      </c>
      <c r="C895" s="1" t="s">
        <v>7</v>
      </c>
      <c r="D895" s="1">
        <v>38.270286560058501</v>
      </c>
      <c r="E895" s="1">
        <v>277.23064729221102</v>
      </c>
      <c r="F895" s="1">
        <v>1820</v>
      </c>
      <c r="G895">
        <f t="shared" si="14"/>
        <v>16.650244661632183</v>
      </c>
    </row>
    <row r="896" spans="1:7" ht="13" x14ac:dyDescent="0.15">
      <c r="A896" s="2">
        <v>44958</v>
      </c>
      <c r="B896" s="1" t="s">
        <v>12</v>
      </c>
      <c r="C896" s="1" t="s">
        <v>7</v>
      </c>
      <c r="D896" s="1">
        <v>38.270286560058501</v>
      </c>
      <c r="E896" s="1">
        <v>277.23064729221102</v>
      </c>
      <c r="F896" s="1">
        <v>1820</v>
      </c>
      <c r="G896">
        <f t="shared" si="14"/>
        <v>16.650244661632183</v>
      </c>
    </row>
    <row r="897" spans="1:7" ht="13" x14ac:dyDescent="0.15">
      <c r="A897" s="2">
        <v>44958</v>
      </c>
      <c r="B897" s="1" t="s">
        <v>6</v>
      </c>
      <c r="C897" s="1" t="s">
        <v>7</v>
      </c>
      <c r="D897" s="1">
        <v>38.270286560058501</v>
      </c>
      <c r="E897" s="1">
        <v>277.23064729221102</v>
      </c>
      <c r="F897" s="1">
        <v>1820</v>
      </c>
      <c r="G897">
        <f t="shared" si="14"/>
        <v>16.650244661632183</v>
      </c>
    </row>
    <row r="898" spans="1:7" ht="13" x14ac:dyDescent="0.15">
      <c r="A898" s="2">
        <v>44958</v>
      </c>
      <c r="B898" s="1" t="s">
        <v>13</v>
      </c>
      <c r="C898" s="1" t="s">
        <v>7</v>
      </c>
      <c r="D898" s="1">
        <v>38.270286560058501</v>
      </c>
      <c r="E898" s="1">
        <v>277.23064729221102</v>
      </c>
      <c r="F898" s="1">
        <v>1820</v>
      </c>
      <c r="G898">
        <f t="shared" si="14"/>
        <v>16.650244661632183</v>
      </c>
    </row>
    <row r="899" spans="1:7" ht="13" x14ac:dyDescent="0.15">
      <c r="A899" s="2">
        <v>44805</v>
      </c>
      <c r="B899" s="1" t="s">
        <v>10</v>
      </c>
      <c r="C899" s="1" t="s">
        <v>22</v>
      </c>
      <c r="D899" s="1">
        <v>8</v>
      </c>
      <c r="E899" s="1">
        <v>107.831327985916</v>
      </c>
      <c r="F899" s="1">
        <v>838.5</v>
      </c>
      <c r="G899">
        <f t="shared" ref="G899:G962" si="15">SQRT(E899)</f>
        <v>10.384186438326115</v>
      </c>
    </row>
    <row r="900" spans="1:7" ht="13" x14ac:dyDescent="0.15">
      <c r="A900" s="2">
        <v>44805</v>
      </c>
      <c r="B900" s="1" t="s">
        <v>6</v>
      </c>
      <c r="C900" s="1" t="s">
        <v>22</v>
      </c>
      <c r="D900" s="1">
        <v>8</v>
      </c>
      <c r="E900" s="1">
        <v>107.831327985916</v>
      </c>
      <c r="F900" s="1">
        <v>838.5</v>
      </c>
      <c r="G900">
        <f t="shared" si="15"/>
        <v>10.384186438326115</v>
      </c>
    </row>
    <row r="901" spans="1:7" ht="13" x14ac:dyDescent="0.15">
      <c r="A901" s="2">
        <v>44805</v>
      </c>
      <c r="B901" s="1" t="s">
        <v>12</v>
      </c>
      <c r="C901" s="1" t="s">
        <v>22</v>
      </c>
      <c r="D901" s="1">
        <v>8</v>
      </c>
      <c r="E901" s="1">
        <v>107.831327985916</v>
      </c>
      <c r="F901" s="1">
        <v>838.5</v>
      </c>
      <c r="G901">
        <f t="shared" si="15"/>
        <v>10.384186438326115</v>
      </c>
    </row>
    <row r="902" spans="1:7" ht="13" x14ac:dyDescent="0.15">
      <c r="A902" s="2">
        <v>44805</v>
      </c>
      <c r="B902" s="1" t="s">
        <v>13</v>
      </c>
      <c r="C902" s="1" t="s">
        <v>22</v>
      </c>
      <c r="D902" s="1">
        <v>8</v>
      </c>
      <c r="E902" s="1">
        <v>107.831327985916</v>
      </c>
      <c r="F902" s="1">
        <v>838.5</v>
      </c>
      <c r="G902">
        <f t="shared" si="15"/>
        <v>10.384186438326115</v>
      </c>
    </row>
    <row r="903" spans="1:7" ht="13" x14ac:dyDescent="0.15">
      <c r="A903" s="2">
        <v>44805</v>
      </c>
      <c r="B903" s="1" t="s">
        <v>14</v>
      </c>
      <c r="C903" s="1" t="s">
        <v>22</v>
      </c>
      <c r="D903" s="1">
        <v>8</v>
      </c>
      <c r="E903" s="1">
        <v>107.831327985916</v>
      </c>
      <c r="F903" s="1">
        <v>838.5</v>
      </c>
      <c r="G903">
        <f t="shared" si="15"/>
        <v>10.384186438326115</v>
      </c>
    </row>
    <row r="904" spans="1:7" ht="13" x14ac:dyDescent="0.15">
      <c r="A904" s="2">
        <v>44805</v>
      </c>
      <c r="B904" s="1" t="s">
        <v>10</v>
      </c>
      <c r="C904" s="1" t="s">
        <v>16</v>
      </c>
      <c r="D904" s="1">
        <v>6.6666666666666599</v>
      </c>
      <c r="E904" s="1">
        <v>70.721849702923805</v>
      </c>
      <c r="F904" s="1">
        <v>925</v>
      </c>
      <c r="G904">
        <f t="shared" si="15"/>
        <v>8.409628392677277</v>
      </c>
    </row>
    <row r="905" spans="1:7" ht="13" x14ac:dyDescent="0.15">
      <c r="A905" s="2">
        <v>44805</v>
      </c>
      <c r="B905" s="1" t="s">
        <v>6</v>
      </c>
      <c r="C905" s="1" t="s">
        <v>16</v>
      </c>
      <c r="D905" s="1">
        <v>6.6666666666666599</v>
      </c>
      <c r="E905" s="1">
        <v>70.721849702923805</v>
      </c>
      <c r="F905" s="1">
        <v>925</v>
      </c>
      <c r="G905">
        <f t="shared" si="15"/>
        <v>8.409628392677277</v>
      </c>
    </row>
    <row r="906" spans="1:7" ht="13" x14ac:dyDescent="0.15">
      <c r="A906" s="2">
        <v>44805</v>
      </c>
      <c r="B906" s="1" t="s">
        <v>12</v>
      </c>
      <c r="C906" s="1" t="s">
        <v>16</v>
      </c>
      <c r="D906" s="1">
        <v>6.6666666666666599</v>
      </c>
      <c r="E906" s="1">
        <v>70.721849702923805</v>
      </c>
      <c r="F906" s="1">
        <v>925</v>
      </c>
      <c r="G906">
        <f t="shared" si="15"/>
        <v>8.409628392677277</v>
      </c>
    </row>
    <row r="907" spans="1:7" ht="13" x14ac:dyDescent="0.15">
      <c r="A907" s="2">
        <v>44805</v>
      </c>
      <c r="B907" s="1" t="s">
        <v>13</v>
      </c>
      <c r="C907" s="1" t="s">
        <v>16</v>
      </c>
      <c r="D907" s="1">
        <v>6.6666666666666599</v>
      </c>
      <c r="E907" s="1">
        <v>70.721849702923805</v>
      </c>
      <c r="F907" s="1">
        <v>925</v>
      </c>
      <c r="G907">
        <f t="shared" si="15"/>
        <v>8.409628392677277</v>
      </c>
    </row>
    <row r="908" spans="1:7" ht="13" x14ac:dyDescent="0.15">
      <c r="A908" s="2">
        <v>44805</v>
      </c>
      <c r="B908" s="1" t="s">
        <v>14</v>
      </c>
      <c r="C908" s="1" t="s">
        <v>16</v>
      </c>
      <c r="D908" s="1">
        <v>6.6666666666666599</v>
      </c>
      <c r="E908" s="1">
        <v>70.721849702923805</v>
      </c>
      <c r="F908" s="1">
        <v>925</v>
      </c>
      <c r="G908">
        <f t="shared" si="15"/>
        <v>8.409628392677277</v>
      </c>
    </row>
    <row r="909" spans="1:7" ht="13" x14ac:dyDescent="0.15">
      <c r="A909" s="2">
        <v>44593</v>
      </c>
      <c r="B909" s="1" t="s">
        <v>10</v>
      </c>
      <c r="C909" s="1" t="s">
        <v>11</v>
      </c>
      <c r="D909" s="1">
        <v>29</v>
      </c>
      <c r="E909" s="1">
        <v>194.51887903105199</v>
      </c>
      <c r="F909" s="1">
        <v>1604</v>
      </c>
      <c r="G909">
        <f t="shared" si="15"/>
        <v>13.947002510613238</v>
      </c>
    </row>
    <row r="910" spans="1:7" ht="13" x14ac:dyDescent="0.15">
      <c r="A910" s="2">
        <v>44593</v>
      </c>
      <c r="B910" s="1" t="s">
        <v>6</v>
      </c>
      <c r="C910" s="1" t="s">
        <v>11</v>
      </c>
      <c r="D910" s="1">
        <v>29</v>
      </c>
      <c r="E910" s="1">
        <v>194.51887903105199</v>
      </c>
      <c r="F910" s="1">
        <v>1604</v>
      </c>
      <c r="G910">
        <f t="shared" si="15"/>
        <v>13.947002510613238</v>
      </c>
    </row>
    <row r="911" spans="1:7" ht="13" x14ac:dyDescent="0.15">
      <c r="A911" s="2">
        <v>44593</v>
      </c>
      <c r="B911" s="1" t="s">
        <v>12</v>
      </c>
      <c r="C911" s="1" t="s">
        <v>11</v>
      </c>
      <c r="D911" s="1">
        <v>29</v>
      </c>
      <c r="E911" s="1">
        <v>194.51887903105199</v>
      </c>
      <c r="F911" s="1">
        <v>1604</v>
      </c>
      <c r="G911">
        <f t="shared" si="15"/>
        <v>13.947002510613238</v>
      </c>
    </row>
    <row r="912" spans="1:7" ht="13" x14ac:dyDescent="0.15">
      <c r="A912" s="2">
        <v>44593</v>
      </c>
      <c r="B912" s="1" t="s">
        <v>14</v>
      </c>
      <c r="C912" s="1" t="s">
        <v>11</v>
      </c>
      <c r="D912" s="1">
        <v>29</v>
      </c>
      <c r="E912" s="1">
        <v>194.51887903105199</v>
      </c>
      <c r="F912" s="1">
        <v>1604</v>
      </c>
      <c r="G912">
        <f t="shared" si="15"/>
        <v>13.947002510613238</v>
      </c>
    </row>
    <row r="913" spans="1:7" ht="13" x14ac:dyDescent="0.15">
      <c r="A913" s="2">
        <v>44593</v>
      </c>
      <c r="B913" s="1" t="s">
        <v>13</v>
      </c>
      <c r="C913" s="1" t="s">
        <v>11</v>
      </c>
      <c r="D913" s="1">
        <v>29</v>
      </c>
      <c r="E913" s="1">
        <v>194.51887903105199</v>
      </c>
      <c r="F913" s="1">
        <v>1604</v>
      </c>
      <c r="G913">
        <f t="shared" si="15"/>
        <v>13.947002510613238</v>
      </c>
    </row>
    <row r="914" spans="1:7" ht="13" x14ac:dyDescent="0.15">
      <c r="A914" s="2">
        <v>44593</v>
      </c>
      <c r="B914" s="1" t="s">
        <v>10</v>
      </c>
      <c r="C914" s="1" t="s">
        <v>16</v>
      </c>
      <c r="D914" s="1">
        <v>10.641486167907701</v>
      </c>
      <c r="E914" s="1">
        <v>69.440762730760596</v>
      </c>
      <c r="F914" s="1">
        <v>1604</v>
      </c>
      <c r="G914">
        <f t="shared" si="15"/>
        <v>8.3331124275843411</v>
      </c>
    </row>
    <row r="915" spans="1:7" ht="13" x14ac:dyDescent="0.15">
      <c r="A915" s="2">
        <v>44593</v>
      </c>
      <c r="B915" s="1" t="s">
        <v>6</v>
      </c>
      <c r="C915" s="1" t="s">
        <v>16</v>
      </c>
      <c r="D915" s="1">
        <v>10.641486167907701</v>
      </c>
      <c r="E915" s="1">
        <v>69.440762730760596</v>
      </c>
      <c r="F915" s="1">
        <v>1604</v>
      </c>
      <c r="G915">
        <f t="shared" si="15"/>
        <v>8.3331124275843411</v>
      </c>
    </row>
    <row r="916" spans="1:7" ht="13" x14ac:dyDescent="0.15">
      <c r="A916" s="2">
        <v>44593</v>
      </c>
      <c r="B916" s="1" t="s">
        <v>12</v>
      </c>
      <c r="C916" s="1" t="s">
        <v>16</v>
      </c>
      <c r="D916" s="1">
        <v>10.641486167907701</v>
      </c>
      <c r="E916" s="1">
        <v>69.440762730760596</v>
      </c>
      <c r="F916" s="1">
        <v>1604</v>
      </c>
      <c r="G916">
        <f t="shared" si="15"/>
        <v>8.3331124275843411</v>
      </c>
    </row>
    <row r="917" spans="1:7" ht="13" x14ac:dyDescent="0.15">
      <c r="A917" s="2">
        <v>44593</v>
      </c>
      <c r="B917" s="1" t="s">
        <v>14</v>
      </c>
      <c r="C917" s="1" t="s">
        <v>16</v>
      </c>
      <c r="D917" s="1">
        <v>10.641486167907701</v>
      </c>
      <c r="E917" s="1">
        <v>69.440762730760596</v>
      </c>
      <c r="F917" s="1">
        <v>1604</v>
      </c>
      <c r="G917">
        <f t="shared" si="15"/>
        <v>8.3331124275843411</v>
      </c>
    </row>
    <row r="918" spans="1:7" ht="13" x14ac:dyDescent="0.15">
      <c r="A918" s="2">
        <v>44593</v>
      </c>
      <c r="B918" s="1" t="s">
        <v>13</v>
      </c>
      <c r="C918" s="1" t="s">
        <v>16</v>
      </c>
      <c r="D918" s="1">
        <v>10.641486167907701</v>
      </c>
      <c r="E918" s="1">
        <v>69.440762730760596</v>
      </c>
      <c r="F918" s="1">
        <v>1604</v>
      </c>
      <c r="G918">
        <f t="shared" si="15"/>
        <v>8.3331124275843411</v>
      </c>
    </row>
    <row r="919" spans="1:7" ht="13" x14ac:dyDescent="0.15">
      <c r="A919" s="2">
        <v>44986</v>
      </c>
      <c r="B919" s="1" t="s">
        <v>6</v>
      </c>
      <c r="C919" s="1" t="s">
        <v>24</v>
      </c>
      <c r="D919" s="1">
        <v>158.15124511718699</v>
      </c>
      <c r="E919" s="1">
        <v>608.93440033020499</v>
      </c>
      <c r="F919" s="1">
        <v>1159.54602050781</v>
      </c>
      <c r="G919">
        <f t="shared" si="15"/>
        <v>24.676596206328881</v>
      </c>
    </row>
    <row r="920" spans="1:7" ht="13" x14ac:dyDescent="0.15">
      <c r="A920" s="3">
        <v>44835</v>
      </c>
      <c r="B920" s="1" t="s">
        <v>12</v>
      </c>
      <c r="C920" s="1" t="s">
        <v>11</v>
      </c>
      <c r="D920" s="1">
        <v>29</v>
      </c>
      <c r="E920" s="1">
        <v>214.140888185362</v>
      </c>
      <c r="F920" s="1">
        <v>973.200927734375</v>
      </c>
      <c r="G920">
        <f t="shared" si="15"/>
        <v>14.633553505056863</v>
      </c>
    </row>
    <row r="921" spans="1:7" ht="13" x14ac:dyDescent="0.15">
      <c r="A921" s="3">
        <v>44835</v>
      </c>
      <c r="B921" s="1" t="s">
        <v>6</v>
      </c>
      <c r="C921" s="1" t="s">
        <v>11</v>
      </c>
      <c r="D921" s="1">
        <v>29</v>
      </c>
      <c r="E921" s="1">
        <v>214.140888185362</v>
      </c>
      <c r="F921" s="1">
        <v>973.200927734375</v>
      </c>
      <c r="G921">
        <f t="shared" si="15"/>
        <v>14.633553505056863</v>
      </c>
    </row>
    <row r="922" spans="1:7" ht="13" x14ac:dyDescent="0.15">
      <c r="A922" s="3">
        <v>44835</v>
      </c>
      <c r="B922" s="1" t="s">
        <v>13</v>
      </c>
      <c r="C922" s="1" t="s">
        <v>11</v>
      </c>
      <c r="D922" s="1">
        <v>29</v>
      </c>
      <c r="E922" s="1">
        <v>214.140888185362</v>
      </c>
      <c r="F922" s="1">
        <v>973.200927734375</v>
      </c>
      <c r="G922">
        <f t="shared" si="15"/>
        <v>14.633553505056863</v>
      </c>
    </row>
    <row r="923" spans="1:7" ht="13" x14ac:dyDescent="0.15">
      <c r="A923" s="3">
        <v>44835</v>
      </c>
      <c r="B923" s="1" t="s">
        <v>14</v>
      </c>
      <c r="C923" s="1" t="s">
        <v>11</v>
      </c>
      <c r="D923" s="1">
        <v>29</v>
      </c>
      <c r="E923" s="1">
        <v>214.140888185362</v>
      </c>
      <c r="F923" s="1">
        <v>973.200927734375</v>
      </c>
      <c r="G923">
        <f t="shared" si="15"/>
        <v>14.633553505056863</v>
      </c>
    </row>
    <row r="924" spans="1:7" ht="13" x14ac:dyDescent="0.15">
      <c r="A924" s="3">
        <v>44835</v>
      </c>
      <c r="B924" s="1" t="s">
        <v>10</v>
      </c>
      <c r="C924" s="1" t="s">
        <v>11</v>
      </c>
      <c r="D924" s="1">
        <v>29</v>
      </c>
      <c r="E924" s="1">
        <v>214.140888185362</v>
      </c>
      <c r="F924" s="1">
        <v>973.200927734375</v>
      </c>
      <c r="G924">
        <f t="shared" si="15"/>
        <v>14.633553505056863</v>
      </c>
    </row>
    <row r="925" spans="1:7" ht="13" x14ac:dyDescent="0.15">
      <c r="A925" s="2">
        <v>44593</v>
      </c>
      <c r="B925" s="1" t="s">
        <v>10</v>
      </c>
      <c r="C925" s="1" t="s">
        <v>20</v>
      </c>
      <c r="D925" s="1">
        <v>1</v>
      </c>
      <c r="E925" s="1">
        <v>97.479642338152402</v>
      </c>
      <c r="F925" s="1">
        <v>1604</v>
      </c>
      <c r="G925">
        <f t="shared" si="15"/>
        <v>9.8731779249718983</v>
      </c>
    </row>
    <row r="926" spans="1:7" ht="13" x14ac:dyDescent="0.15">
      <c r="A926" s="2">
        <v>44593</v>
      </c>
      <c r="B926" s="1" t="s">
        <v>6</v>
      </c>
      <c r="C926" s="1" t="s">
        <v>20</v>
      </c>
      <c r="D926" s="1">
        <v>1</v>
      </c>
      <c r="E926" s="1">
        <v>97.479642338152402</v>
      </c>
      <c r="F926" s="1">
        <v>1604</v>
      </c>
      <c r="G926">
        <f t="shared" si="15"/>
        <v>9.8731779249718983</v>
      </c>
    </row>
    <row r="927" spans="1:7" ht="13" x14ac:dyDescent="0.15">
      <c r="A927" s="2">
        <v>44593</v>
      </c>
      <c r="B927" s="1" t="s">
        <v>12</v>
      </c>
      <c r="C927" s="1" t="s">
        <v>20</v>
      </c>
      <c r="D927" s="1">
        <v>1</v>
      </c>
      <c r="E927" s="1">
        <v>97.479642338152402</v>
      </c>
      <c r="F927" s="1">
        <v>1604</v>
      </c>
      <c r="G927">
        <f t="shared" si="15"/>
        <v>9.8731779249718983</v>
      </c>
    </row>
    <row r="928" spans="1:7" ht="13" x14ac:dyDescent="0.15">
      <c r="A928" s="2">
        <v>44593</v>
      </c>
      <c r="B928" s="1" t="s">
        <v>14</v>
      </c>
      <c r="C928" s="1" t="s">
        <v>20</v>
      </c>
      <c r="D928" s="1">
        <v>1</v>
      </c>
      <c r="E928" s="1">
        <v>97.479642338152402</v>
      </c>
      <c r="F928" s="1">
        <v>1604</v>
      </c>
      <c r="G928">
        <f t="shared" si="15"/>
        <v>9.8731779249718983</v>
      </c>
    </row>
    <row r="929" spans="1:7" ht="13" x14ac:dyDescent="0.15">
      <c r="A929" s="2">
        <v>44593</v>
      </c>
      <c r="B929" s="1" t="s">
        <v>13</v>
      </c>
      <c r="C929" s="1" t="s">
        <v>20</v>
      </c>
      <c r="D929" s="1">
        <v>1</v>
      </c>
      <c r="E929" s="1">
        <v>97.479642338152402</v>
      </c>
      <c r="F929" s="1">
        <v>1604</v>
      </c>
      <c r="G929">
        <f t="shared" si="15"/>
        <v>9.8731779249718983</v>
      </c>
    </row>
    <row r="930" spans="1:7" ht="13" x14ac:dyDescent="0.15">
      <c r="A930" s="3">
        <v>44866</v>
      </c>
      <c r="B930" s="1" t="s">
        <v>13</v>
      </c>
      <c r="C930" s="1" t="s">
        <v>8</v>
      </c>
      <c r="D930" s="1">
        <v>46</v>
      </c>
      <c r="E930" s="1">
        <v>370.56127719367498</v>
      </c>
      <c r="F930" s="1">
        <v>1638.5</v>
      </c>
      <c r="G930">
        <f t="shared" si="15"/>
        <v>19.249968238770549</v>
      </c>
    </row>
    <row r="931" spans="1:7" ht="13" x14ac:dyDescent="0.15">
      <c r="A931" s="3">
        <v>44866</v>
      </c>
      <c r="B931" s="1" t="s">
        <v>12</v>
      </c>
      <c r="C931" s="1" t="s">
        <v>8</v>
      </c>
      <c r="D931" s="1">
        <v>46</v>
      </c>
      <c r="E931" s="1">
        <v>370.56127719367498</v>
      </c>
      <c r="F931" s="1">
        <v>1638.5</v>
      </c>
      <c r="G931">
        <f t="shared" si="15"/>
        <v>19.249968238770549</v>
      </c>
    </row>
    <row r="932" spans="1:7" ht="13" x14ac:dyDescent="0.15">
      <c r="A932" s="3">
        <v>44866</v>
      </c>
      <c r="B932" s="1" t="s">
        <v>6</v>
      </c>
      <c r="C932" s="1" t="s">
        <v>8</v>
      </c>
      <c r="D932" s="1">
        <v>46</v>
      </c>
      <c r="E932" s="1">
        <v>370.56127719367498</v>
      </c>
      <c r="F932" s="1">
        <v>1638.5</v>
      </c>
      <c r="G932">
        <f t="shared" si="15"/>
        <v>19.249968238770549</v>
      </c>
    </row>
    <row r="933" spans="1:7" ht="13" x14ac:dyDescent="0.15">
      <c r="A933" s="3">
        <v>44866</v>
      </c>
      <c r="B933" s="1" t="s">
        <v>10</v>
      </c>
      <c r="C933" s="1" t="s">
        <v>8</v>
      </c>
      <c r="D933" s="1">
        <v>46</v>
      </c>
      <c r="E933" s="1">
        <v>370.56127719367498</v>
      </c>
      <c r="F933" s="1">
        <v>1638.5</v>
      </c>
      <c r="G933">
        <f t="shared" si="15"/>
        <v>19.249968238770549</v>
      </c>
    </row>
    <row r="934" spans="1:7" ht="13" x14ac:dyDescent="0.15">
      <c r="A934" s="3">
        <v>44866</v>
      </c>
      <c r="B934" s="1" t="s">
        <v>14</v>
      </c>
      <c r="C934" s="1" t="s">
        <v>8</v>
      </c>
      <c r="D934" s="1">
        <v>46</v>
      </c>
      <c r="E934" s="1">
        <v>370.56127719367498</v>
      </c>
      <c r="F934" s="1">
        <v>1638.5</v>
      </c>
      <c r="G934">
        <f t="shared" si="15"/>
        <v>19.249968238770549</v>
      </c>
    </row>
    <row r="935" spans="1:7" ht="13" x14ac:dyDescent="0.15">
      <c r="A935" s="3">
        <v>44896</v>
      </c>
      <c r="B935" s="1" t="s">
        <v>10</v>
      </c>
      <c r="C935" s="1" t="s">
        <v>20</v>
      </c>
      <c r="D935" s="1">
        <v>4.9567809104919398</v>
      </c>
      <c r="E935" s="1">
        <v>72.240288071014902</v>
      </c>
      <c r="F935" s="1">
        <v>2039.04309082031</v>
      </c>
      <c r="G935">
        <f t="shared" si="15"/>
        <v>8.4994286908600447</v>
      </c>
    </row>
    <row r="936" spans="1:7" ht="13" x14ac:dyDescent="0.15">
      <c r="A936" s="3">
        <v>44896</v>
      </c>
      <c r="B936" s="1" t="s">
        <v>14</v>
      </c>
      <c r="C936" s="1" t="s">
        <v>20</v>
      </c>
      <c r="D936" s="1">
        <v>4.9567809104919398</v>
      </c>
      <c r="E936" s="1">
        <v>72.240288071014902</v>
      </c>
      <c r="F936" s="1">
        <v>2039.04309082031</v>
      </c>
      <c r="G936">
        <f t="shared" si="15"/>
        <v>8.4994286908600447</v>
      </c>
    </row>
    <row r="937" spans="1:7" ht="13" x14ac:dyDescent="0.15">
      <c r="A937" s="3">
        <v>44896</v>
      </c>
      <c r="B937" s="1" t="s">
        <v>6</v>
      </c>
      <c r="C937" s="1" t="s">
        <v>20</v>
      </c>
      <c r="D937" s="1">
        <v>4.9567809104919398</v>
      </c>
      <c r="E937" s="1">
        <v>72.240288071014902</v>
      </c>
      <c r="F937" s="1">
        <v>2039.04309082031</v>
      </c>
      <c r="G937">
        <f t="shared" si="15"/>
        <v>8.4994286908600447</v>
      </c>
    </row>
    <row r="938" spans="1:7" ht="13" x14ac:dyDescent="0.15">
      <c r="A938" s="3">
        <v>44896</v>
      </c>
      <c r="B938" s="1" t="s">
        <v>13</v>
      </c>
      <c r="C938" s="1" t="s">
        <v>20</v>
      </c>
      <c r="D938" s="1">
        <v>4.9567809104919398</v>
      </c>
      <c r="E938" s="1">
        <v>72.240288071014902</v>
      </c>
      <c r="F938" s="1">
        <v>2039.04309082031</v>
      </c>
      <c r="G938">
        <f t="shared" si="15"/>
        <v>8.4994286908600447</v>
      </c>
    </row>
    <row r="939" spans="1:7" ht="13" x14ac:dyDescent="0.15">
      <c r="A939" s="3">
        <v>44896</v>
      </c>
      <c r="B939" s="1" t="s">
        <v>12</v>
      </c>
      <c r="C939" s="1" t="s">
        <v>20</v>
      </c>
      <c r="D939" s="1">
        <v>4.9567809104919398</v>
      </c>
      <c r="E939" s="1">
        <v>72.240288071014902</v>
      </c>
      <c r="F939" s="1">
        <v>2039.04309082031</v>
      </c>
      <c r="G939">
        <f t="shared" si="15"/>
        <v>8.4994286908600447</v>
      </c>
    </row>
    <row r="940" spans="1:7" ht="13" x14ac:dyDescent="0.15">
      <c r="A940" s="2">
        <v>44713</v>
      </c>
      <c r="B940" s="1" t="s">
        <v>6</v>
      </c>
      <c r="C940" s="1" t="s">
        <v>22</v>
      </c>
      <c r="D940" s="1">
        <v>8</v>
      </c>
      <c r="E940" s="1">
        <v>113.650645287439</v>
      </c>
      <c r="F940" s="1">
        <v>1020.5640258789</v>
      </c>
      <c r="G940">
        <f t="shared" si="15"/>
        <v>10.660705665547614</v>
      </c>
    </row>
    <row r="941" spans="1:7" ht="13" x14ac:dyDescent="0.15">
      <c r="A941" s="2">
        <v>44713</v>
      </c>
      <c r="B941" s="1" t="s">
        <v>12</v>
      </c>
      <c r="C941" s="1" t="s">
        <v>22</v>
      </c>
      <c r="D941" s="1">
        <v>8</v>
      </c>
      <c r="E941" s="1">
        <v>113.650645287439</v>
      </c>
      <c r="F941" s="1">
        <v>1020.5640258789</v>
      </c>
      <c r="G941">
        <f t="shared" si="15"/>
        <v>10.660705665547614</v>
      </c>
    </row>
    <row r="942" spans="1:7" ht="13" x14ac:dyDescent="0.15">
      <c r="A942" s="2">
        <v>44713</v>
      </c>
      <c r="B942" s="1" t="s">
        <v>14</v>
      </c>
      <c r="C942" s="1" t="s">
        <v>22</v>
      </c>
      <c r="D942" s="1">
        <v>8</v>
      </c>
      <c r="E942" s="1">
        <v>113.650645287439</v>
      </c>
      <c r="F942" s="1">
        <v>1020.5640258789</v>
      </c>
      <c r="G942">
        <f t="shared" si="15"/>
        <v>10.660705665547614</v>
      </c>
    </row>
    <row r="943" spans="1:7" ht="13" x14ac:dyDescent="0.15">
      <c r="A943" s="2">
        <v>44713</v>
      </c>
      <c r="B943" s="1" t="s">
        <v>13</v>
      </c>
      <c r="C943" s="1" t="s">
        <v>22</v>
      </c>
      <c r="D943" s="1">
        <v>8</v>
      </c>
      <c r="E943" s="1">
        <v>113.650645287439</v>
      </c>
      <c r="F943" s="1">
        <v>1020.5640258789</v>
      </c>
      <c r="G943">
        <f t="shared" si="15"/>
        <v>10.660705665547614</v>
      </c>
    </row>
    <row r="944" spans="1:7" ht="13" x14ac:dyDescent="0.15">
      <c r="A944" s="2">
        <v>44713</v>
      </c>
      <c r="B944" s="1" t="s">
        <v>10</v>
      </c>
      <c r="C944" s="1" t="s">
        <v>22</v>
      </c>
      <c r="D944" s="1">
        <v>8</v>
      </c>
      <c r="E944" s="1">
        <v>113.650645287439</v>
      </c>
      <c r="F944" s="1">
        <v>1020.5640258789</v>
      </c>
      <c r="G944">
        <f t="shared" si="15"/>
        <v>10.660705665547614</v>
      </c>
    </row>
    <row r="945" spans="1:7" ht="13" x14ac:dyDescent="0.15">
      <c r="A945" s="2">
        <v>44743</v>
      </c>
      <c r="B945" s="1" t="s">
        <v>10</v>
      </c>
      <c r="C945" s="1" t="s">
        <v>17</v>
      </c>
      <c r="D945" s="1">
        <v>57.25</v>
      </c>
      <c r="E945" s="1">
        <v>610.16218429303399</v>
      </c>
      <c r="F945" s="1">
        <v>2617</v>
      </c>
      <c r="G945">
        <f t="shared" si="15"/>
        <v>24.701461177287346</v>
      </c>
    </row>
    <row r="946" spans="1:7" ht="13" x14ac:dyDescent="0.15">
      <c r="A946" s="2">
        <v>44743</v>
      </c>
      <c r="B946" s="1" t="s">
        <v>14</v>
      </c>
      <c r="C946" s="1" t="s">
        <v>17</v>
      </c>
      <c r="D946" s="1">
        <v>57.25</v>
      </c>
      <c r="E946" s="1">
        <v>610.16218429303399</v>
      </c>
      <c r="F946" s="1">
        <v>2617</v>
      </c>
      <c r="G946">
        <f t="shared" si="15"/>
        <v>24.701461177287346</v>
      </c>
    </row>
    <row r="947" spans="1:7" ht="13" x14ac:dyDescent="0.15">
      <c r="A947" s="2">
        <v>44743</v>
      </c>
      <c r="B947" s="1" t="s">
        <v>6</v>
      </c>
      <c r="C947" s="1" t="s">
        <v>17</v>
      </c>
      <c r="D947" s="1">
        <v>57.25</v>
      </c>
      <c r="E947" s="1">
        <v>610.16218429303399</v>
      </c>
      <c r="F947" s="1">
        <v>2617</v>
      </c>
      <c r="G947">
        <f t="shared" si="15"/>
        <v>24.701461177287346</v>
      </c>
    </row>
    <row r="948" spans="1:7" ht="13" x14ac:dyDescent="0.15">
      <c r="A948" s="2">
        <v>44743</v>
      </c>
      <c r="B948" s="1" t="s">
        <v>13</v>
      </c>
      <c r="C948" s="1" t="s">
        <v>17</v>
      </c>
      <c r="D948" s="1">
        <v>57.25</v>
      </c>
      <c r="E948" s="1">
        <v>610.16218429303399</v>
      </c>
      <c r="F948" s="1">
        <v>2617</v>
      </c>
      <c r="G948">
        <f t="shared" si="15"/>
        <v>24.701461177287346</v>
      </c>
    </row>
    <row r="949" spans="1:7" ht="13" x14ac:dyDescent="0.15">
      <c r="A949" s="2">
        <v>44743</v>
      </c>
      <c r="B949" s="1" t="s">
        <v>12</v>
      </c>
      <c r="C949" s="1" t="s">
        <v>17</v>
      </c>
      <c r="D949" s="1">
        <v>57.25</v>
      </c>
      <c r="E949" s="1">
        <v>610.16218429303399</v>
      </c>
      <c r="F949" s="1">
        <v>2617</v>
      </c>
      <c r="G949">
        <f t="shared" si="15"/>
        <v>24.701461177287346</v>
      </c>
    </row>
    <row r="950" spans="1:7" ht="13" x14ac:dyDescent="0.15">
      <c r="A950" s="2">
        <v>44805</v>
      </c>
      <c r="B950" s="1" t="s">
        <v>10</v>
      </c>
      <c r="C950" s="1" t="s">
        <v>24</v>
      </c>
      <c r="D950" s="1">
        <v>37</v>
      </c>
      <c r="E950" s="1">
        <v>283.61080014297897</v>
      </c>
      <c r="F950" s="1">
        <v>1169.5</v>
      </c>
      <c r="G950">
        <f t="shared" si="15"/>
        <v>16.840748206151027</v>
      </c>
    </row>
    <row r="951" spans="1:7" ht="13" x14ac:dyDescent="0.15">
      <c r="A951" s="2">
        <v>44805</v>
      </c>
      <c r="B951" s="1" t="s">
        <v>6</v>
      </c>
      <c r="C951" s="1" t="s">
        <v>24</v>
      </c>
      <c r="D951" s="1">
        <v>37</v>
      </c>
      <c r="E951" s="1">
        <v>283.61080014297897</v>
      </c>
      <c r="F951" s="1">
        <v>1169.5</v>
      </c>
      <c r="G951">
        <f t="shared" si="15"/>
        <v>16.840748206151027</v>
      </c>
    </row>
    <row r="952" spans="1:7" ht="13" x14ac:dyDescent="0.15">
      <c r="A952" s="2">
        <v>44805</v>
      </c>
      <c r="B952" s="1" t="s">
        <v>12</v>
      </c>
      <c r="C952" s="1" t="s">
        <v>24</v>
      </c>
      <c r="D952" s="1">
        <v>37</v>
      </c>
      <c r="E952" s="1">
        <v>283.61080014297897</v>
      </c>
      <c r="F952" s="1">
        <v>1169.5</v>
      </c>
      <c r="G952">
        <f t="shared" si="15"/>
        <v>16.840748206151027</v>
      </c>
    </row>
    <row r="953" spans="1:7" ht="13" x14ac:dyDescent="0.15">
      <c r="A953" s="2">
        <v>44805</v>
      </c>
      <c r="B953" s="1" t="s">
        <v>13</v>
      </c>
      <c r="C953" s="1" t="s">
        <v>24</v>
      </c>
      <c r="D953" s="1">
        <v>37</v>
      </c>
      <c r="E953" s="1">
        <v>283.61080014297897</v>
      </c>
      <c r="F953" s="1">
        <v>1169.5</v>
      </c>
      <c r="G953">
        <f t="shared" si="15"/>
        <v>16.840748206151027</v>
      </c>
    </row>
    <row r="954" spans="1:7" ht="13" x14ac:dyDescent="0.15">
      <c r="A954" s="2">
        <v>44805</v>
      </c>
      <c r="B954" s="1" t="s">
        <v>14</v>
      </c>
      <c r="C954" s="1" t="s">
        <v>24</v>
      </c>
      <c r="D954" s="1">
        <v>37</v>
      </c>
      <c r="E954" s="1">
        <v>283.61080014297897</v>
      </c>
      <c r="F954" s="1">
        <v>1169.5</v>
      </c>
      <c r="G954">
        <f t="shared" si="15"/>
        <v>16.840748206151027</v>
      </c>
    </row>
    <row r="955" spans="1:7" ht="13" x14ac:dyDescent="0.15">
      <c r="A955" s="2">
        <v>44593</v>
      </c>
      <c r="B955" s="1" t="s">
        <v>10</v>
      </c>
      <c r="C955" s="1" t="s">
        <v>17</v>
      </c>
      <c r="D955" s="1">
        <v>58</v>
      </c>
      <c r="E955" s="1">
        <v>531.18064533721702</v>
      </c>
      <c r="F955" s="1">
        <v>2639</v>
      </c>
      <c r="G955">
        <f t="shared" si="15"/>
        <v>23.047356580250522</v>
      </c>
    </row>
    <row r="956" spans="1:7" ht="13" x14ac:dyDescent="0.15">
      <c r="A956" s="2">
        <v>44593</v>
      </c>
      <c r="B956" s="1" t="s">
        <v>6</v>
      </c>
      <c r="C956" s="1" t="s">
        <v>17</v>
      </c>
      <c r="D956" s="1">
        <v>58</v>
      </c>
      <c r="E956" s="1">
        <v>531.18064533721702</v>
      </c>
      <c r="F956" s="1">
        <v>2639</v>
      </c>
      <c r="G956">
        <f t="shared" si="15"/>
        <v>23.047356580250522</v>
      </c>
    </row>
    <row r="957" spans="1:7" ht="13" x14ac:dyDescent="0.15">
      <c r="A957" s="2">
        <v>44593</v>
      </c>
      <c r="B957" s="1" t="s">
        <v>12</v>
      </c>
      <c r="C957" s="1" t="s">
        <v>17</v>
      </c>
      <c r="D957" s="1">
        <v>58</v>
      </c>
      <c r="E957" s="1">
        <v>531.18064533721702</v>
      </c>
      <c r="F957" s="1">
        <v>2639</v>
      </c>
      <c r="G957">
        <f t="shared" si="15"/>
        <v>23.047356580250522</v>
      </c>
    </row>
    <row r="958" spans="1:7" ht="13" x14ac:dyDescent="0.15">
      <c r="A958" s="2">
        <v>44593</v>
      </c>
      <c r="B958" s="1" t="s">
        <v>14</v>
      </c>
      <c r="C958" s="1" t="s">
        <v>17</v>
      </c>
      <c r="D958" s="1">
        <v>58</v>
      </c>
      <c r="E958" s="1">
        <v>531.18064533721702</v>
      </c>
      <c r="F958" s="1">
        <v>2639</v>
      </c>
      <c r="G958">
        <f t="shared" si="15"/>
        <v>23.047356580250522</v>
      </c>
    </row>
    <row r="959" spans="1:7" ht="13" x14ac:dyDescent="0.15">
      <c r="A959" s="2">
        <v>44593</v>
      </c>
      <c r="B959" s="1" t="s">
        <v>13</v>
      </c>
      <c r="C959" s="1" t="s">
        <v>17</v>
      </c>
      <c r="D959" s="1">
        <v>58</v>
      </c>
      <c r="E959" s="1">
        <v>531.18064533721702</v>
      </c>
      <c r="F959" s="1">
        <v>2639</v>
      </c>
      <c r="G959">
        <f t="shared" si="15"/>
        <v>23.047356580250522</v>
      </c>
    </row>
    <row r="960" spans="1:7" ht="13" x14ac:dyDescent="0.15">
      <c r="A960" s="2">
        <v>44743</v>
      </c>
      <c r="B960" s="1" t="s">
        <v>10</v>
      </c>
      <c r="C960" s="1" t="s">
        <v>21</v>
      </c>
      <c r="D960" s="1">
        <v>59.5</v>
      </c>
      <c r="E960" s="1">
        <v>800.15201723287305</v>
      </c>
      <c r="F960" s="1">
        <v>4503</v>
      </c>
      <c r="G960">
        <f t="shared" si="15"/>
        <v>28.286958430217858</v>
      </c>
    </row>
    <row r="961" spans="1:7" ht="13" x14ac:dyDescent="0.15">
      <c r="A961" s="2">
        <v>44743</v>
      </c>
      <c r="B961" s="1" t="s">
        <v>14</v>
      </c>
      <c r="C961" s="1" t="s">
        <v>21</v>
      </c>
      <c r="D961" s="1">
        <v>59.5</v>
      </c>
      <c r="E961" s="1">
        <v>800.15201723287305</v>
      </c>
      <c r="F961" s="1">
        <v>4503</v>
      </c>
      <c r="G961">
        <f t="shared" si="15"/>
        <v>28.286958430217858</v>
      </c>
    </row>
    <row r="962" spans="1:7" ht="13" x14ac:dyDescent="0.15">
      <c r="A962" s="2">
        <v>44743</v>
      </c>
      <c r="B962" s="1" t="s">
        <v>6</v>
      </c>
      <c r="C962" s="1" t="s">
        <v>21</v>
      </c>
      <c r="D962" s="1">
        <v>59.5</v>
      </c>
      <c r="E962" s="1">
        <v>800.15201723287305</v>
      </c>
      <c r="F962" s="1">
        <v>4503</v>
      </c>
      <c r="G962">
        <f t="shared" si="15"/>
        <v>28.286958430217858</v>
      </c>
    </row>
    <row r="963" spans="1:7" ht="13" x14ac:dyDescent="0.15">
      <c r="A963" s="2">
        <v>44743</v>
      </c>
      <c r="B963" s="1" t="s">
        <v>13</v>
      </c>
      <c r="C963" s="1" t="s">
        <v>21</v>
      </c>
      <c r="D963" s="1">
        <v>59.5</v>
      </c>
      <c r="E963" s="1">
        <v>800.15201723287305</v>
      </c>
      <c r="F963" s="1">
        <v>4503</v>
      </c>
      <c r="G963">
        <f t="shared" ref="G963:G1026" si="16">SQRT(E963)</f>
        <v>28.286958430217858</v>
      </c>
    </row>
    <row r="964" spans="1:7" ht="13" x14ac:dyDescent="0.15">
      <c r="A964" s="2">
        <v>44743</v>
      </c>
      <c r="B964" s="1" t="s">
        <v>12</v>
      </c>
      <c r="C964" s="1" t="s">
        <v>21</v>
      </c>
      <c r="D964" s="1">
        <v>59.5</v>
      </c>
      <c r="E964" s="1">
        <v>800.15201723287305</v>
      </c>
      <c r="F964" s="1">
        <v>4503</v>
      </c>
      <c r="G964">
        <f t="shared" si="16"/>
        <v>28.286958430217858</v>
      </c>
    </row>
    <row r="965" spans="1:7" ht="13" x14ac:dyDescent="0.15">
      <c r="A965" s="2">
        <v>44621</v>
      </c>
      <c r="B965" s="1" t="s">
        <v>12</v>
      </c>
      <c r="C965" s="1" t="s">
        <v>24</v>
      </c>
      <c r="D965" s="1">
        <v>37</v>
      </c>
      <c r="E965" s="1">
        <v>261.35142227166301</v>
      </c>
      <c r="F965" s="1">
        <v>2323.99438476562</v>
      </c>
      <c r="G965">
        <f t="shared" si="16"/>
        <v>16.166367009061219</v>
      </c>
    </row>
    <row r="966" spans="1:7" ht="13" x14ac:dyDescent="0.15">
      <c r="A966" s="2">
        <v>44621</v>
      </c>
      <c r="B966" s="1" t="s">
        <v>6</v>
      </c>
      <c r="C966" s="1" t="s">
        <v>24</v>
      </c>
      <c r="D966" s="1">
        <v>37</v>
      </c>
      <c r="E966" s="1">
        <v>261.35142227166301</v>
      </c>
      <c r="F966" s="1">
        <v>2323.99438476562</v>
      </c>
      <c r="G966">
        <f t="shared" si="16"/>
        <v>16.166367009061219</v>
      </c>
    </row>
    <row r="967" spans="1:7" ht="13" x14ac:dyDescent="0.15">
      <c r="A967" s="2">
        <v>44621</v>
      </c>
      <c r="B967" s="1" t="s">
        <v>10</v>
      </c>
      <c r="C967" s="1" t="s">
        <v>24</v>
      </c>
      <c r="D967" s="1">
        <v>37</v>
      </c>
      <c r="E967" s="1">
        <v>261.35142227166301</v>
      </c>
      <c r="F967" s="1">
        <v>2323.99438476562</v>
      </c>
      <c r="G967">
        <f t="shared" si="16"/>
        <v>16.166367009061219</v>
      </c>
    </row>
    <row r="968" spans="1:7" ht="13" x14ac:dyDescent="0.15">
      <c r="A968" s="2">
        <v>44621</v>
      </c>
      <c r="B968" s="1" t="s">
        <v>13</v>
      </c>
      <c r="C968" s="1" t="s">
        <v>24</v>
      </c>
      <c r="D968" s="1">
        <v>37</v>
      </c>
      <c r="E968" s="1">
        <v>261.35142227166301</v>
      </c>
      <c r="F968" s="1">
        <v>2323.99438476562</v>
      </c>
      <c r="G968">
        <f t="shared" si="16"/>
        <v>16.166367009061219</v>
      </c>
    </row>
    <row r="969" spans="1:7" ht="13" x14ac:dyDescent="0.15">
      <c r="A969" s="2">
        <v>44621</v>
      </c>
      <c r="B969" s="1" t="s">
        <v>14</v>
      </c>
      <c r="C969" s="1" t="s">
        <v>24</v>
      </c>
      <c r="D969" s="1">
        <v>37</v>
      </c>
      <c r="E969" s="1">
        <v>261.35142227166301</v>
      </c>
      <c r="F969" s="1">
        <v>2323.99438476562</v>
      </c>
      <c r="G969">
        <f t="shared" si="16"/>
        <v>16.166367009061219</v>
      </c>
    </row>
    <row r="970" spans="1:7" ht="13" x14ac:dyDescent="0.15">
      <c r="A970" s="2">
        <v>44562</v>
      </c>
      <c r="B970" s="1" t="s">
        <v>14</v>
      </c>
      <c r="C970" s="1" t="s">
        <v>23</v>
      </c>
      <c r="D970" s="1">
        <v>50.178787231445298</v>
      </c>
      <c r="E970" s="1">
        <v>297.35591036667199</v>
      </c>
      <c r="F970" s="1">
        <v>1420</v>
      </c>
      <c r="G970">
        <f t="shared" si="16"/>
        <v>17.244010854980115</v>
      </c>
    </row>
    <row r="971" spans="1:7" ht="13" x14ac:dyDescent="0.15">
      <c r="A971" s="2">
        <v>44562</v>
      </c>
      <c r="B971" s="1" t="s">
        <v>6</v>
      </c>
      <c r="C971" s="1" t="s">
        <v>23</v>
      </c>
      <c r="D971" s="1">
        <v>50.178787231445298</v>
      </c>
      <c r="E971" s="1">
        <v>297.35591036667199</v>
      </c>
      <c r="F971" s="1">
        <v>1420</v>
      </c>
      <c r="G971">
        <f t="shared" si="16"/>
        <v>17.244010854980115</v>
      </c>
    </row>
    <row r="972" spans="1:7" ht="13" x14ac:dyDescent="0.15">
      <c r="A972" s="2">
        <v>44562</v>
      </c>
      <c r="B972" s="1" t="s">
        <v>13</v>
      </c>
      <c r="C972" s="1" t="s">
        <v>23</v>
      </c>
      <c r="D972" s="1">
        <v>50.178787231445298</v>
      </c>
      <c r="E972" s="1">
        <v>297.35591036667199</v>
      </c>
      <c r="F972" s="1">
        <v>1420</v>
      </c>
      <c r="G972">
        <f t="shared" si="16"/>
        <v>17.244010854980115</v>
      </c>
    </row>
    <row r="973" spans="1:7" ht="13" x14ac:dyDescent="0.15">
      <c r="A973" s="2">
        <v>44562</v>
      </c>
      <c r="B973" s="1" t="s">
        <v>10</v>
      </c>
      <c r="C973" s="1" t="s">
        <v>23</v>
      </c>
      <c r="D973" s="1">
        <v>50.178787231445298</v>
      </c>
      <c r="E973" s="1">
        <v>297.35591036667199</v>
      </c>
      <c r="F973" s="1">
        <v>1420</v>
      </c>
      <c r="G973">
        <f t="shared" si="16"/>
        <v>17.244010854980115</v>
      </c>
    </row>
    <row r="974" spans="1:7" ht="13" x14ac:dyDescent="0.15">
      <c r="A974" s="2">
        <v>44562</v>
      </c>
      <c r="B974" s="1" t="s">
        <v>12</v>
      </c>
      <c r="C974" s="1" t="s">
        <v>23</v>
      </c>
      <c r="D974" s="1">
        <v>50.178787231445298</v>
      </c>
      <c r="E974" s="1">
        <v>297.35591036667199</v>
      </c>
      <c r="F974" s="1">
        <v>1420</v>
      </c>
      <c r="G974">
        <f t="shared" si="16"/>
        <v>17.244010854980115</v>
      </c>
    </row>
    <row r="975" spans="1:7" ht="13" x14ac:dyDescent="0.15">
      <c r="A975" s="2">
        <v>44562</v>
      </c>
      <c r="B975" s="1" t="s">
        <v>14</v>
      </c>
      <c r="C975" s="1" t="s">
        <v>16</v>
      </c>
      <c r="D975" s="1">
        <v>10.641486167907701</v>
      </c>
      <c r="E975" s="1">
        <v>72.593713891102695</v>
      </c>
      <c r="F975" s="1">
        <v>1017.0909118652301</v>
      </c>
      <c r="G975">
        <f t="shared" si="16"/>
        <v>8.520194474957874</v>
      </c>
    </row>
    <row r="976" spans="1:7" ht="13" x14ac:dyDescent="0.15">
      <c r="A976" s="2">
        <v>44562</v>
      </c>
      <c r="B976" s="1" t="s">
        <v>6</v>
      </c>
      <c r="C976" s="1" t="s">
        <v>16</v>
      </c>
      <c r="D976" s="1">
        <v>10.641486167907701</v>
      </c>
      <c r="E976" s="1">
        <v>72.593713891102695</v>
      </c>
      <c r="F976" s="1">
        <v>1017.0909118652301</v>
      </c>
      <c r="G976">
        <f t="shared" si="16"/>
        <v>8.520194474957874</v>
      </c>
    </row>
    <row r="977" spans="1:7" ht="13" x14ac:dyDescent="0.15">
      <c r="A977" s="2">
        <v>44562</v>
      </c>
      <c r="B977" s="1" t="s">
        <v>13</v>
      </c>
      <c r="C977" s="1" t="s">
        <v>16</v>
      </c>
      <c r="D977" s="1">
        <v>10.641486167907701</v>
      </c>
      <c r="E977" s="1">
        <v>72.593713891102695</v>
      </c>
      <c r="F977" s="1">
        <v>1017.0909118652301</v>
      </c>
      <c r="G977">
        <f t="shared" si="16"/>
        <v>8.520194474957874</v>
      </c>
    </row>
    <row r="978" spans="1:7" ht="13" x14ac:dyDescent="0.15">
      <c r="A978" s="2">
        <v>44562</v>
      </c>
      <c r="B978" s="1" t="s">
        <v>10</v>
      </c>
      <c r="C978" s="1" t="s">
        <v>16</v>
      </c>
      <c r="D978" s="1">
        <v>10.641486167907701</v>
      </c>
      <c r="E978" s="1">
        <v>72.593713891102695</v>
      </c>
      <c r="F978" s="1">
        <v>1017.0909118652301</v>
      </c>
      <c r="G978">
        <f t="shared" si="16"/>
        <v>8.520194474957874</v>
      </c>
    </row>
    <row r="979" spans="1:7" ht="13" x14ac:dyDescent="0.15">
      <c r="A979" s="2">
        <v>44562</v>
      </c>
      <c r="B979" s="1" t="s">
        <v>12</v>
      </c>
      <c r="C979" s="1" t="s">
        <v>16</v>
      </c>
      <c r="D979" s="1">
        <v>10.641486167907701</v>
      </c>
      <c r="E979" s="1">
        <v>72.593713891102695</v>
      </c>
      <c r="F979" s="1">
        <v>1017.0909118652301</v>
      </c>
      <c r="G979">
        <f t="shared" si="16"/>
        <v>8.520194474957874</v>
      </c>
    </row>
    <row r="980" spans="1:7" ht="13" x14ac:dyDescent="0.15">
      <c r="A980" s="2">
        <v>44682</v>
      </c>
      <c r="B980" s="1" t="s">
        <v>12</v>
      </c>
      <c r="C980" s="1" t="s">
        <v>9</v>
      </c>
      <c r="D980" s="1">
        <v>20.6301956176757</v>
      </c>
      <c r="E980" s="1">
        <v>171.943329986555</v>
      </c>
      <c r="F980" s="1">
        <v>1577.64282226562</v>
      </c>
      <c r="G980">
        <f t="shared" si="16"/>
        <v>13.112716346606259</v>
      </c>
    </row>
    <row r="981" spans="1:7" ht="13" x14ac:dyDescent="0.15">
      <c r="A981" s="2">
        <v>44682</v>
      </c>
      <c r="B981" s="1" t="s">
        <v>14</v>
      </c>
      <c r="C981" s="1" t="s">
        <v>9</v>
      </c>
      <c r="D981" s="1">
        <v>20.6301956176757</v>
      </c>
      <c r="E981" s="1">
        <v>171.943329986555</v>
      </c>
      <c r="F981" s="1">
        <v>1577.64282226562</v>
      </c>
      <c r="G981">
        <f t="shared" si="16"/>
        <v>13.112716346606259</v>
      </c>
    </row>
    <row r="982" spans="1:7" ht="13" x14ac:dyDescent="0.15">
      <c r="A982" s="2">
        <v>44682</v>
      </c>
      <c r="B982" s="1" t="s">
        <v>6</v>
      </c>
      <c r="C982" s="1" t="s">
        <v>9</v>
      </c>
      <c r="D982" s="1">
        <v>20.6301956176757</v>
      </c>
      <c r="E982" s="1">
        <v>171.943329986555</v>
      </c>
      <c r="F982" s="1">
        <v>1577.64282226562</v>
      </c>
      <c r="G982">
        <f t="shared" si="16"/>
        <v>13.112716346606259</v>
      </c>
    </row>
    <row r="983" spans="1:7" ht="13" x14ac:dyDescent="0.15">
      <c r="A983" s="2">
        <v>44682</v>
      </c>
      <c r="B983" s="1" t="s">
        <v>13</v>
      </c>
      <c r="C983" s="1" t="s">
        <v>9</v>
      </c>
      <c r="D983" s="1">
        <v>20.6301956176757</v>
      </c>
      <c r="E983" s="1">
        <v>171.943329986555</v>
      </c>
      <c r="F983" s="1">
        <v>1577.64282226562</v>
      </c>
      <c r="G983">
        <f t="shared" si="16"/>
        <v>13.112716346606259</v>
      </c>
    </row>
    <row r="984" spans="1:7" ht="13" x14ac:dyDescent="0.15">
      <c r="A984" s="2">
        <v>44682</v>
      </c>
      <c r="B984" s="1" t="s">
        <v>10</v>
      </c>
      <c r="C984" s="1" t="s">
        <v>9</v>
      </c>
      <c r="D984" s="1">
        <v>20.6301956176757</v>
      </c>
      <c r="E984" s="1">
        <v>171.943329986555</v>
      </c>
      <c r="F984" s="1">
        <v>1577.64282226562</v>
      </c>
      <c r="G984">
        <f t="shared" si="16"/>
        <v>13.112716346606259</v>
      </c>
    </row>
    <row r="985" spans="1:7" ht="13" x14ac:dyDescent="0.15">
      <c r="A985" s="2">
        <v>44713</v>
      </c>
      <c r="B985" s="1" t="s">
        <v>6</v>
      </c>
      <c r="C985" s="1" t="s">
        <v>19</v>
      </c>
      <c r="D985" s="1">
        <v>52</v>
      </c>
      <c r="E985" s="1">
        <v>466.825255565205</v>
      </c>
      <c r="F985" s="1">
        <v>2080</v>
      </c>
      <c r="G985">
        <f t="shared" si="16"/>
        <v>21.606139302642781</v>
      </c>
    </row>
    <row r="986" spans="1:7" ht="13" x14ac:dyDescent="0.15">
      <c r="A986" s="2">
        <v>44713</v>
      </c>
      <c r="B986" s="1" t="s">
        <v>12</v>
      </c>
      <c r="C986" s="1" t="s">
        <v>19</v>
      </c>
      <c r="D986" s="1">
        <v>52</v>
      </c>
      <c r="E986" s="1">
        <v>466.825255565205</v>
      </c>
      <c r="F986" s="1">
        <v>2080</v>
      </c>
      <c r="G986">
        <f t="shared" si="16"/>
        <v>21.606139302642781</v>
      </c>
    </row>
    <row r="987" spans="1:7" ht="13" x14ac:dyDescent="0.15">
      <c r="A987" s="2">
        <v>44713</v>
      </c>
      <c r="B987" s="1" t="s">
        <v>14</v>
      </c>
      <c r="C987" s="1" t="s">
        <v>19</v>
      </c>
      <c r="D987" s="1">
        <v>52</v>
      </c>
      <c r="E987" s="1">
        <v>466.825255565205</v>
      </c>
      <c r="F987" s="1">
        <v>2080</v>
      </c>
      <c r="G987">
        <f t="shared" si="16"/>
        <v>21.606139302642781</v>
      </c>
    </row>
    <row r="988" spans="1:7" ht="13" x14ac:dyDescent="0.15">
      <c r="A988" s="2">
        <v>44713</v>
      </c>
      <c r="B988" s="1" t="s">
        <v>13</v>
      </c>
      <c r="C988" s="1" t="s">
        <v>19</v>
      </c>
      <c r="D988" s="1">
        <v>52</v>
      </c>
      <c r="E988" s="1">
        <v>466.825255565205</v>
      </c>
      <c r="F988" s="1">
        <v>2080</v>
      </c>
      <c r="G988">
        <f t="shared" si="16"/>
        <v>21.606139302642781</v>
      </c>
    </row>
    <row r="989" spans="1:7" ht="13" x14ac:dyDescent="0.15">
      <c r="A989" s="2">
        <v>44713</v>
      </c>
      <c r="B989" s="1" t="s">
        <v>10</v>
      </c>
      <c r="C989" s="1" t="s">
        <v>19</v>
      </c>
      <c r="D989" s="1">
        <v>52</v>
      </c>
      <c r="E989" s="1">
        <v>466.825255565205</v>
      </c>
      <c r="F989" s="1">
        <v>2080</v>
      </c>
      <c r="G989">
        <f t="shared" si="16"/>
        <v>21.606139302642781</v>
      </c>
    </row>
    <row r="990" spans="1:7" ht="13" x14ac:dyDescent="0.15">
      <c r="A990" s="3">
        <v>44866</v>
      </c>
      <c r="B990" s="1" t="s">
        <v>13</v>
      </c>
      <c r="C990" s="1" t="s">
        <v>7</v>
      </c>
      <c r="D990" s="1">
        <v>33</v>
      </c>
      <c r="E990" s="1">
        <v>232.67695187048199</v>
      </c>
      <c r="F990" s="1">
        <v>1164</v>
      </c>
      <c r="G990">
        <f t="shared" si="16"/>
        <v>15.253752058771704</v>
      </c>
    </row>
    <row r="991" spans="1:7" ht="13" x14ac:dyDescent="0.15">
      <c r="A991" s="3">
        <v>44866</v>
      </c>
      <c r="B991" s="1" t="s">
        <v>12</v>
      </c>
      <c r="C991" s="1" t="s">
        <v>7</v>
      </c>
      <c r="D991" s="1">
        <v>33</v>
      </c>
      <c r="E991" s="1">
        <v>232.67695187048199</v>
      </c>
      <c r="F991" s="1">
        <v>1164</v>
      </c>
      <c r="G991">
        <f t="shared" si="16"/>
        <v>15.253752058771704</v>
      </c>
    </row>
    <row r="992" spans="1:7" ht="13" x14ac:dyDescent="0.15">
      <c r="A992" s="3">
        <v>44866</v>
      </c>
      <c r="B992" s="1" t="s">
        <v>6</v>
      </c>
      <c r="C992" s="1" t="s">
        <v>7</v>
      </c>
      <c r="D992" s="1">
        <v>33</v>
      </c>
      <c r="E992" s="1">
        <v>232.67695187048199</v>
      </c>
      <c r="F992" s="1">
        <v>1164</v>
      </c>
      <c r="G992">
        <f t="shared" si="16"/>
        <v>15.253752058771704</v>
      </c>
    </row>
    <row r="993" spans="1:7" ht="13" x14ac:dyDescent="0.15">
      <c r="A993" s="3">
        <v>44866</v>
      </c>
      <c r="B993" s="1" t="s">
        <v>10</v>
      </c>
      <c r="C993" s="1" t="s">
        <v>7</v>
      </c>
      <c r="D993" s="1">
        <v>33</v>
      </c>
      <c r="E993" s="1">
        <v>232.67695187048199</v>
      </c>
      <c r="F993" s="1">
        <v>1164</v>
      </c>
      <c r="G993">
        <f t="shared" si="16"/>
        <v>15.253752058771704</v>
      </c>
    </row>
    <row r="994" spans="1:7" ht="13" x14ac:dyDescent="0.15">
      <c r="A994" s="3">
        <v>44866</v>
      </c>
      <c r="B994" s="1" t="s">
        <v>14</v>
      </c>
      <c r="C994" s="1" t="s">
        <v>7</v>
      </c>
      <c r="D994" s="1">
        <v>33</v>
      </c>
      <c r="E994" s="1">
        <v>232.67695187048199</v>
      </c>
      <c r="F994" s="1">
        <v>1164</v>
      </c>
      <c r="G994">
        <f t="shared" si="16"/>
        <v>15.253752058771704</v>
      </c>
    </row>
    <row r="995" spans="1:7" ht="13" x14ac:dyDescent="0.15">
      <c r="A995" s="2">
        <v>44682</v>
      </c>
      <c r="B995" s="1" t="s">
        <v>12</v>
      </c>
      <c r="C995" s="1" t="s">
        <v>24</v>
      </c>
      <c r="D995" s="1">
        <v>37</v>
      </c>
      <c r="E995" s="1">
        <v>280.105848918937</v>
      </c>
      <c r="F995" s="1">
        <v>2426.31225585937</v>
      </c>
      <c r="G995">
        <f t="shared" si="16"/>
        <v>16.736363073228812</v>
      </c>
    </row>
    <row r="996" spans="1:7" ht="13" x14ac:dyDescent="0.15">
      <c r="A996" s="2">
        <v>44682</v>
      </c>
      <c r="B996" s="1" t="s">
        <v>14</v>
      </c>
      <c r="C996" s="1" t="s">
        <v>24</v>
      </c>
      <c r="D996" s="1">
        <v>37</v>
      </c>
      <c r="E996" s="1">
        <v>280.105848918937</v>
      </c>
      <c r="F996" s="1">
        <v>2426.31225585937</v>
      </c>
      <c r="G996">
        <f t="shared" si="16"/>
        <v>16.736363073228812</v>
      </c>
    </row>
    <row r="997" spans="1:7" ht="13" x14ac:dyDescent="0.15">
      <c r="A997" s="2">
        <v>44682</v>
      </c>
      <c r="B997" s="1" t="s">
        <v>6</v>
      </c>
      <c r="C997" s="1" t="s">
        <v>24</v>
      </c>
      <c r="D997" s="1">
        <v>37</v>
      </c>
      <c r="E997" s="1">
        <v>280.105848918937</v>
      </c>
      <c r="F997" s="1">
        <v>2426.31225585937</v>
      </c>
      <c r="G997">
        <f t="shared" si="16"/>
        <v>16.736363073228812</v>
      </c>
    </row>
    <row r="998" spans="1:7" ht="13" x14ac:dyDescent="0.15">
      <c r="A998" s="2">
        <v>44682</v>
      </c>
      <c r="B998" s="1" t="s">
        <v>13</v>
      </c>
      <c r="C998" s="1" t="s">
        <v>24</v>
      </c>
      <c r="D998" s="1">
        <v>37</v>
      </c>
      <c r="E998" s="1">
        <v>280.105848918937</v>
      </c>
      <c r="F998" s="1">
        <v>2426.31225585937</v>
      </c>
      <c r="G998">
        <f t="shared" si="16"/>
        <v>16.736363073228812</v>
      </c>
    </row>
    <row r="999" spans="1:7" ht="13" x14ac:dyDescent="0.15">
      <c r="A999" s="2">
        <v>44682</v>
      </c>
      <c r="B999" s="1" t="s">
        <v>10</v>
      </c>
      <c r="C999" s="1" t="s">
        <v>24</v>
      </c>
      <c r="D999" s="1">
        <v>37</v>
      </c>
      <c r="E999" s="1">
        <v>280.105848918937</v>
      </c>
      <c r="F999" s="1">
        <v>2426.31225585937</v>
      </c>
      <c r="G999">
        <f t="shared" si="16"/>
        <v>16.736363073228812</v>
      </c>
    </row>
    <row r="1000" spans="1:7" ht="13" x14ac:dyDescent="0.15">
      <c r="A1000" s="2">
        <v>44593</v>
      </c>
      <c r="B1000" s="1" t="s">
        <v>10</v>
      </c>
      <c r="C1000" s="1" t="s">
        <v>8</v>
      </c>
      <c r="D1000" s="1">
        <v>46</v>
      </c>
      <c r="E1000" s="1">
        <v>349.57640692257399</v>
      </c>
      <c r="F1000" s="1">
        <v>1611.09338378906</v>
      </c>
      <c r="G1000">
        <f t="shared" si="16"/>
        <v>18.696962505245978</v>
      </c>
    </row>
    <row r="1001" spans="1:7" ht="13" x14ac:dyDescent="0.15">
      <c r="A1001" s="2">
        <v>44593</v>
      </c>
      <c r="B1001" s="1" t="s">
        <v>6</v>
      </c>
      <c r="C1001" s="1" t="s">
        <v>8</v>
      </c>
      <c r="D1001" s="1">
        <v>46</v>
      </c>
      <c r="E1001" s="1">
        <v>349.57640692257399</v>
      </c>
      <c r="F1001" s="1">
        <v>1611.09338378906</v>
      </c>
      <c r="G1001">
        <f t="shared" si="16"/>
        <v>18.696962505245978</v>
      </c>
    </row>
    <row r="1002" spans="1:7" ht="13" x14ac:dyDescent="0.15">
      <c r="A1002" s="2">
        <v>44593</v>
      </c>
      <c r="B1002" s="1" t="s">
        <v>12</v>
      </c>
      <c r="C1002" s="1" t="s">
        <v>8</v>
      </c>
      <c r="D1002" s="1">
        <v>46</v>
      </c>
      <c r="E1002" s="1">
        <v>349.57640692257399</v>
      </c>
      <c r="F1002" s="1">
        <v>1611.09338378906</v>
      </c>
      <c r="G1002">
        <f t="shared" si="16"/>
        <v>18.696962505245978</v>
      </c>
    </row>
    <row r="1003" spans="1:7" ht="13" x14ac:dyDescent="0.15">
      <c r="A1003" s="2">
        <v>44593</v>
      </c>
      <c r="B1003" s="1" t="s">
        <v>14</v>
      </c>
      <c r="C1003" s="1" t="s">
        <v>8</v>
      </c>
      <c r="D1003" s="1">
        <v>46</v>
      </c>
      <c r="E1003" s="1">
        <v>349.57640692257399</v>
      </c>
      <c r="F1003" s="1">
        <v>1611.09338378906</v>
      </c>
      <c r="G1003">
        <f t="shared" si="16"/>
        <v>18.696962505245978</v>
      </c>
    </row>
    <row r="1004" spans="1:7" ht="13" x14ac:dyDescent="0.15">
      <c r="A1004" s="2">
        <v>44593</v>
      </c>
      <c r="B1004" s="1" t="s">
        <v>13</v>
      </c>
      <c r="C1004" s="1" t="s">
        <v>8</v>
      </c>
      <c r="D1004" s="1">
        <v>46</v>
      </c>
      <c r="E1004" s="1">
        <v>349.57640692257399</v>
      </c>
      <c r="F1004" s="1">
        <v>1611.09338378906</v>
      </c>
      <c r="G1004">
        <f t="shared" si="16"/>
        <v>18.696962505245978</v>
      </c>
    </row>
    <row r="1005" spans="1:7" ht="13" x14ac:dyDescent="0.15">
      <c r="A1005" s="3">
        <v>44866</v>
      </c>
      <c r="B1005" s="1" t="s">
        <v>13</v>
      </c>
      <c r="C1005" s="1" t="s">
        <v>16</v>
      </c>
      <c r="D1005" s="1">
        <v>11.449758529663001</v>
      </c>
      <c r="E1005" s="1">
        <v>64.355886437903195</v>
      </c>
      <c r="F1005" s="1">
        <v>1164</v>
      </c>
      <c r="G1005">
        <f t="shared" si="16"/>
        <v>8.0222120663756566</v>
      </c>
    </row>
    <row r="1006" spans="1:7" ht="13" x14ac:dyDescent="0.15">
      <c r="A1006" s="3">
        <v>44866</v>
      </c>
      <c r="B1006" s="1" t="s">
        <v>12</v>
      </c>
      <c r="C1006" s="1" t="s">
        <v>16</v>
      </c>
      <c r="D1006" s="1">
        <v>11.449758529663001</v>
      </c>
      <c r="E1006" s="1">
        <v>64.355886437903195</v>
      </c>
      <c r="F1006" s="1">
        <v>1164</v>
      </c>
      <c r="G1006">
        <f t="shared" si="16"/>
        <v>8.0222120663756566</v>
      </c>
    </row>
    <row r="1007" spans="1:7" ht="13" x14ac:dyDescent="0.15">
      <c r="A1007" s="3">
        <v>44866</v>
      </c>
      <c r="B1007" s="1" t="s">
        <v>6</v>
      </c>
      <c r="C1007" s="1" t="s">
        <v>16</v>
      </c>
      <c r="D1007" s="1">
        <v>11.449758529663001</v>
      </c>
      <c r="E1007" s="1">
        <v>64.355886437903195</v>
      </c>
      <c r="F1007" s="1">
        <v>1164</v>
      </c>
      <c r="G1007">
        <f t="shared" si="16"/>
        <v>8.0222120663756566</v>
      </c>
    </row>
    <row r="1008" spans="1:7" ht="13" x14ac:dyDescent="0.15">
      <c r="A1008" s="3">
        <v>44866</v>
      </c>
      <c r="B1008" s="1" t="s">
        <v>10</v>
      </c>
      <c r="C1008" s="1" t="s">
        <v>16</v>
      </c>
      <c r="D1008" s="1">
        <v>11.449758529663001</v>
      </c>
      <c r="E1008" s="1">
        <v>64.355886437903195</v>
      </c>
      <c r="F1008" s="1">
        <v>1164</v>
      </c>
      <c r="G1008">
        <f t="shared" si="16"/>
        <v>8.0222120663756566</v>
      </c>
    </row>
    <row r="1009" spans="1:7" ht="13" x14ac:dyDescent="0.15">
      <c r="A1009" s="3">
        <v>44866</v>
      </c>
      <c r="B1009" s="1" t="s">
        <v>14</v>
      </c>
      <c r="C1009" s="1" t="s">
        <v>16</v>
      </c>
      <c r="D1009" s="1">
        <v>11.449758529663001</v>
      </c>
      <c r="E1009" s="1">
        <v>64.355886437903195</v>
      </c>
      <c r="F1009" s="1">
        <v>1164</v>
      </c>
      <c r="G1009">
        <f t="shared" si="16"/>
        <v>8.0222120663756566</v>
      </c>
    </row>
    <row r="1010" spans="1:7" ht="13" x14ac:dyDescent="0.15">
      <c r="A1010" s="2">
        <v>44562</v>
      </c>
      <c r="B1010" s="1" t="s">
        <v>14</v>
      </c>
      <c r="C1010" s="1" t="s">
        <v>11</v>
      </c>
      <c r="D1010" s="1">
        <v>31.506893157958899</v>
      </c>
      <c r="E1010" s="1">
        <v>207.331410613835</v>
      </c>
      <c r="F1010" s="1">
        <v>1335</v>
      </c>
      <c r="G1010">
        <f t="shared" si="16"/>
        <v>14.39900727876179</v>
      </c>
    </row>
    <row r="1011" spans="1:7" ht="13" x14ac:dyDescent="0.15">
      <c r="A1011" s="2">
        <v>44562</v>
      </c>
      <c r="B1011" s="1" t="s">
        <v>6</v>
      </c>
      <c r="C1011" s="1" t="s">
        <v>11</v>
      </c>
      <c r="D1011" s="1">
        <v>31.506893157958899</v>
      </c>
      <c r="E1011" s="1">
        <v>207.331410613835</v>
      </c>
      <c r="F1011" s="1">
        <v>1335</v>
      </c>
      <c r="G1011">
        <f t="shared" si="16"/>
        <v>14.39900727876179</v>
      </c>
    </row>
    <row r="1012" spans="1:7" ht="13" x14ac:dyDescent="0.15">
      <c r="A1012" s="2">
        <v>44562</v>
      </c>
      <c r="B1012" s="1" t="s">
        <v>13</v>
      </c>
      <c r="C1012" s="1" t="s">
        <v>11</v>
      </c>
      <c r="D1012" s="1">
        <v>31.506893157958899</v>
      </c>
      <c r="E1012" s="1">
        <v>207.331410613835</v>
      </c>
      <c r="F1012" s="1">
        <v>1335</v>
      </c>
      <c r="G1012">
        <f t="shared" si="16"/>
        <v>14.39900727876179</v>
      </c>
    </row>
    <row r="1013" spans="1:7" ht="13" x14ac:dyDescent="0.15">
      <c r="A1013" s="2">
        <v>44562</v>
      </c>
      <c r="B1013" s="1" t="s">
        <v>10</v>
      </c>
      <c r="C1013" s="1" t="s">
        <v>11</v>
      </c>
      <c r="D1013" s="1">
        <v>31.506893157958899</v>
      </c>
      <c r="E1013" s="1">
        <v>207.331410613835</v>
      </c>
      <c r="F1013" s="1">
        <v>1335</v>
      </c>
      <c r="G1013">
        <f t="shared" si="16"/>
        <v>14.39900727876179</v>
      </c>
    </row>
    <row r="1014" spans="1:7" ht="13" x14ac:dyDescent="0.15">
      <c r="A1014" s="2">
        <v>44562</v>
      </c>
      <c r="B1014" s="1" t="s">
        <v>12</v>
      </c>
      <c r="C1014" s="1" t="s">
        <v>11</v>
      </c>
      <c r="D1014" s="1">
        <v>31.506893157958899</v>
      </c>
      <c r="E1014" s="1">
        <v>207.331410613835</v>
      </c>
      <c r="F1014" s="1">
        <v>1335</v>
      </c>
      <c r="G1014">
        <f t="shared" si="16"/>
        <v>14.39900727876179</v>
      </c>
    </row>
    <row r="1015" spans="1:7" ht="13" x14ac:dyDescent="0.15">
      <c r="A1015" s="2">
        <v>44774</v>
      </c>
      <c r="B1015" s="1" t="s">
        <v>13</v>
      </c>
      <c r="C1015" s="1" t="s">
        <v>19</v>
      </c>
      <c r="D1015" s="1">
        <v>52</v>
      </c>
      <c r="E1015" s="1">
        <v>474.363395075016</v>
      </c>
      <c r="F1015" s="1">
        <v>2080</v>
      </c>
      <c r="G1015">
        <f t="shared" si="16"/>
        <v>21.779885102429169</v>
      </c>
    </row>
    <row r="1016" spans="1:7" ht="13" x14ac:dyDescent="0.15">
      <c r="A1016" s="2">
        <v>44774</v>
      </c>
      <c r="B1016" s="1" t="s">
        <v>10</v>
      </c>
      <c r="C1016" s="1" t="s">
        <v>19</v>
      </c>
      <c r="D1016" s="1">
        <v>52</v>
      </c>
      <c r="E1016" s="1">
        <v>474.363395075016</v>
      </c>
      <c r="F1016" s="1">
        <v>2080</v>
      </c>
      <c r="G1016">
        <f t="shared" si="16"/>
        <v>21.779885102429169</v>
      </c>
    </row>
    <row r="1017" spans="1:7" ht="13" x14ac:dyDescent="0.15">
      <c r="A1017" s="2">
        <v>44774</v>
      </c>
      <c r="B1017" s="1" t="s">
        <v>14</v>
      </c>
      <c r="C1017" s="1" t="s">
        <v>19</v>
      </c>
      <c r="D1017" s="1">
        <v>52</v>
      </c>
      <c r="E1017" s="1">
        <v>474.363395075016</v>
      </c>
      <c r="F1017" s="1">
        <v>2080</v>
      </c>
      <c r="G1017">
        <f t="shared" si="16"/>
        <v>21.779885102429169</v>
      </c>
    </row>
    <row r="1018" spans="1:7" ht="13" x14ac:dyDescent="0.15">
      <c r="A1018" s="2">
        <v>44774</v>
      </c>
      <c r="B1018" s="1" t="s">
        <v>6</v>
      </c>
      <c r="C1018" s="1" t="s">
        <v>19</v>
      </c>
      <c r="D1018" s="1">
        <v>52</v>
      </c>
      <c r="E1018" s="1">
        <v>474.363395075016</v>
      </c>
      <c r="F1018" s="1">
        <v>2080</v>
      </c>
      <c r="G1018">
        <f t="shared" si="16"/>
        <v>21.779885102429169</v>
      </c>
    </row>
    <row r="1019" spans="1:7" ht="13" x14ac:dyDescent="0.15">
      <c r="A1019" s="2">
        <v>44774</v>
      </c>
      <c r="B1019" s="1" t="s">
        <v>12</v>
      </c>
      <c r="C1019" s="1" t="s">
        <v>19</v>
      </c>
      <c r="D1019" s="1">
        <v>52</v>
      </c>
      <c r="E1019" s="1">
        <v>474.363395075016</v>
      </c>
      <c r="F1019" s="1">
        <v>2080</v>
      </c>
      <c r="G1019">
        <f t="shared" si="16"/>
        <v>21.779885102429169</v>
      </c>
    </row>
    <row r="1020" spans="1:7" ht="13" x14ac:dyDescent="0.15">
      <c r="A1020" s="2">
        <v>44743</v>
      </c>
      <c r="B1020" s="1" t="s">
        <v>10</v>
      </c>
      <c r="C1020" s="1" t="s">
        <v>11</v>
      </c>
      <c r="D1020" s="1">
        <v>29</v>
      </c>
      <c r="E1020" s="1">
        <v>238.82772633760601</v>
      </c>
      <c r="F1020" s="1">
        <v>1972.16784667968</v>
      </c>
      <c r="G1020">
        <f t="shared" si="16"/>
        <v>15.454052100908875</v>
      </c>
    </row>
    <row r="1021" spans="1:7" ht="13" x14ac:dyDescent="0.15">
      <c r="A1021" s="2">
        <v>44743</v>
      </c>
      <c r="B1021" s="1" t="s">
        <v>14</v>
      </c>
      <c r="C1021" s="1" t="s">
        <v>11</v>
      </c>
      <c r="D1021" s="1">
        <v>29</v>
      </c>
      <c r="E1021" s="1">
        <v>238.82772633760601</v>
      </c>
      <c r="F1021" s="1">
        <v>1972.16784667968</v>
      </c>
      <c r="G1021">
        <f t="shared" si="16"/>
        <v>15.454052100908875</v>
      </c>
    </row>
    <row r="1022" spans="1:7" ht="13" x14ac:dyDescent="0.15">
      <c r="A1022" s="2">
        <v>44743</v>
      </c>
      <c r="B1022" s="1" t="s">
        <v>6</v>
      </c>
      <c r="C1022" s="1" t="s">
        <v>11</v>
      </c>
      <c r="D1022" s="1">
        <v>29</v>
      </c>
      <c r="E1022" s="1">
        <v>238.82772633760601</v>
      </c>
      <c r="F1022" s="1">
        <v>1972.16784667968</v>
      </c>
      <c r="G1022">
        <f t="shared" si="16"/>
        <v>15.454052100908875</v>
      </c>
    </row>
    <row r="1023" spans="1:7" ht="13" x14ac:dyDescent="0.15">
      <c r="A1023" s="2">
        <v>44743</v>
      </c>
      <c r="B1023" s="1" t="s">
        <v>13</v>
      </c>
      <c r="C1023" s="1" t="s">
        <v>11</v>
      </c>
      <c r="D1023" s="1">
        <v>29</v>
      </c>
      <c r="E1023" s="1">
        <v>238.82772633760601</v>
      </c>
      <c r="F1023" s="1">
        <v>1972.16784667968</v>
      </c>
      <c r="G1023">
        <f t="shared" si="16"/>
        <v>15.454052100908875</v>
      </c>
    </row>
    <row r="1024" spans="1:7" ht="13" x14ac:dyDescent="0.15">
      <c r="A1024" s="2">
        <v>44743</v>
      </c>
      <c r="B1024" s="1" t="s">
        <v>12</v>
      </c>
      <c r="C1024" s="1" t="s">
        <v>11</v>
      </c>
      <c r="D1024" s="1">
        <v>29</v>
      </c>
      <c r="E1024" s="1">
        <v>238.82772633760601</v>
      </c>
      <c r="F1024" s="1">
        <v>1972.16784667968</v>
      </c>
      <c r="G1024">
        <f t="shared" si="16"/>
        <v>15.454052100908875</v>
      </c>
    </row>
    <row r="1025" spans="1:7" ht="13" x14ac:dyDescent="0.15">
      <c r="A1025" s="3">
        <v>44835</v>
      </c>
      <c r="B1025" s="1" t="s">
        <v>12</v>
      </c>
      <c r="C1025" s="1" t="s">
        <v>7</v>
      </c>
      <c r="D1025" s="1">
        <v>33</v>
      </c>
      <c r="E1025" s="1">
        <v>243.933982209997</v>
      </c>
      <c r="F1025" s="1">
        <v>1056.26062011718</v>
      </c>
      <c r="G1025">
        <f t="shared" si="16"/>
        <v>15.61838603089311</v>
      </c>
    </row>
    <row r="1026" spans="1:7" ht="13" x14ac:dyDescent="0.15">
      <c r="A1026" s="3">
        <v>44835</v>
      </c>
      <c r="B1026" s="1" t="s">
        <v>6</v>
      </c>
      <c r="C1026" s="1" t="s">
        <v>7</v>
      </c>
      <c r="D1026" s="1">
        <v>33</v>
      </c>
      <c r="E1026" s="1">
        <v>243.933982209997</v>
      </c>
      <c r="F1026" s="1">
        <v>1056.26062011718</v>
      </c>
      <c r="G1026">
        <f t="shared" si="16"/>
        <v>15.61838603089311</v>
      </c>
    </row>
    <row r="1027" spans="1:7" ht="13" x14ac:dyDescent="0.15">
      <c r="A1027" s="3">
        <v>44835</v>
      </c>
      <c r="B1027" s="1" t="s">
        <v>13</v>
      </c>
      <c r="C1027" s="1" t="s">
        <v>7</v>
      </c>
      <c r="D1027" s="1">
        <v>33</v>
      </c>
      <c r="E1027" s="1">
        <v>243.933982209997</v>
      </c>
      <c r="F1027" s="1">
        <v>1056.26062011718</v>
      </c>
      <c r="G1027">
        <f t="shared" ref="G1027:G1065" si="17">SQRT(E1027)</f>
        <v>15.61838603089311</v>
      </c>
    </row>
    <row r="1028" spans="1:7" ht="13" x14ac:dyDescent="0.15">
      <c r="A1028" s="3">
        <v>44835</v>
      </c>
      <c r="B1028" s="1" t="s">
        <v>14</v>
      </c>
      <c r="C1028" s="1" t="s">
        <v>7</v>
      </c>
      <c r="D1028" s="1">
        <v>33</v>
      </c>
      <c r="E1028" s="1">
        <v>243.933982209997</v>
      </c>
      <c r="F1028" s="1">
        <v>1056.26062011718</v>
      </c>
      <c r="G1028">
        <f t="shared" si="17"/>
        <v>15.61838603089311</v>
      </c>
    </row>
    <row r="1029" spans="1:7" ht="13" x14ac:dyDescent="0.15">
      <c r="A1029" s="3">
        <v>44835</v>
      </c>
      <c r="B1029" s="1" t="s">
        <v>10</v>
      </c>
      <c r="C1029" s="1" t="s">
        <v>7</v>
      </c>
      <c r="D1029" s="1">
        <v>33</v>
      </c>
      <c r="E1029" s="1">
        <v>243.933982209997</v>
      </c>
      <c r="F1029" s="1">
        <v>1056.26062011718</v>
      </c>
      <c r="G1029">
        <f t="shared" si="17"/>
        <v>15.61838603089311</v>
      </c>
    </row>
    <row r="1030" spans="1:7" ht="13" x14ac:dyDescent="0.15">
      <c r="A1030" s="3">
        <v>44866</v>
      </c>
      <c r="B1030" s="1" t="s">
        <v>13</v>
      </c>
      <c r="C1030" s="1" t="s">
        <v>24</v>
      </c>
      <c r="D1030" s="1">
        <v>37</v>
      </c>
      <c r="E1030" s="1">
        <v>268.68522792992098</v>
      </c>
      <c r="F1030" s="1">
        <v>1236</v>
      </c>
      <c r="G1030">
        <f t="shared" si="17"/>
        <v>16.391620662091988</v>
      </c>
    </row>
    <row r="1031" spans="1:7" ht="13" x14ac:dyDescent="0.15">
      <c r="A1031" s="3">
        <v>44866</v>
      </c>
      <c r="B1031" s="1" t="s">
        <v>12</v>
      </c>
      <c r="C1031" s="1" t="s">
        <v>24</v>
      </c>
      <c r="D1031" s="1">
        <v>37</v>
      </c>
      <c r="E1031" s="1">
        <v>268.68522792992098</v>
      </c>
      <c r="F1031" s="1">
        <v>1236</v>
      </c>
      <c r="G1031">
        <f t="shared" si="17"/>
        <v>16.391620662091988</v>
      </c>
    </row>
    <row r="1032" spans="1:7" ht="13" x14ac:dyDescent="0.15">
      <c r="A1032" s="3">
        <v>44866</v>
      </c>
      <c r="B1032" s="1" t="s">
        <v>6</v>
      </c>
      <c r="C1032" s="1" t="s">
        <v>24</v>
      </c>
      <c r="D1032" s="1">
        <v>37</v>
      </c>
      <c r="E1032" s="1">
        <v>268.68522792992098</v>
      </c>
      <c r="F1032" s="1">
        <v>1236</v>
      </c>
      <c r="G1032">
        <f t="shared" si="17"/>
        <v>16.391620662091988</v>
      </c>
    </row>
    <row r="1033" spans="1:7" ht="13" x14ac:dyDescent="0.15">
      <c r="A1033" s="3">
        <v>44866</v>
      </c>
      <c r="B1033" s="1" t="s">
        <v>10</v>
      </c>
      <c r="C1033" s="1" t="s">
        <v>24</v>
      </c>
      <c r="D1033" s="1">
        <v>37</v>
      </c>
      <c r="E1033" s="1">
        <v>268.68522792992098</v>
      </c>
      <c r="F1033" s="1">
        <v>1236</v>
      </c>
      <c r="G1033">
        <f t="shared" si="17"/>
        <v>16.391620662091988</v>
      </c>
    </row>
    <row r="1034" spans="1:7" ht="13" x14ac:dyDescent="0.15">
      <c r="A1034" s="3">
        <v>44866</v>
      </c>
      <c r="B1034" s="1" t="s">
        <v>14</v>
      </c>
      <c r="C1034" s="1" t="s">
        <v>24</v>
      </c>
      <c r="D1034" s="1">
        <v>37</v>
      </c>
      <c r="E1034" s="1">
        <v>268.68522792992098</v>
      </c>
      <c r="F1034" s="1">
        <v>1236</v>
      </c>
      <c r="G1034">
        <f t="shared" si="17"/>
        <v>16.391620662091988</v>
      </c>
    </row>
    <row r="1035" spans="1:7" ht="13" x14ac:dyDescent="0.15">
      <c r="A1035" s="2">
        <v>44986</v>
      </c>
      <c r="B1035" s="1" t="s">
        <v>6</v>
      </c>
      <c r="C1035" s="1" t="s">
        <v>16</v>
      </c>
      <c r="D1035" s="1">
        <v>79.882518768310504</v>
      </c>
      <c r="E1035" s="1">
        <v>309.67435722885898</v>
      </c>
      <c r="F1035" s="1">
        <v>553.32908121744697</v>
      </c>
      <c r="G1035">
        <f t="shared" si="17"/>
        <v>17.597566798533794</v>
      </c>
    </row>
    <row r="1036" spans="1:7" ht="13" x14ac:dyDescent="0.15">
      <c r="A1036" s="2">
        <v>44621</v>
      </c>
      <c r="B1036" s="1" t="s">
        <v>12</v>
      </c>
      <c r="C1036" s="1" t="s">
        <v>20</v>
      </c>
      <c r="D1036" s="1">
        <v>1</v>
      </c>
      <c r="E1036" s="1">
        <v>96.002566327166406</v>
      </c>
      <c r="F1036" s="1">
        <v>895</v>
      </c>
      <c r="G1036">
        <f t="shared" si="17"/>
        <v>9.7980899325922906</v>
      </c>
    </row>
    <row r="1037" spans="1:7" ht="13" x14ac:dyDescent="0.15">
      <c r="A1037" s="2">
        <v>44621</v>
      </c>
      <c r="B1037" s="1" t="s">
        <v>6</v>
      </c>
      <c r="C1037" s="1" t="s">
        <v>20</v>
      </c>
      <c r="D1037" s="1">
        <v>1</v>
      </c>
      <c r="E1037" s="1">
        <v>96.002566327166406</v>
      </c>
      <c r="F1037" s="1">
        <v>895</v>
      </c>
      <c r="G1037">
        <f t="shared" si="17"/>
        <v>9.7980899325922906</v>
      </c>
    </row>
    <row r="1038" spans="1:7" ht="13" x14ac:dyDescent="0.15">
      <c r="A1038" s="2">
        <v>44621</v>
      </c>
      <c r="B1038" s="1" t="s">
        <v>10</v>
      </c>
      <c r="C1038" s="1" t="s">
        <v>20</v>
      </c>
      <c r="D1038" s="1">
        <v>1</v>
      </c>
      <c r="E1038" s="1">
        <v>96.002566327166406</v>
      </c>
      <c r="F1038" s="1">
        <v>895</v>
      </c>
      <c r="G1038">
        <f t="shared" si="17"/>
        <v>9.7980899325922906</v>
      </c>
    </row>
    <row r="1039" spans="1:7" ht="13" x14ac:dyDescent="0.15">
      <c r="A1039" s="2">
        <v>44621</v>
      </c>
      <c r="B1039" s="1" t="s">
        <v>13</v>
      </c>
      <c r="C1039" s="1" t="s">
        <v>20</v>
      </c>
      <c r="D1039" s="1">
        <v>1</v>
      </c>
      <c r="E1039" s="1">
        <v>96.002566327166406</v>
      </c>
      <c r="F1039" s="1">
        <v>895</v>
      </c>
      <c r="G1039">
        <f t="shared" si="17"/>
        <v>9.7980899325922906</v>
      </c>
    </row>
    <row r="1040" spans="1:7" ht="13" x14ac:dyDescent="0.15">
      <c r="A1040" s="2">
        <v>44621</v>
      </c>
      <c r="B1040" s="1" t="s">
        <v>14</v>
      </c>
      <c r="C1040" s="1" t="s">
        <v>20</v>
      </c>
      <c r="D1040" s="1">
        <v>1</v>
      </c>
      <c r="E1040" s="1">
        <v>96.002566327166406</v>
      </c>
      <c r="F1040" s="1">
        <v>895</v>
      </c>
      <c r="G1040">
        <f t="shared" si="17"/>
        <v>9.7980899325922906</v>
      </c>
    </row>
    <row r="1041" spans="1:7" ht="13" x14ac:dyDescent="0.15">
      <c r="A1041" s="2">
        <v>44593</v>
      </c>
      <c r="B1041" s="1" t="s">
        <v>10</v>
      </c>
      <c r="C1041" s="1" t="s">
        <v>7</v>
      </c>
      <c r="D1041" s="1">
        <v>33</v>
      </c>
      <c r="E1041" s="1">
        <v>222.46183162582</v>
      </c>
      <c r="F1041" s="1">
        <v>1604</v>
      </c>
      <c r="G1041">
        <f t="shared" si="17"/>
        <v>14.91515442849386</v>
      </c>
    </row>
    <row r="1042" spans="1:7" ht="13" x14ac:dyDescent="0.15">
      <c r="A1042" s="2">
        <v>44593</v>
      </c>
      <c r="B1042" s="1" t="s">
        <v>6</v>
      </c>
      <c r="C1042" s="1" t="s">
        <v>7</v>
      </c>
      <c r="D1042" s="1">
        <v>33</v>
      </c>
      <c r="E1042" s="1">
        <v>222.46183162582</v>
      </c>
      <c r="F1042" s="1">
        <v>1604</v>
      </c>
      <c r="G1042">
        <f t="shared" si="17"/>
        <v>14.91515442849386</v>
      </c>
    </row>
    <row r="1043" spans="1:7" ht="13" x14ac:dyDescent="0.15">
      <c r="A1043" s="2">
        <v>44593</v>
      </c>
      <c r="B1043" s="1" t="s">
        <v>12</v>
      </c>
      <c r="C1043" s="1" t="s">
        <v>7</v>
      </c>
      <c r="D1043" s="1">
        <v>33</v>
      </c>
      <c r="E1043" s="1">
        <v>222.46183162582</v>
      </c>
      <c r="F1043" s="1">
        <v>1604</v>
      </c>
      <c r="G1043">
        <f t="shared" si="17"/>
        <v>14.91515442849386</v>
      </c>
    </row>
    <row r="1044" spans="1:7" ht="13" x14ac:dyDescent="0.15">
      <c r="A1044" s="2">
        <v>44593</v>
      </c>
      <c r="B1044" s="1" t="s">
        <v>14</v>
      </c>
      <c r="C1044" s="1" t="s">
        <v>7</v>
      </c>
      <c r="D1044" s="1">
        <v>33</v>
      </c>
      <c r="E1044" s="1">
        <v>222.46183162582</v>
      </c>
      <c r="F1044" s="1">
        <v>1604</v>
      </c>
      <c r="G1044">
        <f t="shared" si="17"/>
        <v>14.91515442849386</v>
      </c>
    </row>
    <row r="1045" spans="1:7" ht="13" x14ac:dyDescent="0.15">
      <c r="A1045" s="2">
        <v>44593</v>
      </c>
      <c r="B1045" s="1" t="s">
        <v>13</v>
      </c>
      <c r="C1045" s="1" t="s">
        <v>7</v>
      </c>
      <c r="D1045" s="1">
        <v>33</v>
      </c>
      <c r="E1045" s="1">
        <v>222.46183162582</v>
      </c>
      <c r="F1045" s="1">
        <v>1604</v>
      </c>
      <c r="G1045">
        <f t="shared" si="17"/>
        <v>14.91515442849386</v>
      </c>
    </row>
    <row r="1046" spans="1:7" ht="13" x14ac:dyDescent="0.15">
      <c r="A1046" s="2">
        <v>44562</v>
      </c>
      <c r="B1046" s="1" t="s">
        <v>14</v>
      </c>
      <c r="C1046" s="1" t="s">
        <v>17</v>
      </c>
      <c r="D1046" s="1">
        <v>68.985083770751899</v>
      </c>
      <c r="E1046" s="1">
        <v>531.77385233994096</v>
      </c>
      <c r="F1046" s="1">
        <v>2639</v>
      </c>
      <c r="G1046">
        <f t="shared" si="17"/>
        <v>23.060222295978434</v>
      </c>
    </row>
    <row r="1047" spans="1:7" ht="13" x14ac:dyDescent="0.15">
      <c r="A1047" s="2">
        <v>44562</v>
      </c>
      <c r="B1047" s="1" t="s">
        <v>6</v>
      </c>
      <c r="C1047" s="1" t="s">
        <v>17</v>
      </c>
      <c r="D1047" s="1">
        <v>68.985083770751899</v>
      </c>
      <c r="E1047" s="1">
        <v>531.77385233994096</v>
      </c>
      <c r="F1047" s="1">
        <v>2639</v>
      </c>
      <c r="G1047">
        <f t="shared" si="17"/>
        <v>23.060222295978434</v>
      </c>
    </row>
    <row r="1048" spans="1:7" ht="13" x14ac:dyDescent="0.15">
      <c r="A1048" s="2">
        <v>44562</v>
      </c>
      <c r="B1048" s="1" t="s">
        <v>13</v>
      </c>
      <c r="C1048" s="1" t="s">
        <v>17</v>
      </c>
      <c r="D1048" s="1">
        <v>68.985083770751899</v>
      </c>
      <c r="E1048" s="1">
        <v>531.77385233994096</v>
      </c>
      <c r="F1048" s="1">
        <v>2639</v>
      </c>
      <c r="G1048">
        <f t="shared" si="17"/>
        <v>23.060222295978434</v>
      </c>
    </row>
    <row r="1049" spans="1:7" ht="13" x14ac:dyDescent="0.15">
      <c r="A1049" s="2">
        <v>44562</v>
      </c>
      <c r="B1049" s="1" t="s">
        <v>10</v>
      </c>
      <c r="C1049" s="1" t="s">
        <v>17</v>
      </c>
      <c r="D1049" s="1">
        <v>68.985083770751899</v>
      </c>
      <c r="E1049" s="1">
        <v>531.77385233994096</v>
      </c>
      <c r="F1049" s="1">
        <v>2639</v>
      </c>
      <c r="G1049">
        <f t="shared" si="17"/>
        <v>23.060222295978434</v>
      </c>
    </row>
    <row r="1050" spans="1:7" ht="13" x14ac:dyDescent="0.15">
      <c r="A1050" s="2">
        <v>44562</v>
      </c>
      <c r="B1050" s="1" t="s">
        <v>12</v>
      </c>
      <c r="C1050" s="1" t="s">
        <v>17</v>
      </c>
      <c r="D1050" s="1">
        <v>68.985083770751899</v>
      </c>
      <c r="E1050" s="1">
        <v>531.77385233994096</v>
      </c>
      <c r="F1050" s="1">
        <v>2639</v>
      </c>
      <c r="G1050">
        <f t="shared" si="17"/>
        <v>23.060222295978434</v>
      </c>
    </row>
    <row r="1051" spans="1:7" ht="13" x14ac:dyDescent="0.15">
      <c r="A1051" s="2">
        <v>44621</v>
      </c>
      <c r="B1051" s="1" t="s">
        <v>12</v>
      </c>
      <c r="C1051" s="1" t="s">
        <v>19</v>
      </c>
      <c r="D1051" s="1">
        <v>52</v>
      </c>
      <c r="E1051" s="1">
        <v>433.15203716660102</v>
      </c>
      <c r="F1051" s="1">
        <v>3052.908203125</v>
      </c>
      <c r="G1051">
        <f t="shared" si="17"/>
        <v>20.81230494603135</v>
      </c>
    </row>
    <row r="1052" spans="1:7" ht="13" x14ac:dyDescent="0.15">
      <c r="A1052" s="2">
        <v>44621</v>
      </c>
      <c r="B1052" s="1" t="s">
        <v>6</v>
      </c>
      <c r="C1052" s="1" t="s">
        <v>19</v>
      </c>
      <c r="D1052" s="1">
        <v>52</v>
      </c>
      <c r="E1052" s="1">
        <v>433.15203716660102</v>
      </c>
      <c r="F1052" s="1">
        <v>3052.908203125</v>
      </c>
      <c r="G1052">
        <f t="shared" si="17"/>
        <v>20.81230494603135</v>
      </c>
    </row>
    <row r="1053" spans="1:7" ht="13" x14ac:dyDescent="0.15">
      <c r="A1053" s="2">
        <v>44621</v>
      </c>
      <c r="B1053" s="1" t="s">
        <v>10</v>
      </c>
      <c r="C1053" s="1" t="s">
        <v>19</v>
      </c>
      <c r="D1053" s="1">
        <v>52</v>
      </c>
      <c r="E1053" s="1">
        <v>433.15203716660102</v>
      </c>
      <c r="F1053" s="1">
        <v>3052.908203125</v>
      </c>
      <c r="G1053">
        <f t="shared" si="17"/>
        <v>20.81230494603135</v>
      </c>
    </row>
    <row r="1054" spans="1:7" ht="13" x14ac:dyDescent="0.15">
      <c r="A1054" s="2">
        <v>44621</v>
      </c>
      <c r="B1054" s="1" t="s">
        <v>13</v>
      </c>
      <c r="C1054" s="1" t="s">
        <v>19</v>
      </c>
      <c r="D1054" s="1">
        <v>52</v>
      </c>
      <c r="E1054" s="1">
        <v>433.15203716660102</v>
      </c>
      <c r="F1054" s="1">
        <v>3052.908203125</v>
      </c>
      <c r="G1054">
        <f t="shared" si="17"/>
        <v>20.81230494603135</v>
      </c>
    </row>
    <row r="1055" spans="1:7" ht="13" x14ac:dyDescent="0.15">
      <c r="A1055" s="2">
        <v>44621</v>
      </c>
      <c r="B1055" s="1" t="s">
        <v>14</v>
      </c>
      <c r="C1055" s="1" t="s">
        <v>19</v>
      </c>
      <c r="D1055" s="1">
        <v>52</v>
      </c>
      <c r="E1055" s="1">
        <v>433.15203716660102</v>
      </c>
      <c r="F1055" s="1">
        <v>3052.908203125</v>
      </c>
      <c r="G1055">
        <f t="shared" si="17"/>
        <v>20.81230494603135</v>
      </c>
    </row>
    <row r="1056" spans="1:7" ht="13" x14ac:dyDescent="0.15">
      <c r="A1056" s="2">
        <v>44562</v>
      </c>
      <c r="B1056" s="1" t="s">
        <v>14</v>
      </c>
      <c r="C1056" s="1" t="s">
        <v>24</v>
      </c>
      <c r="D1056" s="1">
        <v>44.0164794921875</v>
      </c>
      <c r="E1056" s="1">
        <v>258.74918626825098</v>
      </c>
      <c r="F1056" s="1">
        <v>1415</v>
      </c>
      <c r="G1056">
        <f t="shared" si="17"/>
        <v>16.085682648499908</v>
      </c>
    </row>
    <row r="1057" spans="1:7" ht="13" x14ac:dyDescent="0.15">
      <c r="A1057" s="2">
        <v>44562</v>
      </c>
      <c r="B1057" s="1" t="s">
        <v>6</v>
      </c>
      <c r="C1057" s="1" t="s">
        <v>24</v>
      </c>
      <c r="D1057" s="1">
        <v>44.0164794921875</v>
      </c>
      <c r="E1057" s="1">
        <v>258.74918626825098</v>
      </c>
      <c r="F1057" s="1">
        <v>1415</v>
      </c>
      <c r="G1057">
        <f t="shared" si="17"/>
        <v>16.085682648499908</v>
      </c>
    </row>
    <row r="1058" spans="1:7" ht="13" x14ac:dyDescent="0.15">
      <c r="A1058" s="2">
        <v>44562</v>
      </c>
      <c r="B1058" s="1" t="s">
        <v>13</v>
      </c>
      <c r="C1058" s="1" t="s">
        <v>24</v>
      </c>
      <c r="D1058" s="1">
        <v>44.0164794921875</v>
      </c>
      <c r="E1058" s="1">
        <v>258.74918626825098</v>
      </c>
      <c r="F1058" s="1">
        <v>1415</v>
      </c>
      <c r="G1058">
        <f t="shared" si="17"/>
        <v>16.085682648499908</v>
      </c>
    </row>
    <row r="1059" spans="1:7" ht="13" x14ac:dyDescent="0.15">
      <c r="A1059" s="2">
        <v>44562</v>
      </c>
      <c r="B1059" s="1" t="s">
        <v>10</v>
      </c>
      <c r="C1059" s="1" t="s">
        <v>24</v>
      </c>
      <c r="D1059" s="1">
        <v>44.0164794921875</v>
      </c>
      <c r="E1059" s="1">
        <v>258.74918626825098</v>
      </c>
      <c r="F1059" s="1">
        <v>1415</v>
      </c>
      <c r="G1059">
        <f t="shared" si="17"/>
        <v>16.085682648499908</v>
      </c>
    </row>
    <row r="1060" spans="1:7" ht="13" x14ac:dyDescent="0.15">
      <c r="A1060" s="2">
        <v>44562</v>
      </c>
      <c r="B1060" s="1" t="s">
        <v>12</v>
      </c>
      <c r="C1060" s="1" t="s">
        <v>24</v>
      </c>
      <c r="D1060" s="1">
        <v>44.0164794921875</v>
      </c>
      <c r="E1060" s="1">
        <v>258.74918626825098</v>
      </c>
      <c r="F1060" s="1">
        <v>1415</v>
      </c>
      <c r="G1060">
        <f t="shared" si="17"/>
        <v>16.085682648499908</v>
      </c>
    </row>
    <row r="1061" spans="1:7" ht="13" x14ac:dyDescent="0.15">
      <c r="A1061" s="2">
        <v>44774</v>
      </c>
      <c r="B1061" s="1" t="s">
        <v>13</v>
      </c>
      <c r="C1061" s="1" t="s">
        <v>18</v>
      </c>
      <c r="D1061" s="1">
        <v>16.045707702636701</v>
      </c>
      <c r="E1061" s="1">
        <v>162.69436427873799</v>
      </c>
      <c r="F1061" s="1">
        <v>780</v>
      </c>
      <c r="G1061">
        <f t="shared" si="17"/>
        <v>12.755170099953116</v>
      </c>
    </row>
    <row r="1062" spans="1:7" ht="13" x14ac:dyDescent="0.15">
      <c r="A1062" s="2">
        <v>44774</v>
      </c>
      <c r="B1062" s="1" t="s">
        <v>10</v>
      </c>
      <c r="C1062" s="1" t="s">
        <v>18</v>
      </c>
      <c r="D1062" s="1">
        <v>16.045707702636701</v>
      </c>
      <c r="E1062" s="1">
        <v>162.69436427873799</v>
      </c>
      <c r="F1062" s="1">
        <v>780</v>
      </c>
      <c r="G1062">
        <f t="shared" si="17"/>
        <v>12.755170099953116</v>
      </c>
    </row>
    <row r="1063" spans="1:7" ht="13" x14ac:dyDescent="0.15">
      <c r="A1063" s="2">
        <v>44774</v>
      </c>
      <c r="B1063" s="1" t="s">
        <v>14</v>
      </c>
      <c r="C1063" s="1" t="s">
        <v>18</v>
      </c>
      <c r="D1063" s="1">
        <v>16.045707702636701</v>
      </c>
      <c r="E1063" s="1">
        <v>162.69436427873799</v>
      </c>
      <c r="F1063" s="1">
        <v>780</v>
      </c>
      <c r="G1063">
        <f t="shared" si="17"/>
        <v>12.755170099953116</v>
      </c>
    </row>
    <row r="1064" spans="1:7" ht="13" x14ac:dyDescent="0.15">
      <c r="A1064" s="2">
        <v>44774</v>
      </c>
      <c r="B1064" s="1" t="s">
        <v>6</v>
      </c>
      <c r="C1064" s="1" t="s">
        <v>18</v>
      </c>
      <c r="D1064" s="1">
        <v>16.045707702636701</v>
      </c>
      <c r="E1064" s="1">
        <v>162.69436427873799</v>
      </c>
      <c r="F1064" s="1">
        <v>780</v>
      </c>
      <c r="G1064">
        <f t="shared" si="17"/>
        <v>12.755170099953116</v>
      </c>
    </row>
    <row r="1065" spans="1:7" ht="13" x14ac:dyDescent="0.15">
      <c r="A1065" s="2">
        <v>44774</v>
      </c>
      <c r="B1065" s="1" t="s">
        <v>12</v>
      </c>
      <c r="C1065" s="1" t="s">
        <v>18</v>
      </c>
      <c r="D1065" s="1">
        <v>16.045707702636701</v>
      </c>
      <c r="E1065" s="1">
        <v>162.69436427873799</v>
      </c>
      <c r="F1065" s="1">
        <v>780</v>
      </c>
      <c r="G1065">
        <f t="shared" si="17"/>
        <v>12.755170099953116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05B69-9F87-0B48-A567-5E3AFBE7045C}">
  <dimension ref="A1:B18"/>
  <sheetViews>
    <sheetView workbookViewId="0">
      <selection activeCell="I18" sqref="I18"/>
    </sheetView>
  </sheetViews>
  <sheetFormatPr baseColWidth="10" defaultRowHeight="13" x14ac:dyDescent="0.15"/>
  <sheetData>
    <row r="1" spans="1:2" x14ac:dyDescent="0.15">
      <c r="A1" s="33">
        <v>547.52577971592802</v>
      </c>
      <c r="B1" s="33"/>
    </row>
    <row r="2" spans="1:2" x14ac:dyDescent="0.15">
      <c r="A2" s="30"/>
      <c r="B2" s="30"/>
    </row>
    <row r="3" spans="1:2" x14ac:dyDescent="0.15">
      <c r="A3" s="30" t="s">
        <v>65</v>
      </c>
      <c r="B3" s="30">
        <v>311.11339862675163</v>
      </c>
    </row>
    <row r="4" spans="1:2" x14ac:dyDescent="0.15">
      <c r="A4" s="30" t="s">
        <v>39</v>
      </c>
      <c r="B4" s="30">
        <v>23.952732381349332</v>
      </c>
    </row>
    <row r="5" spans="1:2" x14ac:dyDescent="0.15">
      <c r="A5" s="30" t="s">
        <v>66</v>
      </c>
      <c r="B5" s="30">
        <v>215.266524428515</v>
      </c>
    </row>
    <row r="6" spans="1:2" x14ac:dyDescent="0.15">
      <c r="A6" s="30" t="s">
        <v>67</v>
      </c>
      <c r="B6" s="30">
        <v>216.48793162963401</v>
      </c>
    </row>
    <row r="7" spans="1:2" x14ac:dyDescent="0.15">
      <c r="A7" s="30" t="s">
        <v>68</v>
      </c>
      <c r="B7" s="30">
        <v>211.54480448722487</v>
      </c>
    </row>
    <row r="8" spans="1:2" x14ac:dyDescent="0.15">
      <c r="A8" s="30" t="s">
        <v>69</v>
      </c>
      <c r="B8" s="30">
        <v>44751.204305538195</v>
      </c>
    </row>
    <row r="9" spans="1:2" x14ac:dyDescent="0.15">
      <c r="A9" s="30" t="s">
        <v>70</v>
      </c>
      <c r="B9" s="30">
        <v>-0.27715122639872725</v>
      </c>
    </row>
    <row r="10" spans="1:2" x14ac:dyDescent="0.15">
      <c r="A10" s="30" t="s">
        <v>71</v>
      </c>
      <c r="B10" s="30">
        <v>0.97385291371450533</v>
      </c>
    </row>
    <row r="11" spans="1:2" x14ac:dyDescent="0.15">
      <c r="A11" s="30" t="s">
        <v>72</v>
      </c>
      <c r="B11" s="30">
        <v>731.87029855038838</v>
      </c>
    </row>
    <row r="12" spans="1:2" x14ac:dyDescent="0.15">
      <c r="A12" s="30" t="s">
        <v>73</v>
      </c>
      <c r="B12" s="30">
        <v>80.622654574438599</v>
      </c>
    </row>
    <row r="13" spans="1:2" x14ac:dyDescent="0.15">
      <c r="A13" s="30" t="s">
        <v>74</v>
      </c>
      <c r="B13" s="30">
        <v>812.49295312482695</v>
      </c>
    </row>
    <row r="14" spans="1:2" x14ac:dyDescent="0.15">
      <c r="A14" s="30" t="s">
        <v>75</v>
      </c>
      <c r="B14" s="30">
        <v>24266.845092886626</v>
      </c>
    </row>
    <row r="15" spans="1:2" x14ac:dyDescent="0.15">
      <c r="A15" s="30" t="s">
        <v>76</v>
      </c>
      <c r="B15" s="30">
        <v>78</v>
      </c>
    </row>
    <row r="16" spans="1:2" x14ac:dyDescent="0.15">
      <c r="A16" s="30" t="s">
        <v>77</v>
      </c>
      <c r="B16" s="30">
        <v>812.49295312482695</v>
      </c>
    </row>
    <row r="17" spans="1:2" x14ac:dyDescent="0.15">
      <c r="A17" s="30" t="s">
        <v>78</v>
      </c>
      <c r="B17" s="30">
        <v>80.622654574438599</v>
      </c>
    </row>
    <row r="18" spans="1:2" ht="14" thickBot="1" x14ac:dyDescent="0.2">
      <c r="A18" s="31" t="s">
        <v>79</v>
      </c>
      <c r="B18" s="31">
        <v>47.695983635923547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07410-9E86-0545-B4EC-6A23EA53C94D}">
  <dimension ref="A1:I63"/>
  <sheetViews>
    <sheetView topLeftCell="A30" workbookViewId="0">
      <selection activeCell="H71" sqref="H71"/>
    </sheetView>
  </sheetViews>
  <sheetFormatPr baseColWidth="10" defaultRowHeight="13" x14ac:dyDescent="0.15"/>
  <sheetData>
    <row r="1" spans="1:9" x14ac:dyDescent="0.15">
      <c r="A1" t="s">
        <v>34</v>
      </c>
    </row>
    <row r="2" spans="1:9" ht="14" thickBot="1" x14ac:dyDescent="0.2"/>
    <row r="3" spans="1:9" x14ac:dyDescent="0.15">
      <c r="A3" s="33" t="s">
        <v>35</v>
      </c>
      <c r="B3" s="33"/>
    </row>
    <row r="4" spans="1:9" x14ac:dyDescent="0.15">
      <c r="A4" s="30" t="s">
        <v>36</v>
      </c>
      <c r="B4" s="30">
        <v>0.49020282354523875</v>
      </c>
    </row>
    <row r="5" spans="1:9" x14ac:dyDescent="0.15">
      <c r="A5" s="30" t="s">
        <v>37</v>
      </c>
      <c r="B5" s="30">
        <v>0.2402988082117245</v>
      </c>
    </row>
    <row r="6" spans="1:9" x14ac:dyDescent="0.15">
      <c r="A6" s="30" t="s">
        <v>38</v>
      </c>
      <c r="B6" s="30">
        <v>0.21976634356879815</v>
      </c>
    </row>
    <row r="7" spans="1:9" x14ac:dyDescent="0.15">
      <c r="A7" s="30" t="s">
        <v>39</v>
      </c>
      <c r="B7" s="30">
        <v>688.41654840272645</v>
      </c>
    </row>
    <row r="8" spans="1:9" ht="14" thickBot="1" x14ac:dyDescent="0.2">
      <c r="A8" s="31" t="s">
        <v>40</v>
      </c>
      <c r="B8" s="31">
        <v>39</v>
      </c>
    </row>
    <row r="10" spans="1:9" ht="14" thickBot="1" x14ac:dyDescent="0.2">
      <c r="A10" t="s">
        <v>41</v>
      </c>
    </row>
    <row r="11" spans="1:9" x14ac:dyDescent="0.15">
      <c r="A11" s="32"/>
      <c r="B11" s="32" t="s">
        <v>46</v>
      </c>
      <c r="C11" s="32" t="s">
        <v>47</v>
      </c>
      <c r="D11" s="32" t="s">
        <v>48</v>
      </c>
      <c r="E11" s="32" t="s">
        <v>49</v>
      </c>
      <c r="F11" s="32" t="s">
        <v>50</v>
      </c>
    </row>
    <row r="12" spans="1:9" x14ac:dyDescent="0.15">
      <c r="A12" s="30" t="s">
        <v>42</v>
      </c>
      <c r="B12" s="30">
        <v>1</v>
      </c>
      <c r="C12" s="30">
        <v>5546424.8916102313</v>
      </c>
      <c r="D12" s="30">
        <v>5546424.8916102313</v>
      </c>
      <c r="E12" s="30">
        <v>11.703359162705768</v>
      </c>
      <c r="F12" s="30">
        <v>1.5356170525952025E-3</v>
      </c>
    </row>
    <row r="13" spans="1:9" x14ac:dyDescent="0.15">
      <c r="A13" s="30" t="s">
        <v>43</v>
      </c>
      <c r="B13" s="30">
        <v>37</v>
      </c>
      <c r="C13" s="30">
        <v>17534941.732244767</v>
      </c>
      <c r="D13" s="30">
        <v>473917.34411472344</v>
      </c>
      <c r="E13" s="30"/>
      <c r="F13" s="30"/>
    </row>
    <row r="14" spans="1:9" ht="14" thickBot="1" x14ac:dyDescent="0.2">
      <c r="A14" s="31" t="s">
        <v>44</v>
      </c>
      <c r="B14" s="31">
        <v>38</v>
      </c>
      <c r="C14" s="31">
        <v>23081366.623854998</v>
      </c>
      <c r="D14" s="31"/>
      <c r="E14" s="31"/>
      <c r="F14" s="31"/>
    </row>
    <row r="15" spans="1:9" ht="14" thickBot="1" x14ac:dyDescent="0.2"/>
    <row r="16" spans="1:9" x14ac:dyDescent="0.15">
      <c r="A16" s="32"/>
      <c r="B16" s="32" t="s">
        <v>51</v>
      </c>
      <c r="C16" s="32" t="s">
        <v>39</v>
      </c>
      <c r="D16" s="32" t="s">
        <v>52</v>
      </c>
      <c r="E16" s="32" t="s">
        <v>53</v>
      </c>
      <c r="F16" s="32" t="s">
        <v>54</v>
      </c>
      <c r="G16" s="32" t="s">
        <v>55</v>
      </c>
      <c r="H16" s="32" t="s">
        <v>56</v>
      </c>
      <c r="I16" s="32" t="s">
        <v>57</v>
      </c>
    </row>
    <row r="17" spans="1:9" x14ac:dyDescent="0.15">
      <c r="A17" s="30" t="s">
        <v>45</v>
      </c>
      <c r="B17" s="30">
        <v>1148.7440309797871</v>
      </c>
      <c r="C17" s="30">
        <v>221.32712102020878</v>
      </c>
      <c r="D17" s="30">
        <v>5.19025425209818</v>
      </c>
      <c r="E17" s="30">
        <v>7.8253626098340952E-6</v>
      </c>
      <c r="F17" s="30">
        <v>700.29268650470817</v>
      </c>
      <c r="G17" s="30">
        <v>1597.1953754548661</v>
      </c>
      <c r="H17" s="30">
        <v>700.29268650470817</v>
      </c>
      <c r="I17" s="30">
        <v>1597.1953754548661</v>
      </c>
    </row>
    <row r="18" spans="1:9" ht="14" thickBot="1" x14ac:dyDescent="0.2">
      <c r="A18" s="31">
        <v>547.52577971592802</v>
      </c>
      <c r="B18" s="31">
        <v>2.257452441972426</v>
      </c>
      <c r="C18" s="31">
        <v>0.6598775345759863</v>
      </c>
      <c r="D18" s="31">
        <v>3.4210172701560211</v>
      </c>
      <c r="E18" s="31">
        <v>1.5356170525952079E-3</v>
      </c>
      <c r="F18" s="31">
        <v>0.9204135548923309</v>
      </c>
      <c r="G18" s="31">
        <v>3.5944913290525209</v>
      </c>
      <c r="H18" s="31">
        <v>0.9204135548923309</v>
      </c>
      <c r="I18" s="31">
        <v>3.5944913290525209</v>
      </c>
    </row>
    <row r="22" spans="1:9" x14ac:dyDescent="0.15">
      <c r="A22" t="s">
        <v>58</v>
      </c>
      <c r="F22" t="s">
        <v>63</v>
      </c>
    </row>
    <row r="23" spans="1:9" ht="14" thickBot="1" x14ac:dyDescent="0.2"/>
    <row r="24" spans="1:9" x14ac:dyDescent="0.15">
      <c r="A24" s="32" t="s">
        <v>59</v>
      </c>
      <c r="B24" s="32" t="s">
        <v>60</v>
      </c>
      <c r="C24" s="32" t="s">
        <v>61</v>
      </c>
      <c r="D24" s="32" t="s">
        <v>62</v>
      </c>
      <c r="F24" s="32" t="s">
        <v>64</v>
      </c>
      <c r="G24" s="32">
        <v>1072.81567382812</v>
      </c>
    </row>
    <row r="25" spans="1:9" x14ac:dyDescent="0.15">
      <c r="A25" s="30">
        <v>1</v>
      </c>
      <c r="B25" s="30">
        <v>2982.9082320968155</v>
      </c>
      <c r="C25" s="30">
        <v>-1608.0348190108855</v>
      </c>
      <c r="D25" s="30">
        <v>-2.3672007138817235</v>
      </c>
      <c r="F25" s="30">
        <v>1.2820512820512822</v>
      </c>
      <c r="G25" s="30">
        <v>730.419677734375</v>
      </c>
    </row>
    <row r="26" spans="1:9" x14ac:dyDescent="0.15">
      <c r="A26" s="30">
        <v>2</v>
      </c>
      <c r="B26" s="30">
        <v>2116.9440939492424</v>
      </c>
      <c r="C26" s="30">
        <v>-1299.0399801797114</v>
      </c>
      <c r="D26" s="30">
        <v>-1.912326979545022</v>
      </c>
      <c r="F26" s="30">
        <v>3.8461538461538467</v>
      </c>
      <c r="G26" s="30">
        <v>817.90411376953102</v>
      </c>
    </row>
    <row r="27" spans="1:9" x14ac:dyDescent="0.15">
      <c r="A27" s="30">
        <v>3</v>
      </c>
      <c r="B27" s="30">
        <v>1637.455240894664</v>
      </c>
      <c r="C27" s="30">
        <v>-664.25431316028903</v>
      </c>
      <c r="D27" s="30">
        <v>-0.97785400273811207</v>
      </c>
      <c r="F27" s="30">
        <v>6.4102564102564106</v>
      </c>
      <c r="G27" s="30">
        <v>925</v>
      </c>
    </row>
    <row r="28" spans="1:9" x14ac:dyDescent="0.15">
      <c r="A28" s="30">
        <v>4</v>
      </c>
      <c r="B28" s="30">
        <v>1637.455240894664</v>
      </c>
      <c r="C28" s="30">
        <v>-664.25431316028903</v>
      </c>
      <c r="D28" s="30">
        <v>-0.97785400273811207</v>
      </c>
      <c r="F28" s="30">
        <v>8.9743589743589762</v>
      </c>
      <c r="G28" s="30">
        <v>925</v>
      </c>
    </row>
    <row r="29" spans="1:9" x14ac:dyDescent="0.15">
      <c r="A29" s="30">
        <v>5</v>
      </c>
      <c r="B29" s="30">
        <v>1637.455240894664</v>
      </c>
      <c r="C29" s="30">
        <v>-664.25431316028903</v>
      </c>
      <c r="D29" s="30">
        <v>-0.97785400273811207</v>
      </c>
      <c r="F29" s="30">
        <v>11.53846153846154</v>
      </c>
      <c r="G29" s="30">
        <v>925</v>
      </c>
    </row>
    <row r="30" spans="1:9" x14ac:dyDescent="0.15">
      <c r="A30" s="30">
        <v>6</v>
      </c>
      <c r="B30" s="30">
        <v>1637.455240894664</v>
      </c>
      <c r="C30" s="30">
        <v>-664.25431316028903</v>
      </c>
      <c r="D30" s="30">
        <v>-0.97785400273811207</v>
      </c>
      <c r="F30" s="30">
        <v>14.102564102564104</v>
      </c>
      <c r="G30" s="30">
        <v>925</v>
      </c>
    </row>
    <row r="31" spans="1:9" x14ac:dyDescent="0.15">
      <c r="A31" s="30">
        <v>7</v>
      </c>
      <c r="B31" s="30">
        <v>1637.455240894664</v>
      </c>
      <c r="C31" s="30">
        <v>-664.25431316028903</v>
      </c>
      <c r="D31" s="30">
        <v>-0.97785400273811207</v>
      </c>
      <c r="F31" s="30">
        <v>16.666666666666668</v>
      </c>
      <c r="G31" s="30">
        <v>925</v>
      </c>
    </row>
    <row r="32" spans="1:9" x14ac:dyDescent="0.15">
      <c r="A32" s="30">
        <v>8</v>
      </c>
      <c r="B32" s="30">
        <v>1541.9890976697761</v>
      </c>
      <c r="C32" s="30">
        <v>35.653724595843869</v>
      </c>
      <c r="D32" s="30">
        <v>5.2486128607425776E-2</v>
      </c>
      <c r="F32" s="30">
        <v>19.23076923076923</v>
      </c>
      <c r="G32" s="30">
        <v>973.200927734375</v>
      </c>
    </row>
    <row r="33" spans="1:7" x14ac:dyDescent="0.15">
      <c r="A33" s="30">
        <v>9</v>
      </c>
      <c r="B33" s="30">
        <v>1541.9890976697761</v>
      </c>
      <c r="C33" s="30">
        <v>35.653724595843869</v>
      </c>
      <c r="D33" s="30">
        <v>5.2486128607425776E-2</v>
      </c>
      <c r="F33" s="30">
        <v>21.794871794871796</v>
      </c>
      <c r="G33" s="30">
        <v>973.200927734375</v>
      </c>
    </row>
    <row r="34" spans="1:7" x14ac:dyDescent="0.15">
      <c r="A34" s="30">
        <v>10</v>
      </c>
      <c r="B34" s="30">
        <v>1541.9890976697761</v>
      </c>
      <c r="C34" s="30">
        <v>35.653724595843869</v>
      </c>
      <c r="D34" s="30">
        <v>5.2486128607425776E-2</v>
      </c>
      <c r="F34" s="30">
        <v>24.358974358974361</v>
      </c>
      <c r="G34" s="30">
        <v>973.200927734375</v>
      </c>
    </row>
    <row r="35" spans="1:7" x14ac:dyDescent="0.15">
      <c r="A35" s="30">
        <v>11</v>
      </c>
      <c r="B35" s="30">
        <v>1541.9890976697761</v>
      </c>
      <c r="C35" s="30">
        <v>35.653724595843869</v>
      </c>
      <c r="D35" s="30">
        <v>5.2486128607425776E-2</v>
      </c>
      <c r="F35" s="30">
        <v>26.923076923076923</v>
      </c>
      <c r="G35" s="30">
        <v>973.200927734375</v>
      </c>
    </row>
    <row r="36" spans="1:7" x14ac:dyDescent="0.15">
      <c r="A36" s="30">
        <v>12</v>
      </c>
      <c r="B36" s="30">
        <v>1541.9890976697761</v>
      </c>
      <c r="C36" s="30">
        <v>35.653724595843869</v>
      </c>
      <c r="D36" s="30">
        <v>5.2486128607425776E-2</v>
      </c>
      <c r="F36" s="30">
        <v>29.487179487179489</v>
      </c>
      <c r="G36" s="30">
        <v>973.200927734375</v>
      </c>
    </row>
    <row r="37" spans="1:7" x14ac:dyDescent="0.15">
      <c r="A37" s="30">
        <v>13</v>
      </c>
      <c r="B37" s="30">
        <v>1587.5483525568761</v>
      </c>
      <c r="C37" s="30">
        <v>169.18663279468387</v>
      </c>
      <c r="D37" s="30">
        <v>0.24906097380227779</v>
      </c>
      <c r="F37" s="30">
        <v>32.051282051282058</v>
      </c>
      <c r="G37" s="30">
        <v>1374.87341308593</v>
      </c>
    </row>
    <row r="38" spans="1:7" x14ac:dyDescent="0.15">
      <c r="A38" s="30">
        <v>14</v>
      </c>
      <c r="B38" s="30">
        <v>1587.5483525568761</v>
      </c>
      <c r="C38" s="30">
        <v>169.18663279468387</v>
      </c>
      <c r="D38" s="30">
        <v>0.24906097380227779</v>
      </c>
      <c r="F38" s="30">
        <v>34.61538461538462</v>
      </c>
      <c r="G38" s="30">
        <v>1577.64282226562</v>
      </c>
    </row>
    <row r="39" spans="1:7" x14ac:dyDescent="0.15">
      <c r="A39" s="30">
        <v>15</v>
      </c>
      <c r="B39" s="30">
        <v>1587.5483525568761</v>
      </c>
      <c r="C39" s="30">
        <v>169.18663279468387</v>
      </c>
      <c r="D39" s="30">
        <v>0.24906097380227779</v>
      </c>
      <c r="F39" s="30">
        <v>37.179487179487182</v>
      </c>
      <c r="G39" s="30">
        <v>1577.64282226562</v>
      </c>
    </row>
    <row r="40" spans="1:7" x14ac:dyDescent="0.15">
      <c r="A40" s="30">
        <v>16</v>
      </c>
      <c r="B40" s="30">
        <v>1587.5483525568761</v>
      </c>
      <c r="C40" s="30">
        <v>169.18663279468387</v>
      </c>
      <c r="D40" s="30">
        <v>0.24906097380227779</v>
      </c>
      <c r="F40" s="30">
        <v>39.743589743589752</v>
      </c>
      <c r="G40" s="30">
        <v>1577.64282226562</v>
      </c>
    </row>
    <row r="41" spans="1:7" x14ac:dyDescent="0.15">
      <c r="A41" s="30">
        <v>17</v>
      </c>
      <c r="B41" s="30">
        <v>1587.5483525568761</v>
      </c>
      <c r="C41" s="30">
        <v>169.18663279468387</v>
      </c>
      <c r="D41" s="30">
        <v>0.24906097380227779</v>
      </c>
      <c r="F41" s="30">
        <v>42.307692307692314</v>
      </c>
      <c r="G41" s="30">
        <v>1577.64282226562</v>
      </c>
    </row>
    <row r="42" spans="1:7" x14ac:dyDescent="0.15">
      <c r="A42" s="30">
        <v>18</v>
      </c>
      <c r="B42" s="30">
        <v>1330.745839427153</v>
      </c>
      <c r="C42" s="30">
        <v>-405.74583942715299</v>
      </c>
      <c r="D42" s="30">
        <v>-0.59730164383958761</v>
      </c>
      <c r="F42" s="30">
        <v>44.871794871794876</v>
      </c>
      <c r="G42" s="30">
        <v>1577.64282226562</v>
      </c>
    </row>
    <row r="43" spans="1:7" x14ac:dyDescent="0.15">
      <c r="A43" s="30">
        <v>19</v>
      </c>
      <c r="B43" s="30">
        <v>1330.745839427153</v>
      </c>
      <c r="C43" s="30">
        <v>-405.74583942715299</v>
      </c>
      <c r="D43" s="30">
        <v>-0.59730164383958761</v>
      </c>
      <c r="F43" s="30">
        <v>47.435897435897445</v>
      </c>
      <c r="G43" s="30">
        <v>1756.73498535156</v>
      </c>
    </row>
    <row r="44" spans="1:7" x14ac:dyDescent="0.15">
      <c r="A44" s="30">
        <v>20</v>
      </c>
      <c r="B44" s="30">
        <v>1330.745839427153</v>
      </c>
      <c r="C44" s="30">
        <v>-405.74583942715299</v>
      </c>
      <c r="D44" s="30">
        <v>-0.59730164383958761</v>
      </c>
      <c r="F44" s="30">
        <v>50.000000000000007</v>
      </c>
      <c r="G44" s="30">
        <v>1756.73498535156</v>
      </c>
    </row>
    <row r="45" spans="1:7" x14ac:dyDescent="0.15">
      <c r="A45" s="30">
        <v>21</v>
      </c>
      <c r="B45" s="30">
        <v>1330.745839427153</v>
      </c>
      <c r="C45" s="30">
        <v>-405.74583942715299</v>
      </c>
      <c r="D45" s="30">
        <v>-0.59730164383958761</v>
      </c>
      <c r="F45" s="30">
        <v>52.564102564102569</v>
      </c>
      <c r="G45" s="30">
        <v>1756.73498535156</v>
      </c>
    </row>
    <row r="46" spans="1:7" x14ac:dyDescent="0.15">
      <c r="A46" s="30">
        <v>22</v>
      </c>
      <c r="B46" s="30">
        <v>1330.745839427153</v>
      </c>
      <c r="C46" s="30">
        <v>-405.74583942715299</v>
      </c>
      <c r="D46" s="30">
        <v>-0.59730164383958761</v>
      </c>
      <c r="F46" s="30">
        <v>55.128205128205138</v>
      </c>
      <c r="G46" s="30">
        <v>1756.73498535156</v>
      </c>
    </row>
    <row r="47" spans="1:7" x14ac:dyDescent="0.15">
      <c r="A47" s="30">
        <v>23</v>
      </c>
      <c r="B47" s="30">
        <v>2378.7662315045895</v>
      </c>
      <c r="C47" s="30">
        <v>-79.766231504589541</v>
      </c>
      <c r="D47" s="30">
        <v>-0.11742449723661173</v>
      </c>
      <c r="F47" s="30">
        <v>57.692307692307701</v>
      </c>
      <c r="G47" s="30">
        <v>1756.73498535156</v>
      </c>
    </row>
    <row r="48" spans="1:7" x14ac:dyDescent="0.15">
      <c r="A48" s="30">
        <v>24</v>
      </c>
      <c r="B48" s="30">
        <v>2378.7662315045895</v>
      </c>
      <c r="C48" s="30">
        <v>-79.766231504589541</v>
      </c>
      <c r="D48" s="30">
        <v>-0.11742449723661173</v>
      </c>
      <c r="F48" s="30">
        <v>60.256410256410263</v>
      </c>
      <c r="G48" s="30">
        <v>2194.56420898437</v>
      </c>
    </row>
    <row r="49" spans="1:7" x14ac:dyDescent="0.15">
      <c r="A49" s="30">
        <v>25</v>
      </c>
      <c r="B49" s="30">
        <v>2378.7662315045895</v>
      </c>
      <c r="C49" s="30">
        <v>-79.766231504589541</v>
      </c>
      <c r="D49" s="30">
        <v>-0.11742449723661173</v>
      </c>
      <c r="F49" s="30">
        <v>62.820512820512832</v>
      </c>
      <c r="G49" s="30">
        <v>2194.56420898437</v>
      </c>
    </row>
    <row r="50" spans="1:7" x14ac:dyDescent="0.15">
      <c r="A50" s="30">
        <v>26</v>
      </c>
      <c r="B50" s="30">
        <v>2378.7662315045895</v>
      </c>
      <c r="C50" s="30">
        <v>-79.766231504589541</v>
      </c>
      <c r="D50" s="30">
        <v>-0.11742449723661173</v>
      </c>
      <c r="F50" s="30">
        <v>65.384615384615387</v>
      </c>
      <c r="G50" s="30">
        <v>2194.56420898437</v>
      </c>
    </row>
    <row r="51" spans="1:7" x14ac:dyDescent="0.15">
      <c r="A51" s="30">
        <v>27</v>
      </c>
      <c r="B51" s="30">
        <v>2378.7662315045895</v>
      </c>
      <c r="C51" s="30">
        <v>-79.766231504589541</v>
      </c>
      <c r="D51" s="30">
        <v>-0.11742449723661173</v>
      </c>
      <c r="F51" s="30">
        <v>67.948717948717956</v>
      </c>
      <c r="G51" s="30">
        <v>2194.56420898437</v>
      </c>
    </row>
    <row r="52" spans="1:7" x14ac:dyDescent="0.15">
      <c r="A52" s="30">
        <v>28</v>
      </c>
      <c r="B52" s="30">
        <v>1706.4649682783324</v>
      </c>
      <c r="C52" s="30">
        <v>488.09924070603756</v>
      </c>
      <c r="D52" s="30">
        <v>0.71853473406451007</v>
      </c>
      <c r="F52" s="30">
        <v>70.512820512820525</v>
      </c>
      <c r="G52" s="30">
        <v>2194.56420898437</v>
      </c>
    </row>
    <row r="53" spans="1:7" x14ac:dyDescent="0.15">
      <c r="A53" s="30">
        <v>29</v>
      </c>
      <c r="B53" s="30">
        <v>1706.4649682783324</v>
      </c>
      <c r="C53" s="30">
        <v>488.09924070603756</v>
      </c>
      <c r="D53" s="30">
        <v>0.71853473406451007</v>
      </c>
      <c r="F53" s="30">
        <v>73.07692307692308</v>
      </c>
      <c r="G53" s="30">
        <v>2299</v>
      </c>
    </row>
    <row r="54" spans="1:7" x14ac:dyDescent="0.15">
      <c r="A54" s="30">
        <v>30</v>
      </c>
      <c r="B54" s="30">
        <v>1706.4649682783324</v>
      </c>
      <c r="C54" s="30">
        <v>488.09924070603756</v>
      </c>
      <c r="D54" s="30">
        <v>0.71853473406451007</v>
      </c>
      <c r="F54" s="30">
        <v>75.641025641025649</v>
      </c>
      <c r="G54" s="30">
        <v>2299</v>
      </c>
    </row>
    <row r="55" spans="1:7" x14ac:dyDescent="0.15">
      <c r="A55" s="30">
        <v>31</v>
      </c>
      <c r="B55" s="30">
        <v>1706.4649682783324</v>
      </c>
      <c r="C55" s="30">
        <v>488.09924070603756</v>
      </c>
      <c r="D55" s="30">
        <v>0.71853473406451007</v>
      </c>
      <c r="F55" s="30">
        <v>78.205128205128219</v>
      </c>
      <c r="G55" s="30">
        <v>2299</v>
      </c>
    </row>
    <row r="56" spans="1:7" x14ac:dyDescent="0.15">
      <c r="A56" s="30">
        <v>32</v>
      </c>
      <c r="B56" s="30">
        <v>1706.4649682783324</v>
      </c>
      <c r="C56" s="30">
        <v>488.09924070603756</v>
      </c>
      <c r="D56" s="30">
        <v>0.71853473406451007</v>
      </c>
      <c r="F56" s="30">
        <v>80.769230769230774</v>
      </c>
      <c r="G56" s="30">
        <v>2299</v>
      </c>
    </row>
    <row r="57" spans="1:7" x14ac:dyDescent="0.15">
      <c r="A57" s="30">
        <v>33</v>
      </c>
      <c r="B57" s="30">
        <v>2009.8487241604437</v>
      </c>
      <c r="C57" s="30">
        <v>1008.8004457614263</v>
      </c>
      <c r="D57" s="30">
        <v>1.485063076457229</v>
      </c>
      <c r="F57" s="30">
        <v>83.333333333333343</v>
      </c>
      <c r="G57" s="30">
        <v>2299</v>
      </c>
    </row>
    <row r="58" spans="1:7" x14ac:dyDescent="0.15">
      <c r="A58" s="30">
        <v>34</v>
      </c>
      <c r="B58" s="30">
        <v>2009.8487241604437</v>
      </c>
      <c r="C58" s="30">
        <v>1008.8004457614263</v>
      </c>
      <c r="D58" s="30">
        <v>1.485063076457229</v>
      </c>
      <c r="F58" s="30">
        <v>85.897435897435912</v>
      </c>
      <c r="G58" s="30">
        <v>3018.64916992187</v>
      </c>
    </row>
    <row r="59" spans="1:7" x14ac:dyDescent="0.15">
      <c r="A59" s="30">
        <v>35</v>
      </c>
      <c r="B59" s="30">
        <v>2009.8487241604437</v>
      </c>
      <c r="C59" s="30">
        <v>1008.8004457614263</v>
      </c>
      <c r="D59" s="30">
        <v>1.485063076457229</v>
      </c>
      <c r="F59" s="30">
        <v>88.461538461538467</v>
      </c>
      <c r="G59" s="30">
        <v>3018.64916992187</v>
      </c>
    </row>
    <row r="60" spans="1:7" x14ac:dyDescent="0.15">
      <c r="A60" s="30">
        <v>36</v>
      </c>
      <c r="B60" s="30">
        <v>2009.8487241604437</v>
      </c>
      <c r="C60" s="30">
        <v>1008.8004457614263</v>
      </c>
      <c r="D60" s="30">
        <v>1.485063076457229</v>
      </c>
      <c r="F60" s="30">
        <v>91.025641025641036</v>
      </c>
      <c r="G60" s="30">
        <v>3018.64916992187</v>
      </c>
    </row>
    <row r="61" spans="1:7" x14ac:dyDescent="0.15">
      <c r="A61" s="30">
        <v>37</v>
      </c>
      <c r="B61" s="30">
        <v>2009.8487241604437</v>
      </c>
      <c r="C61" s="30">
        <v>1008.8004457614263</v>
      </c>
      <c r="D61" s="30">
        <v>1.485063076457229</v>
      </c>
      <c r="F61" s="30">
        <v>93.589743589743605</v>
      </c>
      <c r="G61" s="30">
        <v>3018.64916992187</v>
      </c>
    </row>
    <row r="62" spans="1:7" x14ac:dyDescent="0.15">
      <c r="A62" s="30">
        <v>38</v>
      </c>
      <c r="B62" s="30">
        <v>2028.0608968496581</v>
      </c>
      <c r="C62" s="30">
        <v>-1297.6412191152831</v>
      </c>
      <c r="D62" s="30">
        <v>-1.9102678523724514</v>
      </c>
      <c r="F62" s="30">
        <v>96.15384615384616</v>
      </c>
      <c r="G62" s="30">
        <v>3018.64916992187</v>
      </c>
    </row>
    <row r="63" spans="1:7" ht="14" thickBot="1" x14ac:dyDescent="0.2">
      <c r="A63" s="31">
        <v>39</v>
      </c>
      <c r="B63" s="31">
        <v>2315.1522805238938</v>
      </c>
      <c r="C63" s="31">
        <v>1444.8477194761062</v>
      </c>
      <c r="D63" s="31">
        <v>2.1269717002135793</v>
      </c>
      <c r="F63" s="31">
        <v>98.71794871794873</v>
      </c>
      <c r="G63" s="31">
        <v>3760</v>
      </c>
    </row>
  </sheetData>
  <sortState xmlns:xlrd2="http://schemas.microsoft.com/office/spreadsheetml/2017/richdata2" ref="G25:G63">
    <sortCondition ref="G25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41FC0-4613-624B-81CD-8DFD94ABC632}">
  <dimension ref="A3:B9"/>
  <sheetViews>
    <sheetView workbookViewId="0">
      <selection activeCell="B9" sqref="A3:B9"/>
    </sheetView>
  </sheetViews>
  <sheetFormatPr baseColWidth="10" defaultRowHeight="13" x14ac:dyDescent="0.15"/>
  <cols>
    <col min="1" max="1" width="13.1640625" bestFit="1" customWidth="1"/>
    <col min="2" max="2" width="12.83203125" bestFit="1" customWidth="1"/>
    <col min="3" max="3" width="20.5" bestFit="1" customWidth="1"/>
  </cols>
  <sheetData>
    <row r="3" spans="1:2" x14ac:dyDescent="0.15">
      <c r="A3" s="26" t="s">
        <v>29</v>
      </c>
      <c r="B3" t="s">
        <v>28</v>
      </c>
    </row>
    <row r="4" spans="1:2" x14ac:dyDescent="0.15">
      <c r="A4" s="27" t="s">
        <v>14</v>
      </c>
      <c r="B4" s="15">
        <v>5944.6771979666055</v>
      </c>
    </row>
    <row r="5" spans="1:2" x14ac:dyDescent="0.15">
      <c r="A5" s="27" t="s">
        <v>13</v>
      </c>
      <c r="B5" s="15">
        <v>5944.6771979666055</v>
      </c>
    </row>
    <row r="6" spans="1:2" x14ac:dyDescent="0.15">
      <c r="A6" s="27" t="s">
        <v>12</v>
      </c>
      <c r="B6" s="15">
        <v>5944.6771979666055</v>
      </c>
    </row>
    <row r="7" spans="1:2" x14ac:dyDescent="0.15">
      <c r="A7" s="27" t="s">
        <v>6</v>
      </c>
      <c r="B7" s="15">
        <v>8123.1038380964637</v>
      </c>
    </row>
    <row r="8" spans="1:2" x14ac:dyDescent="0.15">
      <c r="A8" s="27" t="s">
        <v>10</v>
      </c>
      <c r="B8" s="15">
        <v>5944.6771979666055</v>
      </c>
    </row>
    <row r="9" spans="1:2" x14ac:dyDescent="0.15">
      <c r="A9" s="27" t="s">
        <v>26</v>
      </c>
      <c r="B9" s="15">
        <v>31901.812629962886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62346-9D73-2845-97DE-B233462B3805}">
  <dimension ref="A1:ABB724"/>
  <sheetViews>
    <sheetView workbookViewId="0">
      <selection activeCell="G38" sqref="G38"/>
    </sheetView>
  </sheetViews>
  <sheetFormatPr baseColWidth="10" defaultRowHeight="13" x14ac:dyDescent="0.15"/>
  <sheetData>
    <row r="1" spans="1:730" x14ac:dyDescent="0.15">
      <c r="A1" s="1" t="s">
        <v>27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27</v>
      </c>
      <c r="H1" s="2">
        <v>44986</v>
      </c>
      <c r="I1" s="2">
        <v>44986</v>
      </c>
      <c r="J1" s="2">
        <v>44986</v>
      </c>
      <c r="K1" s="2">
        <v>44805</v>
      </c>
      <c r="L1" s="2">
        <v>44805</v>
      </c>
      <c r="M1" s="2">
        <v>44805</v>
      </c>
      <c r="N1" s="2">
        <v>44805</v>
      </c>
      <c r="O1" s="2">
        <v>44805</v>
      </c>
      <c r="P1" s="2">
        <v>44652</v>
      </c>
      <c r="Q1" s="2">
        <v>44652</v>
      </c>
      <c r="R1" s="2">
        <v>44652</v>
      </c>
      <c r="S1" s="2">
        <v>44652</v>
      </c>
      <c r="T1" s="2">
        <v>44652</v>
      </c>
      <c r="U1" s="2">
        <v>44713</v>
      </c>
      <c r="V1" s="2">
        <v>44713</v>
      </c>
      <c r="W1" s="2">
        <v>44713</v>
      </c>
      <c r="X1" s="2">
        <v>44713</v>
      </c>
      <c r="Y1" s="2">
        <v>44713</v>
      </c>
      <c r="Z1" s="2">
        <v>44682</v>
      </c>
      <c r="AA1" s="2">
        <v>44682</v>
      </c>
      <c r="AB1" s="2">
        <v>44682</v>
      </c>
      <c r="AC1" s="2">
        <v>44682</v>
      </c>
      <c r="AD1" s="2">
        <v>44682</v>
      </c>
      <c r="AE1" s="2">
        <v>44621</v>
      </c>
      <c r="AF1" s="2">
        <v>44621</v>
      </c>
      <c r="AG1" s="2">
        <v>44621</v>
      </c>
      <c r="AH1" s="2">
        <v>44621</v>
      </c>
      <c r="AI1" s="2">
        <v>44621</v>
      </c>
      <c r="AJ1" s="2">
        <v>44713</v>
      </c>
      <c r="AK1" s="2">
        <v>44713</v>
      </c>
      <c r="AL1" s="2">
        <v>44713</v>
      </c>
      <c r="AM1" s="2">
        <v>44713</v>
      </c>
      <c r="AN1" s="2">
        <v>44713</v>
      </c>
      <c r="AO1" s="2">
        <v>44652</v>
      </c>
      <c r="AP1" s="2">
        <v>44652</v>
      </c>
      <c r="AQ1" s="2">
        <v>44652</v>
      </c>
      <c r="AR1" s="2">
        <v>44652</v>
      </c>
      <c r="AS1" s="2">
        <v>44652</v>
      </c>
      <c r="AT1" s="2">
        <v>44986</v>
      </c>
      <c r="AU1" s="2">
        <v>44927</v>
      </c>
      <c r="AV1" s="2">
        <v>44927</v>
      </c>
      <c r="AW1" s="2">
        <v>44927</v>
      </c>
      <c r="AX1" s="2">
        <v>44927</v>
      </c>
      <c r="AY1" s="2">
        <v>44927</v>
      </c>
      <c r="AZ1" s="2">
        <v>44713</v>
      </c>
      <c r="BA1" s="2">
        <v>44713</v>
      </c>
      <c r="BB1" s="2">
        <v>44713</v>
      </c>
      <c r="BC1" s="2">
        <v>44713</v>
      </c>
      <c r="BD1" s="2">
        <v>44713</v>
      </c>
      <c r="BE1" s="3">
        <v>44896</v>
      </c>
      <c r="BF1" s="3">
        <v>44896</v>
      </c>
      <c r="BG1" s="3">
        <v>44896</v>
      </c>
      <c r="BH1" s="3">
        <v>44896</v>
      </c>
      <c r="BI1" s="3">
        <v>44896</v>
      </c>
      <c r="BJ1" s="2">
        <v>44652</v>
      </c>
      <c r="BK1" s="2">
        <v>44652</v>
      </c>
      <c r="BL1" s="2">
        <v>44652</v>
      </c>
      <c r="BM1" s="2">
        <v>44652</v>
      </c>
      <c r="BN1" s="2">
        <v>44652</v>
      </c>
      <c r="BO1" s="2">
        <v>44562</v>
      </c>
      <c r="BP1" s="2">
        <v>44562</v>
      </c>
      <c r="BQ1" s="2">
        <v>44562</v>
      </c>
      <c r="BR1" s="2">
        <v>44562</v>
      </c>
      <c r="BS1" s="2">
        <v>44562</v>
      </c>
      <c r="BT1" s="2">
        <v>44743</v>
      </c>
      <c r="BU1" s="2">
        <v>44743</v>
      </c>
      <c r="BV1" s="2">
        <v>44743</v>
      </c>
      <c r="BW1" s="2">
        <v>44743</v>
      </c>
      <c r="BX1" s="2">
        <v>44743</v>
      </c>
      <c r="BY1" s="3">
        <v>44835</v>
      </c>
      <c r="BZ1" s="3">
        <v>44835</v>
      </c>
      <c r="CA1" s="3">
        <v>44835</v>
      </c>
      <c r="CB1" s="3">
        <v>44835</v>
      </c>
      <c r="CC1" s="3">
        <v>44835</v>
      </c>
      <c r="CD1" s="2">
        <v>44713</v>
      </c>
      <c r="CE1" s="2">
        <v>44713</v>
      </c>
      <c r="CF1" s="2">
        <v>44713</v>
      </c>
      <c r="CG1" s="2">
        <v>44713</v>
      </c>
      <c r="CH1" s="2">
        <v>44713</v>
      </c>
      <c r="CI1" s="2">
        <v>44652</v>
      </c>
      <c r="CJ1" s="2">
        <v>44652</v>
      </c>
      <c r="CK1" s="2">
        <v>44652</v>
      </c>
      <c r="CL1" s="2">
        <v>44652</v>
      </c>
      <c r="CM1" s="2">
        <v>44652</v>
      </c>
      <c r="CN1" s="3">
        <v>44835</v>
      </c>
      <c r="CO1" s="3">
        <v>44835</v>
      </c>
      <c r="CP1" s="3">
        <v>44835</v>
      </c>
      <c r="CQ1" s="3">
        <v>44835</v>
      </c>
      <c r="CR1" s="3">
        <v>44835</v>
      </c>
      <c r="CS1" s="3">
        <v>44835</v>
      </c>
      <c r="CT1" s="3">
        <v>44835</v>
      </c>
      <c r="CU1" s="3">
        <v>44835</v>
      </c>
      <c r="CV1" s="3">
        <v>44835</v>
      </c>
      <c r="CW1" s="3">
        <v>44835</v>
      </c>
      <c r="CX1" s="2">
        <v>44682</v>
      </c>
      <c r="CY1" s="2">
        <v>44682</v>
      </c>
      <c r="CZ1" s="2">
        <v>44682</v>
      </c>
      <c r="DA1" s="2">
        <v>44682</v>
      </c>
      <c r="DB1" s="2">
        <v>44682</v>
      </c>
      <c r="DC1" s="3">
        <v>44531</v>
      </c>
      <c r="DD1" s="3">
        <v>44531</v>
      </c>
      <c r="DE1" s="3">
        <v>44531</v>
      </c>
      <c r="DF1" s="3">
        <v>44531</v>
      </c>
      <c r="DG1" s="3">
        <v>44531</v>
      </c>
      <c r="DH1" s="2">
        <v>44713</v>
      </c>
      <c r="DI1" s="2">
        <v>44713</v>
      </c>
      <c r="DJ1" s="2">
        <v>44713</v>
      </c>
      <c r="DK1" s="2">
        <v>44713</v>
      </c>
      <c r="DL1" s="2">
        <v>44713</v>
      </c>
      <c r="DM1" s="2">
        <v>44805</v>
      </c>
      <c r="DN1" s="2">
        <v>44805</v>
      </c>
      <c r="DO1" s="2">
        <v>44805</v>
      </c>
      <c r="DP1" s="2">
        <v>44805</v>
      </c>
      <c r="DQ1" s="2">
        <v>44805</v>
      </c>
      <c r="DR1" s="2">
        <v>44743</v>
      </c>
      <c r="DS1" s="2">
        <v>44743</v>
      </c>
      <c r="DT1" s="2">
        <v>44743</v>
      </c>
      <c r="DU1" s="2">
        <v>44743</v>
      </c>
      <c r="DV1" s="2">
        <v>44743</v>
      </c>
      <c r="DW1" s="2">
        <v>44713</v>
      </c>
      <c r="DX1" s="2">
        <v>44713</v>
      </c>
      <c r="DY1" s="2">
        <v>44713</v>
      </c>
      <c r="DZ1" s="2">
        <v>44713</v>
      </c>
      <c r="EA1" s="2">
        <v>44713</v>
      </c>
      <c r="EB1" s="2">
        <v>44713</v>
      </c>
      <c r="EC1" s="2">
        <v>44713</v>
      </c>
      <c r="ED1" s="2">
        <v>44713</v>
      </c>
      <c r="EE1" s="2">
        <v>44713</v>
      </c>
      <c r="EF1" s="2">
        <v>44713</v>
      </c>
      <c r="EG1" s="3">
        <v>44866</v>
      </c>
      <c r="EH1" s="3">
        <v>44866</v>
      </c>
      <c r="EI1" s="3">
        <v>44866</v>
      </c>
      <c r="EJ1" s="3">
        <v>44866</v>
      </c>
      <c r="EK1" s="3">
        <v>44866</v>
      </c>
      <c r="EL1" s="3">
        <v>44531</v>
      </c>
      <c r="EM1" s="3">
        <v>44531</v>
      </c>
      <c r="EN1" s="3">
        <v>44531</v>
      </c>
      <c r="EO1" s="3">
        <v>44531</v>
      </c>
      <c r="EP1" s="3">
        <v>44531</v>
      </c>
      <c r="EQ1" s="3">
        <v>44531</v>
      </c>
      <c r="ER1" s="3">
        <v>44531</v>
      </c>
      <c r="ES1" s="3">
        <v>44531</v>
      </c>
      <c r="ET1" s="3">
        <v>44531</v>
      </c>
      <c r="EU1" s="3">
        <v>44531</v>
      </c>
      <c r="EV1" s="2">
        <v>44621</v>
      </c>
      <c r="EW1" s="2">
        <v>44621</v>
      </c>
      <c r="EX1" s="2">
        <v>44621</v>
      </c>
      <c r="EY1" s="2">
        <v>44621</v>
      </c>
      <c r="EZ1" s="2">
        <v>44621</v>
      </c>
      <c r="FA1" s="3">
        <v>44531</v>
      </c>
      <c r="FB1" s="3">
        <v>44531</v>
      </c>
      <c r="FC1" s="3">
        <v>44531</v>
      </c>
      <c r="FD1" s="3">
        <v>44531</v>
      </c>
      <c r="FE1" s="3">
        <v>44531</v>
      </c>
      <c r="FF1" s="3">
        <v>44866</v>
      </c>
      <c r="FG1" s="3">
        <v>44866</v>
      </c>
      <c r="FH1" s="3">
        <v>44866</v>
      </c>
      <c r="FI1" s="3">
        <v>44866</v>
      </c>
      <c r="FJ1" s="3">
        <v>44866</v>
      </c>
      <c r="FK1" s="2">
        <v>44593</v>
      </c>
      <c r="FL1" s="2">
        <v>44593</v>
      </c>
      <c r="FM1" s="2">
        <v>44593</v>
      </c>
      <c r="FN1" s="2">
        <v>44593</v>
      </c>
      <c r="FO1" s="2">
        <v>44593</v>
      </c>
      <c r="FP1" s="3">
        <v>44866</v>
      </c>
      <c r="FQ1" s="3">
        <v>44866</v>
      </c>
      <c r="FR1" s="3">
        <v>44866</v>
      </c>
      <c r="FS1" s="3">
        <v>44866</v>
      </c>
      <c r="FT1" s="3">
        <v>44866</v>
      </c>
      <c r="FU1" s="2">
        <v>44682</v>
      </c>
      <c r="FV1" s="2">
        <v>44682</v>
      </c>
      <c r="FW1" s="2">
        <v>44682</v>
      </c>
      <c r="FX1" s="2">
        <v>44682</v>
      </c>
      <c r="FY1" s="2">
        <v>44682</v>
      </c>
      <c r="FZ1" s="3">
        <v>44531</v>
      </c>
      <c r="GA1" s="3">
        <v>44531</v>
      </c>
      <c r="GB1" s="3">
        <v>44531</v>
      </c>
      <c r="GC1" s="3">
        <v>44531</v>
      </c>
      <c r="GD1" s="3">
        <v>44531</v>
      </c>
      <c r="GE1" s="2">
        <v>44986</v>
      </c>
      <c r="GF1" s="3">
        <v>44835</v>
      </c>
      <c r="GG1" s="3">
        <v>44835</v>
      </c>
      <c r="GH1" s="3">
        <v>44835</v>
      </c>
      <c r="GI1" s="3">
        <v>44835</v>
      </c>
      <c r="GJ1" s="3">
        <v>44835</v>
      </c>
      <c r="GK1" s="2">
        <v>44593</v>
      </c>
      <c r="GL1" s="2">
        <v>44593</v>
      </c>
      <c r="GM1" s="2">
        <v>44593</v>
      </c>
      <c r="GN1" s="2">
        <v>44593</v>
      </c>
      <c r="GO1" s="2">
        <v>44593</v>
      </c>
      <c r="GP1" s="2">
        <v>44805</v>
      </c>
      <c r="GQ1" s="2">
        <v>44805</v>
      </c>
      <c r="GR1" s="2">
        <v>44805</v>
      </c>
      <c r="GS1" s="2">
        <v>44805</v>
      </c>
      <c r="GT1" s="2">
        <v>44805</v>
      </c>
      <c r="GU1" s="2">
        <v>44927</v>
      </c>
      <c r="GV1" s="2">
        <v>44927</v>
      </c>
      <c r="GW1" s="2">
        <v>44927</v>
      </c>
      <c r="GX1" s="2">
        <v>44927</v>
      </c>
      <c r="GY1" s="2">
        <v>44927</v>
      </c>
      <c r="GZ1" s="2">
        <v>44562</v>
      </c>
      <c r="HA1" s="2">
        <v>44562</v>
      </c>
      <c r="HB1" s="2">
        <v>44562</v>
      </c>
      <c r="HC1" s="2">
        <v>44562</v>
      </c>
      <c r="HD1" s="2">
        <v>44562</v>
      </c>
      <c r="HE1" s="2">
        <v>44713</v>
      </c>
      <c r="HF1" s="2">
        <v>44713</v>
      </c>
      <c r="HG1" s="2">
        <v>44713</v>
      </c>
      <c r="HH1" s="2">
        <v>44713</v>
      </c>
      <c r="HI1" s="2">
        <v>44713</v>
      </c>
      <c r="HJ1" s="2">
        <v>44652</v>
      </c>
      <c r="HK1" s="2">
        <v>44652</v>
      </c>
      <c r="HL1" s="2">
        <v>44652</v>
      </c>
      <c r="HM1" s="2">
        <v>44652</v>
      </c>
      <c r="HN1" s="2">
        <v>44652</v>
      </c>
      <c r="HO1" s="2">
        <v>44743</v>
      </c>
      <c r="HP1" s="2">
        <v>44743</v>
      </c>
      <c r="HQ1" s="2">
        <v>44743</v>
      </c>
      <c r="HR1" s="2">
        <v>44743</v>
      </c>
      <c r="HS1" s="2">
        <v>44743</v>
      </c>
      <c r="HT1" s="3">
        <v>44896</v>
      </c>
      <c r="HU1" s="3">
        <v>44896</v>
      </c>
      <c r="HV1" s="3">
        <v>44896</v>
      </c>
      <c r="HW1" s="3">
        <v>44896</v>
      </c>
      <c r="HX1" s="3">
        <v>44896</v>
      </c>
      <c r="HY1" s="2">
        <v>44593</v>
      </c>
      <c r="HZ1" s="2">
        <v>44593</v>
      </c>
      <c r="IA1" s="2">
        <v>44593</v>
      </c>
      <c r="IB1" s="2">
        <v>44593</v>
      </c>
      <c r="IC1" s="2">
        <v>44593</v>
      </c>
      <c r="ID1" s="2">
        <v>44958</v>
      </c>
      <c r="IE1" s="2">
        <v>44958</v>
      </c>
      <c r="IF1" s="2">
        <v>44958</v>
      </c>
      <c r="IG1" s="2">
        <v>44958</v>
      </c>
      <c r="IH1" s="2">
        <v>44958</v>
      </c>
      <c r="II1" s="2">
        <v>44652</v>
      </c>
      <c r="IJ1" s="2">
        <v>44652</v>
      </c>
      <c r="IK1" s="2">
        <v>44652</v>
      </c>
      <c r="IL1" s="2">
        <v>44652</v>
      </c>
      <c r="IM1" s="2">
        <v>44652</v>
      </c>
      <c r="IN1" s="2">
        <v>44652</v>
      </c>
      <c r="IO1" s="2">
        <v>44652</v>
      </c>
      <c r="IP1" s="2">
        <v>44652</v>
      </c>
      <c r="IQ1" s="2">
        <v>44652</v>
      </c>
      <c r="IR1" s="2">
        <v>44652</v>
      </c>
      <c r="IS1" s="2">
        <v>44774</v>
      </c>
      <c r="IT1" s="2">
        <v>44774</v>
      </c>
      <c r="IU1" s="2">
        <v>44774</v>
      </c>
      <c r="IV1" s="2">
        <v>44774</v>
      </c>
      <c r="IW1" s="2">
        <v>44774</v>
      </c>
      <c r="IX1" s="2">
        <v>44774</v>
      </c>
      <c r="IY1" s="2">
        <v>44774</v>
      </c>
      <c r="IZ1" s="2">
        <v>44774</v>
      </c>
      <c r="JA1" s="2">
        <v>44774</v>
      </c>
      <c r="JB1" s="2">
        <v>44774</v>
      </c>
      <c r="JC1" s="2">
        <v>44621</v>
      </c>
      <c r="JD1" s="2">
        <v>44621</v>
      </c>
      <c r="JE1" s="2">
        <v>44621</v>
      </c>
      <c r="JF1" s="2">
        <v>44621</v>
      </c>
      <c r="JG1" s="2">
        <v>44621</v>
      </c>
      <c r="JH1" s="2">
        <v>44621</v>
      </c>
      <c r="JI1" s="2">
        <v>44621</v>
      </c>
      <c r="JJ1" s="2">
        <v>44621</v>
      </c>
      <c r="JK1" s="2">
        <v>44621</v>
      </c>
      <c r="JL1" s="2">
        <v>44621</v>
      </c>
      <c r="JM1" s="2">
        <v>44774</v>
      </c>
      <c r="JN1" s="2">
        <v>44774</v>
      </c>
      <c r="JO1" s="2">
        <v>44774</v>
      </c>
      <c r="JP1" s="2">
        <v>44774</v>
      </c>
      <c r="JQ1" s="2">
        <v>44774</v>
      </c>
      <c r="JR1" s="2">
        <v>44986</v>
      </c>
      <c r="JS1" s="2">
        <v>44927</v>
      </c>
      <c r="JT1" s="2">
        <v>44927</v>
      </c>
      <c r="JU1" s="2">
        <v>44927</v>
      </c>
      <c r="JV1" s="2">
        <v>44927</v>
      </c>
      <c r="JW1" s="2">
        <v>44927</v>
      </c>
      <c r="JX1" s="2">
        <v>44562</v>
      </c>
      <c r="JY1" s="2">
        <v>44562</v>
      </c>
      <c r="JZ1" s="2">
        <v>44562</v>
      </c>
      <c r="KA1" s="2">
        <v>44562</v>
      </c>
      <c r="KB1" s="2">
        <v>44562</v>
      </c>
      <c r="KC1" s="2">
        <v>44927</v>
      </c>
      <c r="KD1" s="2">
        <v>44927</v>
      </c>
      <c r="KE1" s="2">
        <v>44927</v>
      </c>
      <c r="KF1" s="2">
        <v>44927</v>
      </c>
      <c r="KG1" s="2">
        <v>44927</v>
      </c>
      <c r="KH1" s="2">
        <v>44621</v>
      </c>
      <c r="KI1" s="2">
        <v>44621</v>
      </c>
      <c r="KJ1" s="2">
        <v>44621</v>
      </c>
      <c r="KK1" s="2">
        <v>44621</v>
      </c>
      <c r="KL1" s="2">
        <v>44621</v>
      </c>
      <c r="KM1" s="3">
        <v>44866</v>
      </c>
      <c r="KN1" s="3">
        <v>44866</v>
      </c>
      <c r="KO1" s="3">
        <v>44866</v>
      </c>
      <c r="KP1" s="3">
        <v>44866</v>
      </c>
      <c r="KQ1" s="3">
        <v>44866</v>
      </c>
      <c r="KR1" s="2">
        <v>44927</v>
      </c>
      <c r="KS1" s="2">
        <v>44927</v>
      </c>
      <c r="KT1" s="2">
        <v>44927</v>
      </c>
      <c r="KU1" s="2">
        <v>44927</v>
      </c>
      <c r="KV1" s="2">
        <v>44927</v>
      </c>
      <c r="KW1" s="2">
        <v>44682</v>
      </c>
      <c r="KX1" s="2">
        <v>44682</v>
      </c>
      <c r="KY1" s="2">
        <v>44682</v>
      </c>
      <c r="KZ1" s="2">
        <v>44682</v>
      </c>
      <c r="LA1" s="2">
        <v>44682</v>
      </c>
      <c r="LB1" s="2">
        <v>44682</v>
      </c>
      <c r="LC1" s="2">
        <v>44682</v>
      </c>
      <c r="LD1" s="2">
        <v>44682</v>
      </c>
      <c r="LE1" s="2">
        <v>44682</v>
      </c>
      <c r="LF1" s="2">
        <v>44682</v>
      </c>
      <c r="LG1" s="3">
        <v>44531</v>
      </c>
      <c r="LH1" s="3">
        <v>44531</v>
      </c>
      <c r="LI1" s="3">
        <v>44531</v>
      </c>
      <c r="LJ1" s="3">
        <v>44531</v>
      </c>
      <c r="LK1" s="3">
        <v>44531</v>
      </c>
      <c r="LL1" s="3">
        <v>44531</v>
      </c>
      <c r="LM1" s="3">
        <v>44531</v>
      </c>
      <c r="LN1" s="3">
        <v>44531</v>
      </c>
      <c r="LO1" s="3">
        <v>44531</v>
      </c>
      <c r="LP1" s="3">
        <v>44531</v>
      </c>
      <c r="LQ1" s="2">
        <v>44805</v>
      </c>
      <c r="LR1" s="2">
        <v>44805</v>
      </c>
      <c r="LS1" s="2">
        <v>44805</v>
      </c>
      <c r="LT1" s="2">
        <v>44805</v>
      </c>
      <c r="LU1" s="2">
        <v>44805</v>
      </c>
      <c r="LV1" s="2">
        <v>44682</v>
      </c>
      <c r="LW1" s="2">
        <v>44682</v>
      </c>
      <c r="LX1" s="2">
        <v>44682</v>
      </c>
      <c r="LY1" s="2">
        <v>44682</v>
      </c>
      <c r="LZ1" s="2">
        <v>44682</v>
      </c>
      <c r="MA1" s="3">
        <v>44896</v>
      </c>
      <c r="MB1" s="3">
        <v>44896</v>
      </c>
      <c r="MC1" s="3">
        <v>44896</v>
      </c>
      <c r="MD1" s="3">
        <v>44896</v>
      </c>
      <c r="ME1" s="3">
        <v>44896</v>
      </c>
      <c r="MF1" s="2">
        <v>44774</v>
      </c>
      <c r="MG1" s="2">
        <v>44774</v>
      </c>
      <c r="MH1" s="2">
        <v>44774</v>
      </c>
      <c r="MI1" s="2">
        <v>44774</v>
      </c>
      <c r="MJ1" s="2">
        <v>44774</v>
      </c>
      <c r="MK1" s="2">
        <v>44621</v>
      </c>
      <c r="ML1" s="2">
        <v>44621</v>
      </c>
      <c r="MM1" s="2">
        <v>44621</v>
      </c>
      <c r="MN1" s="2">
        <v>44621</v>
      </c>
      <c r="MO1" s="2">
        <v>44621</v>
      </c>
      <c r="MP1" s="2">
        <v>44562</v>
      </c>
      <c r="MQ1" s="2">
        <v>44562</v>
      </c>
      <c r="MR1" s="2">
        <v>44562</v>
      </c>
      <c r="MS1" s="2">
        <v>44562</v>
      </c>
      <c r="MT1" s="2">
        <v>44562</v>
      </c>
      <c r="MU1" s="2">
        <v>44621</v>
      </c>
      <c r="MV1" s="2">
        <v>44621</v>
      </c>
      <c r="MW1" s="2">
        <v>44621</v>
      </c>
      <c r="MX1" s="2">
        <v>44621</v>
      </c>
      <c r="MY1" s="2">
        <v>44621</v>
      </c>
      <c r="MZ1" s="3">
        <v>44531</v>
      </c>
      <c r="NA1" s="3">
        <v>44531</v>
      </c>
      <c r="NB1" s="3">
        <v>44531</v>
      </c>
      <c r="NC1" s="3">
        <v>44531</v>
      </c>
      <c r="ND1" s="3">
        <v>44531</v>
      </c>
      <c r="NE1" s="2">
        <v>44958</v>
      </c>
      <c r="NF1" s="2">
        <v>44958</v>
      </c>
      <c r="NG1" s="2">
        <v>44958</v>
      </c>
      <c r="NH1" s="2">
        <v>44958</v>
      </c>
      <c r="NI1" s="2">
        <v>44958</v>
      </c>
      <c r="NJ1" s="2">
        <v>44713</v>
      </c>
      <c r="NK1" s="2">
        <v>44713</v>
      </c>
      <c r="NL1" s="2">
        <v>44713</v>
      </c>
      <c r="NM1" s="2">
        <v>44713</v>
      </c>
      <c r="NN1" s="2">
        <v>44713</v>
      </c>
      <c r="NO1" s="2">
        <v>44805</v>
      </c>
      <c r="NP1" s="2">
        <v>44805</v>
      </c>
      <c r="NQ1" s="2">
        <v>44805</v>
      </c>
      <c r="NR1" s="2">
        <v>44805</v>
      </c>
      <c r="NS1" s="2">
        <v>44805</v>
      </c>
      <c r="NT1" s="2">
        <v>44593</v>
      </c>
      <c r="NU1" s="2">
        <v>44593</v>
      </c>
      <c r="NV1" s="2">
        <v>44593</v>
      </c>
      <c r="NW1" s="2">
        <v>44593</v>
      </c>
      <c r="NX1" s="2">
        <v>44593</v>
      </c>
      <c r="NY1" s="2">
        <v>44958</v>
      </c>
      <c r="NZ1" s="2">
        <v>44958</v>
      </c>
      <c r="OA1" s="2">
        <v>44958</v>
      </c>
      <c r="OB1" s="2">
        <v>44958</v>
      </c>
      <c r="OC1" s="2">
        <v>44958</v>
      </c>
      <c r="OD1" s="3">
        <v>44835</v>
      </c>
      <c r="OE1" s="3">
        <v>44835</v>
      </c>
      <c r="OF1" s="3">
        <v>44835</v>
      </c>
      <c r="OG1" s="3">
        <v>44835</v>
      </c>
      <c r="OH1" s="3">
        <v>44835</v>
      </c>
      <c r="OI1" s="3">
        <v>44866</v>
      </c>
      <c r="OJ1" s="3">
        <v>44866</v>
      </c>
      <c r="OK1" s="3">
        <v>44866</v>
      </c>
      <c r="OL1" s="3">
        <v>44866</v>
      </c>
      <c r="OM1" s="3">
        <v>44866</v>
      </c>
      <c r="ON1" s="2">
        <v>44774</v>
      </c>
      <c r="OO1" s="2">
        <v>44774</v>
      </c>
      <c r="OP1" s="2">
        <v>44774</v>
      </c>
      <c r="OQ1" s="2">
        <v>44774</v>
      </c>
      <c r="OR1" s="2">
        <v>44774</v>
      </c>
      <c r="OS1" s="2">
        <v>44652</v>
      </c>
      <c r="OT1" s="2">
        <v>44652</v>
      </c>
      <c r="OU1" s="2">
        <v>44652</v>
      </c>
      <c r="OV1" s="2">
        <v>44652</v>
      </c>
      <c r="OW1" s="2">
        <v>44652</v>
      </c>
      <c r="OX1" s="2">
        <v>44805</v>
      </c>
      <c r="OY1" s="2">
        <v>44805</v>
      </c>
      <c r="OZ1" s="2">
        <v>44805</v>
      </c>
      <c r="PA1" s="2">
        <v>44805</v>
      </c>
      <c r="PB1" s="2">
        <v>44805</v>
      </c>
      <c r="PC1" s="2">
        <v>44927</v>
      </c>
      <c r="PD1" s="2">
        <v>44927</v>
      </c>
      <c r="PE1" s="2">
        <v>44927</v>
      </c>
      <c r="PF1" s="2">
        <v>44927</v>
      </c>
      <c r="PG1" s="2">
        <v>44927</v>
      </c>
      <c r="PH1" s="2">
        <v>44927</v>
      </c>
      <c r="PI1" s="2">
        <v>44927</v>
      </c>
      <c r="PJ1" s="2">
        <v>44927</v>
      </c>
      <c r="PK1" s="2">
        <v>44927</v>
      </c>
      <c r="PL1" s="2">
        <v>44927</v>
      </c>
      <c r="PM1" s="2">
        <v>44652</v>
      </c>
      <c r="PN1" s="2">
        <v>44652</v>
      </c>
      <c r="PO1" s="2">
        <v>44652</v>
      </c>
      <c r="PP1" s="2">
        <v>44652</v>
      </c>
      <c r="PQ1" s="2">
        <v>44652</v>
      </c>
      <c r="PR1" s="2">
        <v>44958</v>
      </c>
      <c r="PS1" s="2">
        <v>44958</v>
      </c>
      <c r="PT1" s="2">
        <v>44958</v>
      </c>
      <c r="PU1" s="2">
        <v>44958</v>
      </c>
      <c r="PV1" s="2">
        <v>44958</v>
      </c>
      <c r="PW1" s="3">
        <v>44835</v>
      </c>
      <c r="PX1" s="3">
        <v>44835</v>
      </c>
      <c r="PY1" s="3">
        <v>44835</v>
      </c>
      <c r="PZ1" s="3">
        <v>44835</v>
      </c>
      <c r="QA1" s="3">
        <v>44835</v>
      </c>
      <c r="QB1" s="3">
        <v>44866</v>
      </c>
      <c r="QC1" s="3">
        <v>44866</v>
      </c>
      <c r="QD1" s="3">
        <v>44866</v>
      </c>
      <c r="QE1" s="3">
        <v>44866</v>
      </c>
      <c r="QF1" s="3">
        <v>44866</v>
      </c>
      <c r="QG1" s="2">
        <v>44743</v>
      </c>
      <c r="QH1" s="2">
        <v>44743</v>
      </c>
      <c r="QI1" s="2">
        <v>44743</v>
      </c>
      <c r="QJ1" s="2">
        <v>44743</v>
      </c>
      <c r="QK1" s="2">
        <v>44743</v>
      </c>
      <c r="QL1" s="2">
        <v>44743</v>
      </c>
      <c r="QM1" s="2">
        <v>44743</v>
      </c>
      <c r="QN1" s="2">
        <v>44743</v>
      </c>
      <c r="QO1" s="2">
        <v>44743</v>
      </c>
      <c r="QP1" s="2">
        <v>44743</v>
      </c>
      <c r="QQ1" s="3">
        <v>44835</v>
      </c>
      <c r="QR1" s="3">
        <v>44835</v>
      </c>
      <c r="QS1" s="3">
        <v>44835</v>
      </c>
      <c r="QT1" s="3">
        <v>44835</v>
      </c>
      <c r="QU1" s="3">
        <v>44835</v>
      </c>
      <c r="QV1" s="2">
        <v>44652</v>
      </c>
      <c r="QW1" s="2">
        <v>44652</v>
      </c>
      <c r="QX1" s="2">
        <v>44652</v>
      </c>
      <c r="QY1" s="2">
        <v>44652</v>
      </c>
      <c r="QZ1" s="2">
        <v>44652</v>
      </c>
      <c r="RA1" s="2">
        <v>44562</v>
      </c>
      <c r="RB1" s="2">
        <v>44562</v>
      </c>
      <c r="RC1" s="2">
        <v>44562</v>
      </c>
      <c r="RD1" s="2">
        <v>44562</v>
      </c>
      <c r="RE1" s="2">
        <v>44562</v>
      </c>
      <c r="RF1" s="2">
        <v>44805</v>
      </c>
      <c r="RG1" s="2">
        <v>44805</v>
      </c>
      <c r="RH1" s="2">
        <v>44805</v>
      </c>
      <c r="RI1" s="2">
        <v>44805</v>
      </c>
      <c r="RJ1" s="2">
        <v>44805</v>
      </c>
      <c r="RK1" s="3">
        <v>44896</v>
      </c>
      <c r="RL1" s="3">
        <v>44896</v>
      </c>
      <c r="RM1" s="3">
        <v>44896</v>
      </c>
      <c r="RN1" s="3">
        <v>44896</v>
      </c>
      <c r="RO1" s="3">
        <v>44896</v>
      </c>
      <c r="RP1" s="3">
        <v>44835</v>
      </c>
      <c r="RQ1" s="3">
        <v>44835</v>
      </c>
      <c r="RR1" s="3">
        <v>44835</v>
      </c>
      <c r="RS1" s="3">
        <v>44835</v>
      </c>
      <c r="RT1" s="3">
        <v>44835</v>
      </c>
      <c r="RU1" s="2">
        <v>44927</v>
      </c>
      <c r="RV1" s="2">
        <v>44927</v>
      </c>
      <c r="RW1" s="2">
        <v>44927</v>
      </c>
      <c r="RX1" s="2">
        <v>44927</v>
      </c>
      <c r="RY1" s="2">
        <v>44927</v>
      </c>
      <c r="RZ1" s="2">
        <v>44562</v>
      </c>
      <c r="SA1" s="2">
        <v>44562</v>
      </c>
      <c r="SB1" s="2">
        <v>44562</v>
      </c>
      <c r="SC1" s="2">
        <v>44562</v>
      </c>
      <c r="SD1" s="2">
        <v>44562</v>
      </c>
      <c r="SE1" s="2">
        <v>44593</v>
      </c>
      <c r="SF1" s="2">
        <v>44593</v>
      </c>
      <c r="SG1" s="2">
        <v>44593</v>
      </c>
      <c r="SH1" s="2">
        <v>44593</v>
      </c>
      <c r="SI1" s="2">
        <v>44593</v>
      </c>
      <c r="SJ1" s="2">
        <v>44958</v>
      </c>
      <c r="SK1" s="2">
        <v>44958</v>
      </c>
      <c r="SL1" s="2">
        <v>44958</v>
      </c>
      <c r="SM1" s="2">
        <v>44958</v>
      </c>
      <c r="SN1" s="2">
        <v>44958</v>
      </c>
      <c r="SO1" s="2">
        <v>44774</v>
      </c>
      <c r="SP1" s="2">
        <v>44774</v>
      </c>
      <c r="SQ1" s="2">
        <v>44774</v>
      </c>
      <c r="SR1" s="2">
        <v>44774</v>
      </c>
      <c r="SS1" s="2">
        <v>44774</v>
      </c>
      <c r="ST1" s="2">
        <v>44805</v>
      </c>
      <c r="SU1" s="2">
        <v>44805</v>
      </c>
      <c r="SV1" s="2">
        <v>44805</v>
      </c>
      <c r="SW1" s="2">
        <v>44805</v>
      </c>
      <c r="SX1" s="2">
        <v>44805</v>
      </c>
      <c r="SY1" s="2">
        <v>44713</v>
      </c>
      <c r="SZ1" s="2">
        <v>44713</v>
      </c>
      <c r="TA1" s="2">
        <v>44713</v>
      </c>
      <c r="TB1" s="2">
        <v>44713</v>
      </c>
      <c r="TC1" s="2">
        <v>44713</v>
      </c>
      <c r="TD1" s="2">
        <v>44805</v>
      </c>
      <c r="TE1" s="2">
        <v>44805</v>
      </c>
      <c r="TF1" s="2">
        <v>44805</v>
      </c>
      <c r="TG1" s="2">
        <v>44805</v>
      </c>
      <c r="TH1" s="2">
        <v>44805</v>
      </c>
      <c r="TI1" s="2">
        <v>44621</v>
      </c>
      <c r="TJ1" s="2">
        <v>44621</v>
      </c>
      <c r="TK1" s="2">
        <v>44621</v>
      </c>
      <c r="TL1" s="2">
        <v>44621</v>
      </c>
      <c r="TM1" s="2">
        <v>44621</v>
      </c>
      <c r="TN1" s="2">
        <v>44682</v>
      </c>
      <c r="TO1" s="2">
        <v>44682</v>
      </c>
      <c r="TP1" s="2">
        <v>44682</v>
      </c>
      <c r="TQ1" s="2">
        <v>44682</v>
      </c>
      <c r="TR1" s="2">
        <v>44682</v>
      </c>
      <c r="TS1" s="2">
        <v>44958</v>
      </c>
      <c r="TT1" s="2">
        <v>44958</v>
      </c>
      <c r="TU1" s="2">
        <v>44958</v>
      </c>
      <c r="TV1" s="2">
        <v>44958</v>
      </c>
      <c r="TW1" s="2">
        <v>44958</v>
      </c>
      <c r="TX1" s="2">
        <v>44958</v>
      </c>
      <c r="TY1" s="2">
        <v>44958</v>
      </c>
      <c r="TZ1" s="2">
        <v>44958</v>
      </c>
      <c r="UA1" s="2">
        <v>44958</v>
      </c>
      <c r="UB1" s="2">
        <v>44958</v>
      </c>
      <c r="UC1" s="3">
        <v>44896</v>
      </c>
      <c r="UD1" s="3">
        <v>44896</v>
      </c>
      <c r="UE1" s="3">
        <v>44896</v>
      </c>
      <c r="UF1" s="3">
        <v>44896</v>
      </c>
      <c r="UG1" s="3">
        <v>44896</v>
      </c>
      <c r="UH1" s="3">
        <v>44896</v>
      </c>
      <c r="UI1" s="3">
        <v>44896</v>
      </c>
      <c r="UJ1" s="3">
        <v>44896</v>
      </c>
      <c r="UK1" s="3">
        <v>44896</v>
      </c>
      <c r="UL1" s="3">
        <v>44896</v>
      </c>
      <c r="UM1" s="3">
        <v>44896</v>
      </c>
      <c r="UN1" s="3">
        <v>44896</v>
      </c>
      <c r="UO1" s="3">
        <v>44896</v>
      </c>
      <c r="UP1" s="3">
        <v>44896</v>
      </c>
      <c r="UQ1" s="3">
        <v>44896</v>
      </c>
      <c r="UR1" s="2">
        <v>44958</v>
      </c>
      <c r="US1" s="2">
        <v>44958</v>
      </c>
      <c r="UT1" s="2">
        <v>44958</v>
      </c>
      <c r="UU1" s="2">
        <v>44958</v>
      </c>
      <c r="UV1" s="2">
        <v>44958</v>
      </c>
      <c r="UW1" s="2">
        <v>44986</v>
      </c>
      <c r="UX1" s="3">
        <v>44835</v>
      </c>
      <c r="UY1" s="3">
        <v>44835</v>
      </c>
      <c r="UZ1" s="3">
        <v>44835</v>
      </c>
      <c r="VA1" s="3">
        <v>44835</v>
      </c>
      <c r="VB1" s="3">
        <v>44835</v>
      </c>
      <c r="VC1" s="2">
        <v>44713</v>
      </c>
      <c r="VD1" s="2">
        <v>44713</v>
      </c>
      <c r="VE1" s="2">
        <v>44713</v>
      </c>
      <c r="VF1" s="2">
        <v>44713</v>
      </c>
      <c r="VG1" s="2">
        <v>44713</v>
      </c>
      <c r="VH1" s="2">
        <v>44562</v>
      </c>
      <c r="VI1" s="2">
        <v>44562</v>
      </c>
      <c r="VJ1" s="2">
        <v>44562</v>
      </c>
      <c r="VK1" s="2">
        <v>44562</v>
      </c>
      <c r="VL1" s="2">
        <v>44562</v>
      </c>
      <c r="VM1" s="2">
        <v>44927</v>
      </c>
      <c r="VN1" s="2">
        <v>44927</v>
      </c>
      <c r="VO1" s="2">
        <v>44927</v>
      </c>
      <c r="VP1" s="2">
        <v>44927</v>
      </c>
      <c r="VQ1" s="2">
        <v>44927</v>
      </c>
      <c r="VR1" s="2">
        <v>44652</v>
      </c>
      <c r="VS1" s="2">
        <v>44652</v>
      </c>
      <c r="VT1" s="2">
        <v>44652</v>
      </c>
      <c r="VU1" s="2">
        <v>44652</v>
      </c>
      <c r="VV1" s="2">
        <v>44652</v>
      </c>
      <c r="VW1" s="3">
        <v>44896</v>
      </c>
      <c r="VX1" s="3">
        <v>44896</v>
      </c>
      <c r="VY1" s="3">
        <v>44896</v>
      </c>
      <c r="VZ1" s="3">
        <v>44896</v>
      </c>
      <c r="WA1" s="3">
        <v>44896</v>
      </c>
      <c r="WB1" s="3">
        <v>44896</v>
      </c>
      <c r="WC1" s="3">
        <v>44896</v>
      </c>
      <c r="WD1" s="3">
        <v>44896</v>
      </c>
      <c r="WE1" s="3">
        <v>44896</v>
      </c>
      <c r="WF1" s="3">
        <v>44896</v>
      </c>
      <c r="WG1" s="2">
        <v>44562</v>
      </c>
      <c r="WH1" s="2">
        <v>44562</v>
      </c>
      <c r="WI1" s="2">
        <v>44562</v>
      </c>
      <c r="WJ1" s="2">
        <v>44562</v>
      </c>
      <c r="WK1" s="2">
        <v>44562</v>
      </c>
      <c r="WL1" s="3">
        <v>44835</v>
      </c>
      <c r="WM1" s="3">
        <v>44835</v>
      </c>
      <c r="WN1" s="3">
        <v>44835</v>
      </c>
      <c r="WO1" s="3">
        <v>44835</v>
      </c>
      <c r="WP1" s="3">
        <v>44835</v>
      </c>
      <c r="WQ1" s="2">
        <v>44593</v>
      </c>
      <c r="WR1" s="2">
        <v>44593</v>
      </c>
      <c r="WS1" s="2">
        <v>44593</v>
      </c>
      <c r="WT1" s="2">
        <v>44593</v>
      </c>
      <c r="WU1" s="2">
        <v>44593</v>
      </c>
      <c r="WV1" s="2">
        <v>44958</v>
      </c>
      <c r="WW1" s="2">
        <v>44958</v>
      </c>
      <c r="WX1" s="2">
        <v>44958</v>
      </c>
      <c r="WY1" s="2">
        <v>44958</v>
      </c>
      <c r="WZ1" s="2">
        <v>44958</v>
      </c>
      <c r="XA1" s="2">
        <v>44713</v>
      </c>
      <c r="XB1" s="2">
        <v>44713</v>
      </c>
      <c r="XC1" s="2">
        <v>44713</v>
      </c>
      <c r="XD1" s="2">
        <v>44713</v>
      </c>
      <c r="XE1" s="2">
        <v>44713</v>
      </c>
      <c r="XF1" s="2">
        <v>44805</v>
      </c>
      <c r="XG1" s="2">
        <v>44805</v>
      </c>
      <c r="XH1" s="2">
        <v>44805</v>
      </c>
      <c r="XI1" s="2">
        <v>44805</v>
      </c>
      <c r="XJ1" s="2">
        <v>44805</v>
      </c>
      <c r="XK1" s="2">
        <v>44682</v>
      </c>
      <c r="XL1" s="2">
        <v>44682</v>
      </c>
      <c r="XM1" s="2">
        <v>44682</v>
      </c>
      <c r="XN1" s="2">
        <v>44682</v>
      </c>
      <c r="XO1" s="2">
        <v>44682</v>
      </c>
      <c r="XP1" s="2">
        <v>44958</v>
      </c>
      <c r="XQ1" s="2">
        <v>44958</v>
      </c>
      <c r="XR1" s="2">
        <v>44958</v>
      </c>
      <c r="XS1" s="2">
        <v>44958</v>
      </c>
      <c r="XT1" s="2">
        <v>44958</v>
      </c>
      <c r="XU1" s="3">
        <v>44835</v>
      </c>
      <c r="XV1" s="3">
        <v>44835</v>
      </c>
      <c r="XW1" s="3">
        <v>44835</v>
      </c>
      <c r="XX1" s="3">
        <v>44835</v>
      </c>
      <c r="XY1" s="3">
        <v>44835</v>
      </c>
      <c r="XZ1" s="3">
        <v>44531</v>
      </c>
      <c r="YA1" s="3">
        <v>44531</v>
      </c>
      <c r="YB1" s="3">
        <v>44531</v>
      </c>
      <c r="YC1" s="3">
        <v>44531</v>
      </c>
      <c r="YD1" s="3">
        <v>44531</v>
      </c>
      <c r="YE1" s="2">
        <v>44652</v>
      </c>
      <c r="YF1" s="2">
        <v>44652</v>
      </c>
      <c r="YG1" s="2">
        <v>44652</v>
      </c>
      <c r="YH1" s="2">
        <v>44652</v>
      </c>
      <c r="YI1" s="2">
        <v>44652</v>
      </c>
      <c r="YJ1" s="3">
        <v>44896</v>
      </c>
      <c r="YK1" s="3">
        <v>44896</v>
      </c>
      <c r="YL1" s="3">
        <v>44896</v>
      </c>
      <c r="YM1" s="3">
        <v>44896</v>
      </c>
      <c r="YN1" s="3">
        <v>44896</v>
      </c>
      <c r="YO1" s="2">
        <v>44621</v>
      </c>
      <c r="YP1" s="2">
        <v>44621</v>
      </c>
      <c r="YQ1" s="2">
        <v>44621</v>
      </c>
      <c r="YR1" s="2">
        <v>44621</v>
      </c>
      <c r="YS1" s="2">
        <v>44621</v>
      </c>
      <c r="YT1" s="2">
        <v>44682</v>
      </c>
      <c r="YU1" s="2">
        <v>44682</v>
      </c>
      <c r="YV1" s="2">
        <v>44682</v>
      </c>
      <c r="YW1" s="2">
        <v>44682</v>
      </c>
      <c r="YX1" s="2">
        <v>44682</v>
      </c>
      <c r="YY1" s="3">
        <v>44835</v>
      </c>
      <c r="YZ1" s="3">
        <v>44835</v>
      </c>
      <c r="ZA1" s="3">
        <v>44835</v>
      </c>
      <c r="ZB1" s="3">
        <v>44835</v>
      </c>
      <c r="ZC1" s="3">
        <v>44835</v>
      </c>
      <c r="ZD1" s="2">
        <v>44774</v>
      </c>
      <c r="ZE1" s="2">
        <v>44774</v>
      </c>
      <c r="ZF1" s="2">
        <v>44774</v>
      </c>
      <c r="ZG1" s="2">
        <v>44774</v>
      </c>
      <c r="ZH1" s="2">
        <v>44774</v>
      </c>
      <c r="ZI1" s="2">
        <v>44682</v>
      </c>
      <c r="ZJ1" s="2">
        <v>44682</v>
      </c>
      <c r="ZK1" s="2">
        <v>44682</v>
      </c>
      <c r="ZL1" s="2">
        <v>44682</v>
      </c>
      <c r="ZM1" s="2">
        <v>44682</v>
      </c>
      <c r="ZN1" s="3">
        <v>44866</v>
      </c>
      <c r="ZO1" s="3">
        <v>44866</v>
      </c>
      <c r="ZP1" s="3">
        <v>44866</v>
      </c>
      <c r="ZQ1" s="3">
        <v>44866</v>
      </c>
      <c r="ZR1" s="3">
        <v>44866</v>
      </c>
      <c r="ZS1" s="2">
        <v>44958</v>
      </c>
      <c r="ZT1" s="2">
        <v>44958</v>
      </c>
      <c r="ZU1" s="2">
        <v>44958</v>
      </c>
      <c r="ZV1" s="2">
        <v>44958</v>
      </c>
      <c r="ZW1" s="2">
        <v>44958</v>
      </c>
      <c r="ZX1" s="2">
        <v>44743</v>
      </c>
      <c r="ZY1" s="2">
        <v>44743</v>
      </c>
      <c r="ZZ1" s="2">
        <v>44743</v>
      </c>
      <c r="AAA1" s="2">
        <v>44743</v>
      </c>
      <c r="AAB1" s="2">
        <v>44743</v>
      </c>
      <c r="AAC1" s="2">
        <v>44958</v>
      </c>
      <c r="AAD1" s="2">
        <v>44958</v>
      </c>
      <c r="AAE1" s="2">
        <v>44958</v>
      </c>
      <c r="AAF1" s="2">
        <v>44958</v>
      </c>
      <c r="AAG1" s="2">
        <v>44958</v>
      </c>
      <c r="AAH1" s="2">
        <v>44743</v>
      </c>
      <c r="AAI1" s="2">
        <v>44743</v>
      </c>
      <c r="AAJ1" s="2">
        <v>44743</v>
      </c>
      <c r="AAK1" s="2">
        <v>44743</v>
      </c>
      <c r="AAL1" s="2">
        <v>44743</v>
      </c>
      <c r="AAM1" s="2">
        <v>44774</v>
      </c>
      <c r="AAN1" s="2">
        <v>44774</v>
      </c>
      <c r="AAO1" s="2">
        <v>44774</v>
      </c>
      <c r="AAP1" s="2">
        <v>44774</v>
      </c>
      <c r="AAQ1" s="2">
        <v>44774</v>
      </c>
      <c r="AAR1" s="3">
        <v>44531</v>
      </c>
      <c r="AAS1" s="3">
        <v>44531</v>
      </c>
      <c r="AAT1" s="3">
        <v>44531</v>
      </c>
      <c r="AAU1" s="3">
        <v>44531</v>
      </c>
      <c r="AAV1" s="3">
        <v>44531</v>
      </c>
      <c r="AAW1" s="2">
        <v>44774</v>
      </c>
      <c r="AAX1" s="2">
        <v>44774</v>
      </c>
      <c r="AAY1" s="2">
        <v>44774</v>
      </c>
      <c r="AAZ1" s="2">
        <v>44774</v>
      </c>
      <c r="ABA1" s="2">
        <v>44774</v>
      </c>
      <c r="ABB1" s="3">
        <v>44531</v>
      </c>
    </row>
    <row r="2" spans="1:730" x14ac:dyDescent="0.15">
      <c r="A2" s="2">
        <v>44986</v>
      </c>
      <c r="B2" s="1" t="s">
        <v>6</v>
      </c>
      <c r="C2" s="1" t="s">
        <v>7</v>
      </c>
      <c r="D2" s="1">
        <v>143.30439758300699</v>
      </c>
      <c r="E2" s="1">
        <v>547.52577971592802</v>
      </c>
      <c r="F2" s="1">
        <v>1072.81567382812</v>
      </c>
      <c r="G2" s="1" t="s">
        <v>1</v>
      </c>
      <c r="H2" s="1" t="s">
        <v>6</v>
      </c>
      <c r="I2" s="1" t="s">
        <v>6</v>
      </c>
      <c r="J2" s="1" t="s">
        <v>6</v>
      </c>
      <c r="K2" s="1" t="s">
        <v>10</v>
      </c>
      <c r="L2" s="1" t="s">
        <v>6</v>
      </c>
      <c r="M2" s="1" t="s">
        <v>12</v>
      </c>
      <c r="N2" s="1" t="s">
        <v>13</v>
      </c>
      <c r="O2" s="1" t="s">
        <v>14</v>
      </c>
      <c r="P2" s="1" t="s">
        <v>13</v>
      </c>
      <c r="Q2" s="1" t="s">
        <v>6</v>
      </c>
      <c r="R2" s="1" t="s">
        <v>12</v>
      </c>
      <c r="S2" s="1" t="s">
        <v>10</v>
      </c>
      <c r="T2" s="1" t="s">
        <v>14</v>
      </c>
      <c r="U2" s="1" t="s">
        <v>6</v>
      </c>
      <c r="V2" s="1" t="s">
        <v>12</v>
      </c>
      <c r="W2" s="1" t="s">
        <v>14</v>
      </c>
      <c r="X2" s="1" t="s">
        <v>13</v>
      </c>
      <c r="Y2" s="1" t="s">
        <v>10</v>
      </c>
      <c r="Z2" s="1" t="s">
        <v>12</v>
      </c>
      <c r="AA2" s="1" t="s">
        <v>14</v>
      </c>
      <c r="AB2" s="1" t="s">
        <v>6</v>
      </c>
      <c r="AC2" s="1" t="s">
        <v>13</v>
      </c>
      <c r="AD2" s="1" t="s">
        <v>10</v>
      </c>
      <c r="AE2" s="1" t="s">
        <v>12</v>
      </c>
      <c r="AF2" s="1" t="s">
        <v>6</v>
      </c>
      <c r="AG2" s="1" t="s">
        <v>10</v>
      </c>
      <c r="AH2" s="1" t="s">
        <v>13</v>
      </c>
      <c r="AI2" s="1" t="s">
        <v>14</v>
      </c>
      <c r="AJ2" s="1" t="s">
        <v>6</v>
      </c>
      <c r="AK2" s="1" t="s">
        <v>12</v>
      </c>
      <c r="AL2" s="1" t="s">
        <v>14</v>
      </c>
      <c r="AM2" s="1" t="s">
        <v>13</v>
      </c>
      <c r="AN2" s="1" t="s">
        <v>10</v>
      </c>
      <c r="AO2" s="1" t="s">
        <v>13</v>
      </c>
      <c r="AP2" s="1" t="s">
        <v>6</v>
      </c>
      <c r="AQ2" s="1" t="s">
        <v>12</v>
      </c>
      <c r="AR2" s="1" t="s">
        <v>10</v>
      </c>
      <c r="AS2" s="1" t="s">
        <v>14</v>
      </c>
      <c r="AT2" s="1" t="s">
        <v>6</v>
      </c>
      <c r="AU2" s="1" t="s">
        <v>13</v>
      </c>
      <c r="AV2" s="1" t="s">
        <v>10</v>
      </c>
      <c r="AW2" s="1" t="s">
        <v>6</v>
      </c>
      <c r="AX2" s="1" t="s">
        <v>14</v>
      </c>
      <c r="AY2" s="1" t="s">
        <v>12</v>
      </c>
      <c r="AZ2" s="1" t="s">
        <v>6</v>
      </c>
      <c r="BA2" s="1" t="s">
        <v>12</v>
      </c>
      <c r="BB2" s="1" t="s">
        <v>14</v>
      </c>
      <c r="BC2" s="1" t="s">
        <v>13</v>
      </c>
      <c r="BD2" s="1" t="s">
        <v>10</v>
      </c>
      <c r="BE2" s="1" t="s">
        <v>10</v>
      </c>
      <c r="BF2" s="1" t="s">
        <v>14</v>
      </c>
      <c r="BG2" s="1" t="s">
        <v>6</v>
      </c>
      <c r="BH2" s="1" t="s">
        <v>13</v>
      </c>
      <c r="BI2" s="1" t="s">
        <v>12</v>
      </c>
      <c r="BJ2" s="1" t="s">
        <v>13</v>
      </c>
      <c r="BK2" s="1" t="s">
        <v>6</v>
      </c>
      <c r="BL2" s="1" t="s">
        <v>12</v>
      </c>
      <c r="BM2" s="1" t="s">
        <v>10</v>
      </c>
      <c r="BN2" s="1" t="s">
        <v>14</v>
      </c>
      <c r="BO2" s="1" t="s">
        <v>14</v>
      </c>
      <c r="BP2" s="1" t="s">
        <v>6</v>
      </c>
      <c r="BQ2" s="1" t="s">
        <v>13</v>
      </c>
      <c r="BR2" s="1" t="s">
        <v>10</v>
      </c>
      <c r="BS2" s="1" t="s">
        <v>12</v>
      </c>
      <c r="BT2" s="1" t="s">
        <v>10</v>
      </c>
      <c r="BU2" s="1" t="s">
        <v>14</v>
      </c>
      <c r="BV2" s="1" t="s">
        <v>6</v>
      </c>
      <c r="BW2" s="1" t="s">
        <v>13</v>
      </c>
      <c r="BX2" s="1" t="s">
        <v>12</v>
      </c>
      <c r="BY2" s="1" t="s">
        <v>12</v>
      </c>
      <c r="BZ2" s="1" t="s">
        <v>6</v>
      </c>
      <c r="CA2" s="1" t="s">
        <v>13</v>
      </c>
      <c r="CB2" s="1" t="s">
        <v>14</v>
      </c>
      <c r="CC2" s="1" t="s">
        <v>10</v>
      </c>
      <c r="CD2" s="1" t="s">
        <v>6</v>
      </c>
      <c r="CE2" s="1" t="s">
        <v>12</v>
      </c>
      <c r="CF2" s="1" t="s">
        <v>14</v>
      </c>
      <c r="CG2" s="1" t="s">
        <v>13</v>
      </c>
      <c r="CH2" s="1" t="s">
        <v>10</v>
      </c>
      <c r="CI2" s="1" t="s">
        <v>13</v>
      </c>
      <c r="CJ2" s="1" t="s">
        <v>6</v>
      </c>
      <c r="CK2" s="1" t="s">
        <v>12</v>
      </c>
      <c r="CL2" s="1" t="s">
        <v>10</v>
      </c>
      <c r="CM2" s="1" t="s">
        <v>14</v>
      </c>
      <c r="CN2" s="1" t="s">
        <v>12</v>
      </c>
      <c r="CO2" s="1" t="s">
        <v>6</v>
      </c>
      <c r="CP2" s="1" t="s">
        <v>13</v>
      </c>
      <c r="CQ2" s="1" t="s">
        <v>14</v>
      </c>
      <c r="CR2" s="1" t="s">
        <v>10</v>
      </c>
      <c r="CS2" s="1" t="s">
        <v>12</v>
      </c>
      <c r="CT2" s="1" t="s">
        <v>6</v>
      </c>
      <c r="CU2" s="1" t="s">
        <v>13</v>
      </c>
      <c r="CV2" s="1" t="s">
        <v>14</v>
      </c>
      <c r="CW2" s="1" t="s">
        <v>10</v>
      </c>
      <c r="CX2" s="1" t="s">
        <v>12</v>
      </c>
      <c r="CY2" s="1" t="s">
        <v>14</v>
      </c>
      <c r="CZ2" s="1" t="s">
        <v>6</v>
      </c>
      <c r="DA2" s="1" t="s">
        <v>13</v>
      </c>
      <c r="DB2" s="1" t="s">
        <v>10</v>
      </c>
      <c r="DC2" s="1" t="s">
        <v>14</v>
      </c>
      <c r="DD2" s="1" t="s">
        <v>6</v>
      </c>
      <c r="DE2" s="1" t="s">
        <v>10</v>
      </c>
      <c r="DF2" s="1" t="s">
        <v>12</v>
      </c>
      <c r="DG2" s="1" t="s">
        <v>13</v>
      </c>
      <c r="DH2" s="1" t="s">
        <v>6</v>
      </c>
      <c r="DI2" s="1" t="s">
        <v>12</v>
      </c>
      <c r="DJ2" s="1" t="s">
        <v>14</v>
      </c>
      <c r="DK2" s="1" t="s">
        <v>13</v>
      </c>
      <c r="DL2" s="1" t="s">
        <v>10</v>
      </c>
      <c r="DM2" s="1" t="s">
        <v>10</v>
      </c>
      <c r="DN2" s="1" t="s">
        <v>6</v>
      </c>
      <c r="DO2" s="1" t="s">
        <v>12</v>
      </c>
      <c r="DP2" s="1" t="s">
        <v>13</v>
      </c>
      <c r="DQ2" s="1" t="s">
        <v>14</v>
      </c>
      <c r="DR2" s="1" t="s">
        <v>10</v>
      </c>
      <c r="DS2" s="1" t="s">
        <v>14</v>
      </c>
      <c r="DT2" s="1" t="s">
        <v>6</v>
      </c>
      <c r="DU2" s="1" t="s">
        <v>13</v>
      </c>
      <c r="DV2" s="1" t="s">
        <v>12</v>
      </c>
      <c r="DW2" s="1" t="s">
        <v>6</v>
      </c>
      <c r="DX2" s="1" t="s">
        <v>12</v>
      </c>
      <c r="DY2" s="1" t="s">
        <v>14</v>
      </c>
      <c r="DZ2" s="1" t="s">
        <v>13</v>
      </c>
      <c r="EA2" s="1" t="s">
        <v>10</v>
      </c>
      <c r="EB2" s="1" t="s">
        <v>6</v>
      </c>
      <c r="EC2" s="1" t="s">
        <v>12</v>
      </c>
      <c r="ED2" s="1" t="s">
        <v>14</v>
      </c>
      <c r="EE2" s="1" t="s">
        <v>13</v>
      </c>
      <c r="EF2" s="1" t="s">
        <v>10</v>
      </c>
      <c r="EG2" s="1" t="s">
        <v>13</v>
      </c>
      <c r="EH2" s="1" t="s">
        <v>12</v>
      </c>
      <c r="EI2" s="1" t="s">
        <v>6</v>
      </c>
      <c r="EJ2" s="1" t="s">
        <v>10</v>
      </c>
      <c r="EK2" s="1" t="s">
        <v>14</v>
      </c>
      <c r="EL2" s="1" t="s">
        <v>14</v>
      </c>
      <c r="EM2" s="1" t="s">
        <v>6</v>
      </c>
      <c r="EN2" s="1" t="s">
        <v>10</v>
      </c>
      <c r="EO2" s="1" t="s">
        <v>12</v>
      </c>
      <c r="EP2" s="1" t="s">
        <v>13</v>
      </c>
      <c r="EQ2" s="1" t="s">
        <v>14</v>
      </c>
      <c r="ER2" s="1" t="s">
        <v>6</v>
      </c>
      <c r="ES2" s="1" t="s">
        <v>10</v>
      </c>
      <c r="ET2" s="1" t="s">
        <v>12</v>
      </c>
      <c r="EU2" s="1" t="s">
        <v>13</v>
      </c>
      <c r="EV2" s="1" t="s">
        <v>12</v>
      </c>
      <c r="EW2" s="1" t="s">
        <v>6</v>
      </c>
      <c r="EX2" s="1" t="s">
        <v>10</v>
      </c>
      <c r="EY2" s="1" t="s">
        <v>13</v>
      </c>
      <c r="EZ2" s="1" t="s">
        <v>14</v>
      </c>
      <c r="FA2" s="1" t="s">
        <v>14</v>
      </c>
      <c r="FB2" s="1" t="s">
        <v>6</v>
      </c>
      <c r="FC2" s="1" t="s">
        <v>10</v>
      </c>
      <c r="FD2" s="1" t="s">
        <v>12</v>
      </c>
      <c r="FE2" s="1" t="s">
        <v>13</v>
      </c>
      <c r="FF2" s="1" t="s">
        <v>13</v>
      </c>
      <c r="FG2" s="1" t="s">
        <v>12</v>
      </c>
      <c r="FH2" s="1" t="s">
        <v>6</v>
      </c>
      <c r="FI2" s="1" t="s">
        <v>10</v>
      </c>
      <c r="FJ2" s="1" t="s">
        <v>14</v>
      </c>
      <c r="FK2" s="1" t="s">
        <v>10</v>
      </c>
      <c r="FL2" s="1" t="s">
        <v>6</v>
      </c>
      <c r="FM2" s="1" t="s">
        <v>12</v>
      </c>
      <c r="FN2" s="1" t="s">
        <v>14</v>
      </c>
      <c r="FO2" s="1" t="s">
        <v>13</v>
      </c>
      <c r="FP2" s="1" t="s">
        <v>13</v>
      </c>
      <c r="FQ2" s="1" t="s">
        <v>12</v>
      </c>
      <c r="FR2" s="1" t="s">
        <v>6</v>
      </c>
      <c r="FS2" s="1" t="s">
        <v>10</v>
      </c>
      <c r="FT2" s="1" t="s">
        <v>14</v>
      </c>
      <c r="FU2" s="1" t="s">
        <v>12</v>
      </c>
      <c r="FV2" s="1" t="s">
        <v>14</v>
      </c>
      <c r="FW2" s="1" t="s">
        <v>6</v>
      </c>
      <c r="FX2" s="1" t="s">
        <v>13</v>
      </c>
      <c r="FY2" s="1" t="s">
        <v>10</v>
      </c>
      <c r="FZ2" s="1" t="s">
        <v>14</v>
      </c>
      <c r="GA2" s="1" t="s">
        <v>6</v>
      </c>
      <c r="GB2" s="1" t="s">
        <v>10</v>
      </c>
      <c r="GC2" s="1" t="s">
        <v>12</v>
      </c>
      <c r="GD2" s="1" t="s">
        <v>13</v>
      </c>
      <c r="GE2" s="1" t="s">
        <v>6</v>
      </c>
      <c r="GF2" s="1" t="s">
        <v>12</v>
      </c>
      <c r="GG2" s="1" t="s">
        <v>6</v>
      </c>
      <c r="GH2" s="1" t="s">
        <v>13</v>
      </c>
      <c r="GI2" s="1" t="s">
        <v>14</v>
      </c>
      <c r="GJ2" s="1" t="s">
        <v>10</v>
      </c>
      <c r="GK2" s="1" t="s">
        <v>10</v>
      </c>
      <c r="GL2" s="1" t="s">
        <v>6</v>
      </c>
      <c r="GM2" s="1" t="s">
        <v>12</v>
      </c>
      <c r="GN2" s="1" t="s">
        <v>14</v>
      </c>
      <c r="GO2" s="1" t="s">
        <v>13</v>
      </c>
      <c r="GP2" s="1" t="s">
        <v>10</v>
      </c>
      <c r="GQ2" s="1" t="s">
        <v>6</v>
      </c>
      <c r="GR2" s="1" t="s">
        <v>12</v>
      </c>
      <c r="GS2" s="1" t="s">
        <v>13</v>
      </c>
      <c r="GT2" s="1" t="s">
        <v>14</v>
      </c>
      <c r="GU2" s="1" t="s">
        <v>13</v>
      </c>
      <c r="GV2" s="1" t="s">
        <v>10</v>
      </c>
      <c r="GW2" s="1" t="s">
        <v>6</v>
      </c>
      <c r="GX2" s="1" t="s">
        <v>14</v>
      </c>
      <c r="GY2" s="1" t="s">
        <v>12</v>
      </c>
      <c r="GZ2" s="1" t="s">
        <v>14</v>
      </c>
      <c r="HA2" s="1" t="s">
        <v>6</v>
      </c>
      <c r="HB2" s="1" t="s">
        <v>13</v>
      </c>
      <c r="HC2" s="1" t="s">
        <v>10</v>
      </c>
      <c r="HD2" s="1" t="s">
        <v>12</v>
      </c>
      <c r="HE2" s="1" t="s">
        <v>6</v>
      </c>
      <c r="HF2" s="1" t="s">
        <v>12</v>
      </c>
      <c r="HG2" s="1" t="s">
        <v>14</v>
      </c>
      <c r="HH2" s="1" t="s">
        <v>13</v>
      </c>
      <c r="HI2" s="1" t="s">
        <v>10</v>
      </c>
      <c r="HJ2" s="1" t="s">
        <v>13</v>
      </c>
      <c r="HK2" s="1" t="s">
        <v>6</v>
      </c>
      <c r="HL2" s="1" t="s">
        <v>12</v>
      </c>
      <c r="HM2" s="1" t="s">
        <v>10</v>
      </c>
      <c r="HN2" s="1" t="s">
        <v>14</v>
      </c>
      <c r="HO2" s="1" t="s">
        <v>10</v>
      </c>
      <c r="HP2" s="1" t="s">
        <v>14</v>
      </c>
      <c r="HQ2" s="1" t="s">
        <v>6</v>
      </c>
      <c r="HR2" s="1" t="s">
        <v>13</v>
      </c>
      <c r="HS2" s="1" t="s">
        <v>12</v>
      </c>
      <c r="HT2" s="1" t="s">
        <v>10</v>
      </c>
      <c r="HU2" s="1" t="s">
        <v>14</v>
      </c>
      <c r="HV2" s="1" t="s">
        <v>6</v>
      </c>
      <c r="HW2" s="1" t="s">
        <v>13</v>
      </c>
      <c r="HX2" s="1" t="s">
        <v>12</v>
      </c>
      <c r="HY2" s="1" t="s">
        <v>10</v>
      </c>
      <c r="HZ2" s="1" t="s">
        <v>6</v>
      </c>
      <c r="IA2" s="1" t="s">
        <v>12</v>
      </c>
      <c r="IB2" s="1" t="s">
        <v>14</v>
      </c>
      <c r="IC2" s="1" t="s">
        <v>13</v>
      </c>
      <c r="ID2" s="1" t="s">
        <v>10</v>
      </c>
      <c r="IE2" s="1" t="s">
        <v>14</v>
      </c>
      <c r="IF2" s="1" t="s">
        <v>12</v>
      </c>
      <c r="IG2" s="1" t="s">
        <v>6</v>
      </c>
      <c r="IH2" s="1" t="s">
        <v>13</v>
      </c>
      <c r="II2" s="1" t="s">
        <v>13</v>
      </c>
      <c r="IJ2" s="1" t="s">
        <v>6</v>
      </c>
      <c r="IK2" s="1" t="s">
        <v>12</v>
      </c>
      <c r="IL2" s="1" t="s">
        <v>10</v>
      </c>
      <c r="IM2" s="1" t="s">
        <v>14</v>
      </c>
      <c r="IN2" s="1" t="s">
        <v>13</v>
      </c>
      <c r="IO2" s="1" t="s">
        <v>6</v>
      </c>
      <c r="IP2" s="1" t="s">
        <v>12</v>
      </c>
      <c r="IQ2" s="1" t="s">
        <v>10</v>
      </c>
      <c r="IR2" s="1" t="s">
        <v>14</v>
      </c>
      <c r="IS2" s="1" t="s">
        <v>13</v>
      </c>
      <c r="IT2" s="1" t="s">
        <v>10</v>
      </c>
      <c r="IU2" s="1" t="s">
        <v>14</v>
      </c>
      <c r="IV2" s="1" t="s">
        <v>6</v>
      </c>
      <c r="IW2" s="1" t="s">
        <v>12</v>
      </c>
      <c r="IX2" s="1" t="s">
        <v>13</v>
      </c>
      <c r="IY2" s="1" t="s">
        <v>10</v>
      </c>
      <c r="IZ2" s="1" t="s">
        <v>14</v>
      </c>
      <c r="JA2" s="1" t="s">
        <v>6</v>
      </c>
      <c r="JB2" s="1" t="s">
        <v>12</v>
      </c>
      <c r="JC2" s="1" t="s">
        <v>12</v>
      </c>
      <c r="JD2" s="1" t="s">
        <v>6</v>
      </c>
      <c r="JE2" s="1" t="s">
        <v>10</v>
      </c>
      <c r="JF2" s="1" t="s">
        <v>13</v>
      </c>
      <c r="JG2" s="1" t="s">
        <v>14</v>
      </c>
      <c r="JH2" s="1" t="s">
        <v>12</v>
      </c>
      <c r="JI2" s="1" t="s">
        <v>6</v>
      </c>
      <c r="JJ2" s="1" t="s">
        <v>10</v>
      </c>
      <c r="JK2" s="1" t="s">
        <v>13</v>
      </c>
      <c r="JL2" s="1" t="s">
        <v>14</v>
      </c>
      <c r="JM2" s="1" t="s">
        <v>13</v>
      </c>
      <c r="JN2" s="1" t="s">
        <v>10</v>
      </c>
      <c r="JO2" s="1" t="s">
        <v>14</v>
      </c>
      <c r="JP2" s="1" t="s">
        <v>6</v>
      </c>
      <c r="JQ2" s="1" t="s">
        <v>12</v>
      </c>
      <c r="JR2" s="1" t="s">
        <v>6</v>
      </c>
      <c r="JS2" s="1" t="s">
        <v>13</v>
      </c>
      <c r="JT2" s="1" t="s">
        <v>10</v>
      </c>
      <c r="JU2" s="1" t="s">
        <v>6</v>
      </c>
      <c r="JV2" s="1" t="s">
        <v>14</v>
      </c>
      <c r="JW2" s="1" t="s">
        <v>12</v>
      </c>
      <c r="JX2" s="1" t="s">
        <v>14</v>
      </c>
      <c r="JY2" s="1" t="s">
        <v>6</v>
      </c>
      <c r="JZ2" s="1" t="s">
        <v>13</v>
      </c>
      <c r="KA2" s="1" t="s">
        <v>10</v>
      </c>
      <c r="KB2" s="1" t="s">
        <v>12</v>
      </c>
      <c r="KC2" s="1" t="s">
        <v>13</v>
      </c>
      <c r="KD2" s="1" t="s">
        <v>10</v>
      </c>
      <c r="KE2" s="1" t="s">
        <v>6</v>
      </c>
      <c r="KF2" s="1" t="s">
        <v>14</v>
      </c>
      <c r="KG2" s="1" t="s">
        <v>12</v>
      </c>
      <c r="KH2" s="1" t="s">
        <v>12</v>
      </c>
      <c r="KI2" s="1" t="s">
        <v>6</v>
      </c>
      <c r="KJ2" s="1" t="s">
        <v>10</v>
      </c>
      <c r="KK2" s="1" t="s">
        <v>13</v>
      </c>
      <c r="KL2" s="1" t="s">
        <v>14</v>
      </c>
      <c r="KM2" s="1" t="s">
        <v>13</v>
      </c>
      <c r="KN2" s="1" t="s">
        <v>12</v>
      </c>
      <c r="KO2" s="1" t="s">
        <v>6</v>
      </c>
      <c r="KP2" s="1" t="s">
        <v>10</v>
      </c>
      <c r="KQ2" s="1" t="s">
        <v>14</v>
      </c>
      <c r="KR2" s="1" t="s">
        <v>13</v>
      </c>
      <c r="KS2" s="1" t="s">
        <v>10</v>
      </c>
      <c r="KT2" s="1" t="s">
        <v>6</v>
      </c>
      <c r="KU2" s="1" t="s">
        <v>14</v>
      </c>
      <c r="KV2" s="1" t="s">
        <v>12</v>
      </c>
      <c r="KW2" s="1" t="s">
        <v>12</v>
      </c>
      <c r="KX2" s="1" t="s">
        <v>14</v>
      </c>
      <c r="KY2" s="1" t="s">
        <v>6</v>
      </c>
      <c r="KZ2" s="1" t="s">
        <v>13</v>
      </c>
      <c r="LA2" s="1" t="s">
        <v>10</v>
      </c>
      <c r="LB2" s="1" t="s">
        <v>12</v>
      </c>
      <c r="LC2" s="1" t="s">
        <v>14</v>
      </c>
      <c r="LD2" s="1" t="s">
        <v>6</v>
      </c>
      <c r="LE2" s="1" t="s">
        <v>13</v>
      </c>
      <c r="LF2" s="1" t="s">
        <v>10</v>
      </c>
      <c r="LG2" s="1" t="s">
        <v>14</v>
      </c>
      <c r="LH2" s="1" t="s">
        <v>6</v>
      </c>
      <c r="LI2" s="1" t="s">
        <v>10</v>
      </c>
      <c r="LJ2" s="1" t="s">
        <v>12</v>
      </c>
      <c r="LK2" s="1" t="s">
        <v>13</v>
      </c>
      <c r="LL2" s="1" t="s">
        <v>14</v>
      </c>
      <c r="LM2" s="1" t="s">
        <v>6</v>
      </c>
      <c r="LN2" s="1" t="s">
        <v>10</v>
      </c>
      <c r="LO2" s="1" t="s">
        <v>12</v>
      </c>
      <c r="LP2" s="1" t="s">
        <v>13</v>
      </c>
      <c r="LQ2" s="1" t="s">
        <v>10</v>
      </c>
      <c r="LR2" s="1" t="s">
        <v>6</v>
      </c>
      <c r="LS2" s="1" t="s">
        <v>12</v>
      </c>
      <c r="LT2" s="1" t="s">
        <v>13</v>
      </c>
      <c r="LU2" s="1" t="s">
        <v>14</v>
      </c>
      <c r="LV2" s="1" t="s">
        <v>12</v>
      </c>
      <c r="LW2" s="1" t="s">
        <v>14</v>
      </c>
      <c r="LX2" s="1" t="s">
        <v>6</v>
      </c>
      <c r="LY2" s="1" t="s">
        <v>13</v>
      </c>
      <c r="LZ2" s="1" t="s">
        <v>10</v>
      </c>
      <c r="MA2" s="1" t="s">
        <v>10</v>
      </c>
      <c r="MB2" s="1" t="s">
        <v>14</v>
      </c>
      <c r="MC2" s="1" t="s">
        <v>6</v>
      </c>
      <c r="MD2" s="1" t="s">
        <v>13</v>
      </c>
      <c r="ME2" s="1" t="s">
        <v>12</v>
      </c>
      <c r="MF2" s="1" t="s">
        <v>13</v>
      </c>
      <c r="MG2" s="1" t="s">
        <v>10</v>
      </c>
      <c r="MH2" s="1" t="s">
        <v>14</v>
      </c>
      <c r="MI2" s="1" t="s">
        <v>6</v>
      </c>
      <c r="MJ2" s="1" t="s">
        <v>12</v>
      </c>
      <c r="MK2" s="1" t="s">
        <v>12</v>
      </c>
      <c r="ML2" s="1" t="s">
        <v>6</v>
      </c>
      <c r="MM2" s="1" t="s">
        <v>10</v>
      </c>
      <c r="MN2" s="1" t="s">
        <v>13</v>
      </c>
      <c r="MO2" s="1" t="s">
        <v>14</v>
      </c>
      <c r="MP2" s="1" t="s">
        <v>14</v>
      </c>
      <c r="MQ2" s="1" t="s">
        <v>6</v>
      </c>
      <c r="MR2" s="1" t="s">
        <v>13</v>
      </c>
      <c r="MS2" s="1" t="s">
        <v>10</v>
      </c>
      <c r="MT2" s="1" t="s">
        <v>12</v>
      </c>
      <c r="MU2" s="1" t="s">
        <v>12</v>
      </c>
      <c r="MV2" s="1" t="s">
        <v>6</v>
      </c>
      <c r="MW2" s="1" t="s">
        <v>10</v>
      </c>
      <c r="MX2" s="1" t="s">
        <v>13</v>
      </c>
      <c r="MY2" s="1" t="s">
        <v>14</v>
      </c>
      <c r="MZ2" s="1" t="s">
        <v>14</v>
      </c>
      <c r="NA2" s="1" t="s">
        <v>6</v>
      </c>
      <c r="NB2" s="1" t="s">
        <v>10</v>
      </c>
      <c r="NC2" s="1" t="s">
        <v>12</v>
      </c>
      <c r="ND2" s="1" t="s">
        <v>13</v>
      </c>
      <c r="NE2" s="1" t="s">
        <v>10</v>
      </c>
      <c r="NF2" s="1" t="s">
        <v>14</v>
      </c>
      <c r="NG2" s="1" t="s">
        <v>12</v>
      </c>
      <c r="NH2" s="1" t="s">
        <v>6</v>
      </c>
      <c r="NI2" s="1" t="s">
        <v>13</v>
      </c>
      <c r="NJ2" s="1" t="s">
        <v>6</v>
      </c>
      <c r="NK2" s="1" t="s">
        <v>12</v>
      </c>
      <c r="NL2" s="1" t="s">
        <v>14</v>
      </c>
      <c r="NM2" s="1" t="s">
        <v>13</v>
      </c>
      <c r="NN2" s="1" t="s">
        <v>10</v>
      </c>
      <c r="NO2" s="1" t="s">
        <v>10</v>
      </c>
      <c r="NP2" s="1" t="s">
        <v>6</v>
      </c>
      <c r="NQ2" s="1" t="s">
        <v>12</v>
      </c>
      <c r="NR2" s="1" t="s">
        <v>13</v>
      </c>
      <c r="NS2" s="1" t="s">
        <v>14</v>
      </c>
      <c r="NT2" s="1" t="s">
        <v>10</v>
      </c>
      <c r="NU2" s="1" t="s">
        <v>6</v>
      </c>
      <c r="NV2" s="1" t="s">
        <v>12</v>
      </c>
      <c r="NW2" s="1" t="s">
        <v>14</v>
      </c>
      <c r="NX2" s="1" t="s">
        <v>13</v>
      </c>
      <c r="NY2" s="1" t="s">
        <v>10</v>
      </c>
      <c r="NZ2" s="1" t="s">
        <v>14</v>
      </c>
      <c r="OA2" s="1" t="s">
        <v>12</v>
      </c>
      <c r="OB2" s="1" t="s">
        <v>6</v>
      </c>
      <c r="OC2" s="1" t="s">
        <v>13</v>
      </c>
      <c r="OD2" s="1" t="s">
        <v>12</v>
      </c>
      <c r="OE2" s="1" t="s">
        <v>6</v>
      </c>
      <c r="OF2" s="1" t="s">
        <v>13</v>
      </c>
      <c r="OG2" s="1" t="s">
        <v>14</v>
      </c>
      <c r="OH2" s="1" t="s">
        <v>10</v>
      </c>
      <c r="OI2" s="1" t="s">
        <v>13</v>
      </c>
      <c r="OJ2" s="1" t="s">
        <v>12</v>
      </c>
      <c r="OK2" s="1" t="s">
        <v>6</v>
      </c>
      <c r="OL2" s="1" t="s">
        <v>10</v>
      </c>
      <c r="OM2" s="1" t="s">
        <v>14</v>
      </c>
      <c r="ON2" s="1" t="s">
        <v>13</v>
      </c>
      <c r="OO2" s="1" t="s">
        <v>10</v>
      </c>
      <c r="OP2" s="1" t="s">
        <v>14</v>
      </c>
      <c r="OQ2" s="1" t="s">
        <v>6</v>
      </c>
      <c r="OR2" s="1" t="s">
        <v>12</v>
      </c>
      <c r="OS2" s="1" t="s">
        <v>13</v>
      </c>
      <c r="OT2" s="1" t="s">
        <v>6</v>
      </c>
      <c r="OU2" s="1" t="s">
        <v>12</v>
      </c>
      <c r="OV2" s="1" t="s">
        <v>10</v>
      </c>
      <c r="OW2" s="1" t="s">
        <v>14</v>
      </c>
      <c r="OX2" s="1" t="s">
        <v>10</v>
      </c>
      <c r="OY2" s="1" t="s">
        <v>6</v>
      </c>
      <c r="OZ2" s="1" t="s">
        <v>12</v>
      </c>
      <c r="PA2" s="1" t="s">
        <v>13</v>
      </c>
      <c r="PB2" s="1" t="s">
        <v>14</v>
      </c>
      <c r="PC2" s="1" t="s">
        <v>13</v>
      </c>
      <c r="PD2" s="1" t="s">
        <v>10</v>
      </c>
      <c r="PE2" s="1" t="s">
        <v>6</v>
      </c>
      <c r="PF2" s="1" t="s">
        <v>14</v>
      </c>
      <c r="PG2" s="1" t="s">
        <v>12</v>
      </c>
      <c r="PH2" s="1" t="s">
        <v>13</v>
      </c>
      <c r="PI2" s="1" t="s">
        <v>10</v>
      </c>
      <c r="PJ2" s="1" t="s">
        <v>6</v>
      </c>
      <c r="PK2" s="1" t="s">
        <v>14</v>
      </c>
      <c r="PL2" s="1" t="s">
        <v>12</v>
      </c>
      <c r="PM2" s="1" t="s">
        <v>13</v>
      </c>
      <c r="PN2" s="1" t="s">
        <v>6</v>
      </c>
      <c r="PO2" s="1" t="s">
        <v>12</v>
      </c>
      <c r="PP2" s="1" t="s">
        <v>10</v>
      </c>
      <c r="PQ2" s="1" t="s">
        <v>14</v>
      </c>
      <c r="PR2" s="1" t="s">
        <v>10</v>
      </c>
      <c r="PS2" s="1" t="s">
        <v>14</v>
      </c>
      <c r="PT2" s="1" t="s">
        <v>12</v>
      </c>
      <c r="PU2" s="1" t="s">
        <v>6</v>
      </c>
      <c r="PV2" s="1" t="s">
        <v>13</v>
      </c>
      <c r="PW2" s="1" t="s">
        <v>12</v>
      </c>
      <c r="PX2" s="1" t="s">
        <v>6</v>
      </c>
      <c r="PY2" s="1" t="s">
        <v>13</v>
      </c>
      <c r="PZ2" s="1" t="s">
        <v>14</v>
      </c>
      <c r="QA2" s="1" t="s">
        <v>10</v>
      </c>
      <c r="QB2" s="1" t="s">
        <v>13</v>
      </c>
      <c r="QC2" s="1" t="s">
        <v>12</v>
      </c>
      <c r="QD2" s="1" t="s">
        <v>6</v>
      </c>
      <c r="QE2" s="1" t="s">
        <v>10</v>
      </c>
      <c r="QF2" s="1" t="s">
        <v>14</v>
      </c>
      <c r="QG2" s="1" t="s">
        <v>10</v>
      </c>
      <c r="QH2" s="1" t="s">
        <v>14</v>
      </c>
      <c r="QI2" s="1" t="s">
        <v>6</v>
      </c>
      <c r="QJ2" s="1" t="s">
        <v>13</v>
      </c>
      <c r="QK2" s="1" t="s">
        <v>12</v>
      </c>
      <c r="QL2" s="1" t="s">
        <v>10</v>
      </c>
      <c r="QM2" s="1" t="s">
        <v>14</v>
      </c>
      <c r="QN2" s="1" t="s">
        <v>6</v>
      </c>
      <c r="QO2" s="1" t="s">
        <v>13</v>
      </c>
      <c r="QP2" s="1" t="s">
        <v>12</v>
      </c>
      <c r="QQ2" s="1" t="s">
        <v>12</v>
      </c>
      <c r="QR2" s="1" t="s">
        <v>6</v>
      </c>
      <c r="QS2" s="1" t="s">
        <v>13</v>
      </c>
      <c r="QT2" s="1" t="s">
        <v>14</v>
      </c>
      <c r="QU2" s="1" t="s">
        <v>10</v>
      </c>
      <c r="QV2" s="1" t="s">
        <v>13</v>
      </c>
      <c r="QW2" s="1" t="s">
        <v>6</v>
      </c>
      <c r="QX2" s="1" t="s">
        <v>12</v>
      </c>
      <c r="QY2" s="1" t="s">
        <v>10</v>
      </c>
      <c r="QZ2" s="1" t="s">
        <v>14</v>
      </c>
      <c r="RA2" s="1" t="s">
        <v>14</v>
      </c>
      <c r="RB2" s="1" t="s">
        <v>6</v>
      </c>
      <c r="RC2" s="1" t="s">
        <v>13</v>
      </c>
      <c r="RD2" s="1" t="s">
        <v>10</v>
      </c>
      <c r="RE2" s="1" t="s">
        <v>12</v>
      </c>
      <c r="RF2" s="1" t="s">
        <v>10</v>
      </c>
      <c r="RG2" s="1" t="s">
        <v>6</v>
      </c>
      <c r="RH2" s="1" t="s">
        <v>12</v>
      </c>
      <c r="RI2" s="1" t="s">
        <v>13</v>
      </c>
      <c r="RJ2" s="1" t="s">
        <v>14</v>
      </c>
      <c r="RK2" s="1" t="s">
        <v>10</v>
      </c>
      <c r="RL2" s="1" t="s">
        <v>14</v>
      </c>
      <c r="RM2" s="1" t="s">
        <v>6</v>
      </c>
      <c r="RN2" s="1" t="s">
        <v>13</v>
      </c>
      <c r="RO2" s="1" t="s">
        <v>12</v>
      </c>
      <c r="RP2" s="1" t="s">
        <v>12</v>
      </c>
      <c r="RQ2" s="1" t="s">
        <v>6</v>
      </c>
      <c r="RR2" s="1" t="s">
        <v>13</v>
      </c>
      <c r="RS2" s="1" t="s">
        <v>14</v>
      </c>
      <c r="RT2" s="1" t="s">
        <v>10</v>
      </c>
      <c r="RU2" s="1" t="s">
        <v>13</v>
      </c>
      <c r="RV2" s="1" t="s">
        <v>10</v>
      </c>
      <c r="RW2" s="1" t="s">
        <v>6</v>
      </c>
      <c r="RX2" s="1" t="s">
        <v>14</v>
      </c>
      <c r="RY2" s="1" t="s">
        <v>12</v>
      </c>
      <c r="RZ2" s="1" t="s">
        <v>14</v>
      </c>
      <c r="SA2" s="1" t="s">
        <v>6</v>
      </c>
      <c r="SB2" s="1" t="s">
        <v>13</v>
      </c>
      <c r="SC2" s="1" t="s">
        <v>10</v>
      </c>
      <c r="SD2" s="1" t="s">
        <v>12</v>
      </c>
      <c r="SE2" s="1" t="s">
        <v>10</v>
      </c>
      <c r="SF2" s="1" t="s">
        <v>6</v>
      </c>
      <c r="SG2" s="1" t="s">
        <v>12</v>
      </c>
      <c r="SH2" s="1" t="s">
        <v>14</v>
      </c>
      <c r="SI2" s="1" t="s">
        <v>13</v>
      </c>
      <c r="SJ2" s="1" t="s">
        <v>10</v>
      </c>
      <c r="SK2" s="1" t="s">
        <v>14</v>
      </c>
      <c r="SL2" s="1" t="s">
        <v>12</v>
      </c>
      <c r="SM2" s="1" t="s">
        <v>6</v>
      </c>
      <c r="SN2" s="1" t="s">
        <v>13</v>
      </c>
      <c r="SO2" s="1" t="s">
        <v>13</v>
      </c>
      <c r="SP2" s="1" t="s">
        <v>10</v>
      </c>
      <c r="SQ2" s="1" t="s">
        <v>14</v>
      </c>
      <c r="SR2" s="1" t="s">
        <v>6</v>
      </c>
      <c r="SS2" s="1" t="s">
        <v>12</v>
      </c>
      <c r="ST2" s="1" t="s">
        <v>10</v>
      </c>
      <c r="SU2" s="1" t="s">
        <v>6</v>
      </c>
      <c r="SV2" s="1" t="s">
        <v>12</v>
      </c>
      <c r="SW2" s="1" t="s">
        <v>13</v>
      </c>
      <c r="SX2" s="1" t="s">
        <v>14</v>
      </c>
      <c r="SY2" s="1" t="s">
        <v>6</v>
      </c>
      <c r="SZ2" s="1" t="s">
        <v>12</v>
      </c>
      <c r="TA2" s="1" t="s">
        <v>14</v>
      </c>
      <c r="TB2" s="1" t="s">
        <v>13</v>
      </c>
      <c r="TC2" s="1" t="s">
        <v>10</v>
      </c>
      <c r="TD2" s="1" t="s">
        <v>10</v>
      </c>
      <c r="TE2" s="1" t="s">
        <v>6</v>
      </c>
      <c r="TF2" s="1" t="s">
        <v>12</v>
      </c>
      <c r="TG2" s="1" t="s">
        <v>13</v>
      </c>
      <c r="TH2" s="1" t="s">
        <v>14</v>
      </c>
      <c r="TI2" s="1" t="s">
        <v>12</v>
      </c>
      <c r="TJ2" s="1" t="s">
        <v>6</v>
      </c>
      <c r="TK2" s="1" t="s">
        <v>10</v>
      </c>
      <c r="TL2" s="1" t="s">
        <v>13</v>
      </c>
      <c r="TM2" s="1" t="s">
        <v>14</v>
      </c>
      <c r="TN2" s="1" t="s">
        <v>12</v>
      </c>
      <c r="TO2" s="1" t="s">
        <v>14</v>
      </c>
      <c r="TP2" s="1" t="s">
        <v>6</v>
      </c>
      <c r="TQ2" s="1" t="s">
        <v>13</v>
      </c>
      <c r="TR2" s="1" t="s">
        <v>10</v>
      </c>
      <c r="TS2" s="1" t="s">
        <v>10</v>
      </c>
      <c r="TT2" s="1" t="s">
        <v>14</v>
      </c>
      <c r="TU2" s="1" t="s">
        <v>12</v>
      </c>
      <c r="TV2" s="1" t="s">
        <v>6</v>
      </c>
      <c r="TW2" s="1" t="s">
        <v>13</v>
      </c>
      <c r="TX2" s="1" t="s">
        <v>10</v>
      </c>
      <c r="TY2" s="1" t="s">
        <v>14</v>
      </c>
      <c r="TZ2" s="1" t="s">
        <v>12</v>
      </c>
      <c r="UA2" s="1" t="s">
        <v>6</v>
      </c>
      <c r="UB2" s="1" t="s">
        <v>13</v>
      </c>
      <c r="UC2" s="1" t="s">
        <v>10</v>
      </c>
      <c r="UD2" s="1" t="s">
        <v>14</v>
      </c>
      <c r="UE2" s="1" t="s">
        <v>6</v>
      </c>
      <c r="UF2" s="1" t="s">
        <v>13</v>
      </c>
      <c r="UG2" s="1" t="s">
        <v>12</v>
      </c>
      <c r="UH2" s="1" t="s">
        <v>10</v>
      </c>
      <c r="UI2" s="1" t="s">
        <v>14</v>
      </c>
      <c r="UJ2" s="1" t="s">
        <v>6</v>
      </c>
      <c r="UK2" s="1" t="s">
        <v>13</v>
      </c>
      <c r="UL2" s="1" t="s">
        <v>12</v>
      </c>
      <c r="UM2" s="1" t="s">
        <v>10</v>
      </c>
      <c r="UN2" s="1" t="s">
        <v>14</v>
      </c>
      <c r="UO2" s="1" t="s">
        <v>6</v>
      </c>
      <c r="UP2" s="1" t="s">
        <v>13</v>
      </c>
      <c r="UQ2" s="1" t="s">
        <v>12</v>
      </c>
      <c r="UR2" s="1" t="s">
        <v>10</v>
      </c>
      <c r="US2" s="1" t="s">
        <v>14</v>
      </c>
      <c r="UT2" s="1" t="s">
        <v>12</v>
      </c>
      <c r="UU2" s="1" t="s">
        <v>6</v>
      </c>
      <c r="UV2" s="1" t="s">
        <v>13</v>
      </c>
      <c r="UW2" s="1" t="s">
        <v>6</v>
      </c>
      <c r="UX2" s="1" t="s">
        <v>12</v>
      </c>
      <c r="UY2" s="1" t="s">
        <v>6</v>
      </c>
      <c r="UZ2" s="1" t="s">
        <v>13</v>
      </c>
      <c r="VA2" s="1" t="s">
        <v>14</v>
      </c>
      <c r="VB2" s="1" t="s">
        <v>10</v>
      </c>
      <c r="VC2" s="1" t="s">
        <v>6</v>
      </c>
      <c r="VD2" s="1" t="s">
        <v>12</v>
      </c>
      <c r="VE2" s="1" t="s">
        <v>14</v>
      </c>
      <c r="VF2" s="1" t="s">
        <v>13</v>
      </c>
      <c r="VG2" s="1" t="s">
        <v>10</v>
      </c>
      <c r="VH2" s="1" t="s">
        <v>14</v>
      </c>
      <c r="VI2" s="1" t="s">
        <v>6</v>
      </c>
      <c r="VJ2" s="1" t="s">
        <v>13</v>
      </c>
      <c r="VK2" s="1" t="s">
        <v>10</v>
      </c>
      <c r="VL2" s="1" t="s">
        <v>12</v>
      </c>
      <c r="VM2" s="1" t="s">
        <v>13</v>
      </c>
      <c r="VN2" s="1" t="s">
        <v>10</v>
      </c>
      <c r="VO2" s="1" t="s">
        <v>6</v>
      </c>
      <c r="VP2" s="1" t="s">
        <v>14</v>
      </c>
      <c r="VQ2" s="1" t="s">
        <v>12</v>
      </c>
      <c r="VR2" s="1" t="s">
        <v>13</v>
      </c>
      <c r="VS2" s="1" t="s">
        <v>6</v>
      </c>
      <c r="VT2" s="1" t="s">
        <v>12</v>
      </c>
      <c r="VU2" s="1" t="s">
        <v>10</v>
      </c>
      <c r="VV2" s="1" t="s">
        <v>14</v>
      </c>
      <c r="VW2" s="1" t="s">
        <v>10</v>
      </c>
      <c r="VX2" s="1" t="s">
        <v>14</v>
      </c>
      <c r="VY2" s="1" t="s">
        <v>6</v>
      </c>
      <c r="VZ2" s="1" t="s">
        <v>13</v>
      </c>
      <c r="WA2" s="1" t="s">
        <v>12</v>
      </c>
      <c r="WB2" s="1" t="s">
        <v>10</v>
      </c>
      <c r="WC2" s="1" t="s">
        <v>14</v>
      </c>
      <c r="WD2" s="1" t="s">
        <v>6</v>
      </c>
      <c r="WE2" s="1" t="s">
        <v>13</v>
      </c>
      <c r="WF2" s="1" t="s">
        <v>12</v>
      </c>
      <c r="WG2" s="1" t="s">
        <v>14</v>
      </c>
      <c r="WH2" s="1" t="s">
        <v>6</v>
      </c>
      <c r="WI2" s="1" t="s">
        <v>13</v>
      </c>
      <c r="WJ2" s="1" t="s">
        <v>10</v>
      </c>
      <c r="WK2" s="1" t="s">
        <v>12</v>
      </c>
      <c r="WL2" s="1" t="s">
        <v>12</v>
      </c>
      <c r="WM2" s="1" t="s">
        <v>6</v>
      </c>
      <c r="WN2" s="1" t="s">
        <v>13</v>
      </c>
      <c r="WO2" s="1" t="s">
        <v>14</v>
      </c>
      <c r="WP2" s="1" t="s">
        <v>10</v>
      </c>
      <c r="WQ2" s="1" t="s">
        <v>10</v>
      </c>
      <c r="WR2" s="1" t="s">
        <v>6</v>
      </c>
      <c r="WS2" s="1" t="s">
        <v>12</v>
      </c>
      <c r="WT2" s="1" t="s">
        <v>14</v>
      </c>
      <c r="WU2" s="1" t="s">
        <v>13</v>
      </c>
      <c r="WV2" s="1" t="s">
        <v>10</v>
      </c>
      <c r="WW2" s="1" t="s">
        <v>14</v>
      </c>
      <c r="WX2" s="1" t="s">
        <v>12</v>
      </c>
      <c r="WY2" s="1" t="s">
        <v>6</v>
      </c>
      <c r="WZ2" s="1" t="s">
        <v>13</v>
      </c>
      <c r="XA2" s="1" t="s">
        <v>6</v>
      </c>
      <c r="XB2" s="1" t="s">
        <v>12</v>
      </c>
      <c r="XC2" s="1" t="s">
        <v>14</v>
      </c>
      <c r="XD2" s="1" t="s">
        <v>13</v>
      </c>
      <c r="XE2" s="1" t="s">
        <v>10</v>
      </c>
      <c r="XF2" s="1" t="s">
        <v>10</v>
      </c>
      <c r="XG2" s="1" t="s">
        <v>6</v>
      </c>
      <c r="XH2" s="1" t="s">
        <v>12</v>
      </c>
      <c r="XI2" s="1" t="s">
        <v>13</v>
      </c>
      <c r="XJ2" s="1" t="s">
        <v>14</v>
      </c>
      <c r="XK2" s="1" t="s">
        <v>12</v>
      </c>
      <c r="XL2" s="1" t="s">
        <v>14</v>
      </c>
      <c r="XM2" s="1" t="s">
        <v>6</v>
      </c>
      <c r="XN2" s="1" t="s">
        <v>13</v>
      </c>
      <c r="XO2" s="1" t="s">
        <v>10</v>
      </c>
      <c r="XP2" s="1" t="s">
        <v>10</v>
      </c>
      <c r="XQ2" s="1" t="s">
        <v>14</v>
      </c>
      <c r="XR2" s="1" t="s">
        <v>12</v>
      </c>
      <c r="XS2" s="1" t="s">
        <v>6</v>
      </c>
      <c r="XT2" s="1" t="s">
        <v>13</v>
      </c>
      <c r="XU2" s="1" t="s">
        <v>12</v>
      </c>
      <c r="XV2" s="1" t="s">
        <v>6</v>
      </c>
      <c r="XW2" s="1" t="s">
        <v>13</v>
      </c>
      <c r="XX2" s="1" t="s">
        <v>14</v>
      </c>
      <c r="XY2" s="1" t="s">
        <v>10</v>
      </c>
      <c r="XZ2" s="1" t="s">
        <v>14</v>
      </c>
      <c r="YA2" s="1" t="s">
        <v>6</v>
      </c>
      <c r="YB2" s="1" t="s">
        <v>10</v>
      </c>
      <c r="YC2" s="1" t="s">
        <v>12</v>
      </c>
      <c r="YD2" s="1" t="s">
        <v>13</v>
      </c>
      <c r="YE2" s="1" t="s">
        <v>13</v>
      </c>
      <c r="YF2" s="1" t="s">
        <v>6</v>
      </c>
      <c r="YG2" s="1" t="s">
        <v>12</v>
      </c>
      <c r="YH2" s="1" t="s">
        <v>10</v>
      </c>
      <c r="YI2" s="1" t="s">
        <v>14</v>
      </c>
      <c r="YJ2" s="1" t="s">
        <v>10</v>
      </c>
      <c r="YK2" s="1" t="s">
        <v>14</v>
      </c>
      <c r="YL2" s="1" t="s">
        <v>6</v>
      </c>
      <c r="YM2" s="1" t="s">
        <v>13</v>
      </c>
      <c r="YN2" s="1" t="s">
        <v>12</v>
      </c>
      <c r="YO2" s="1" t="s">
        <v>12</v>
      </c>
      <c r="YP2" s="1" t="s">
        <v>6</v>
      </c>
      <c r="YQ2" s="1" t="s">
        <v>10</v>
      </c>
      <c r="YR2" s="1" t="s">
        <v>13</v>
      </c>
      <c r="YS2" s="1" t="s">
        <v>14</v>
      </c>
      <c r="YT2" s="1" t="s">
        <v>12</v>
      </c>
      <c r="YU2" s="1" t="s">
        <v>14</v>
      </c>
      <c r="YV2" s="1" t="s">
        <v>6</v>
      </c>
      <c r="YW2" s="1" t="s">
        <v>13</v>
      </c>
      <c r="YX2" s="1" t="s">
        <v>10</v>
      </c>
      <c r="YY2" s="1" t="s">
        <v>12</v>
      </c>
      <c r="YZ2" s="1" t="s">
        <v>6</v>
      </c>
      <c r="ZA2" s="1" t="s">
        <v>13</v>
      </c>
      <c r="ZB2" s="1" t="s">
        <v>14</v>
      </c>
      <c r="ZC2" s="1" t="s">
        <v>10</v>
      </c>
      <c r="ZD2" s="1" t="s">
        <v>13</v>
      </c>
      <c r="ZE2" s="1" t="s">
        <v>10</v>
      </c>
      <c r="ZF2" s="1" t="s">
        <v>14</v>
      </c>
      <c r="ZG2" s="1" t="s">
        <v>6</v>
      </c>
      <c r="ZH2" s="1" t="s">
        <v>12</v>
      </c>
      <c r="ZI2" s="1" t="s">
        <v>12</v>
      </c>
      <c r="ZJ2" s="1" t="s">
        <v>14</v>
      </c>
      <c r="ZK2" s="1" t="s">
        <v>6</v>
      </c>
      <c r="ZL2" s="1" t="s">
        <v>13</v>
      </c>
      <c r="ZM2" s="1" t="s">
        <v>10</v>
      </c>
      <c r="ZN2" s="1" t="s">
        <v>13</v>
      </c>
      <c r="ZO2" s="1" t="s">
        <v>12</v>
      </c>
      <c r="ZP2" s="1" t="s">
        <v>6</v>
      </c>
      <c r="ZQ2" s="1" t="s">
        <v>10</v>
      </c>
      <c r="ZR2" s="1" t="s">
        <v>14</v>
      </c>
      <c r="ZS2" s="1" t="s">
        <v>10</v>
      </c>
      <c r="ZT2" s="1" t="s">
        <v>14</v>
      </c>
      <c r="ZU2" s="1" t="s">
        <v>12</v>
      </c>
      <c r="ZV2" s="1" t="s">
        <v>6</v>
      </c>
      <c r="ZW2" s="1" t="s">
        <v>13</v>
      </c>
      <c r="ZX2" s="1" t="s">
        <v>10</v>
      </c>
      <c r="ZY2" s="1" t="s">
        <v>14</v>
      </c>
      <c r="ZZ2" s="1" t="s">
        <v>6</v>
      </c>
      <c r="AAA2" s="1" t="s">
        <v>13</v>
      </c>
      <c r="AAB2" s="1" t="s">
        <v>12</v>
      </c>
      <c r="AAC2" s="1" t="s">
        <v>10</v>
      </c>
      <c r="AAD2" s="1" t="s">
        <v>14</v>
      </c>
      <c r="AAE2" s="1" t="s">
        <v>12</v>
      </c>
      <c r="AAF2" s="1" t="s">
        <v>6</v>
      </c>
      <c r="AAG2" s="1" t="s">
        <v>13</v>
      </c>
      <c r="AAH2" s="1" t="s">
        <v>10</v>
      </c>
      <c r="AAI2" s="1" t="s">
        <v>14</v>
      </c>
      <c r="AAJ2" s="1" t="s">
        <v>6</v>
      </c>
      <c r="AAK2" s="1" t="s">
        <v>13</v>
      </c>
      <c r="AAL2" s="1" t="s">
        <v>12</v>
      </c>
      <c r="AAM2" s="1" t="s">
        <v>13</v>
      </c>
      <c r="AAN2" s="1" t="s">
        <v>10</v>
      </c>
      <c r="AAO2" s="1" t="s">
        <v>14</v>
      </c>
      <c r="AAP2" s="1" t="s">
        <v>6</v>
      </c>
      <c r="AAQ2" s="1" t="s">
        <v>12</v>
      </c>
      <c r="AAR2" s="1" t="s">
        <v>14</v>
      </c>
      <c r="AAS2" s="1" t="s">
        <v>6</v>
      </c>
      <c r="AAT2" s="1" t="s">
        <v>10</v>
      </c>
      <c r="AAU2" s="1" t="s">
        <v>12</v>
      </c>
      <c r="AAV2" s="1" t="s">
        <v>13</v>
      </c>
      <c r="AAW2" s="1" t="s">
        <v>13</v>
      </c>
      <c r="AAX2" s="1" t="s">
        <v>10</v>
      </c>
      <c r="AAY2" s="1" t="s">
        <v>14</v>
      </c>
      <c r="AAZ2" s="1" t="s">
        <v>6</v>
      </c>
      <c r="ABA2" s="1" t="s">
        <v>12</v>
      </c>
      <c r="ABB2" s="1" t="s">
        <v>14</v>
      </c>
    </row>
    <row r="3" spans="1:730" x14ac:dyDescent="0.15">
      <c r="A3" s="2">
        <v>44986</v>
      </c>
      <c r="B3" s="1" t="s">
        <v>6</v>
      </c>
      <c r="C3" s="1" t="s">
        <v>8</v>
      </c>
      <c r="D3" s="1">
        <v>216.24761962890599</v>
      </c>
      <c r="E3" s="1">
        <v>812.49295312482695</v>
      </c>
      <c r="F3" s="1">
        <v>1374.87341308593</v>
      </c>
      <c r="G3" s="1" t="s">
        <v>2</v>
      </c>
      <c r="H3" s="1" t="s">
        <v>7</v>
      </c>
      <c r="I3" s="1" t="s">
        <v>8</v>
      </c>
      <c r="J3" s="1" t="s">
        <v>9</v>
      </c>
      <c r="K3" s="1" t="s">
        <v>11</v>
      </c>
      <c r="L3" s="1" t="s">
        <v>11</v>
      </c>
      <c r="M3" s="1" t="s">
        <v>11</v>
      </c>
      <c r="N3" s="1" t="s">
        <v>11</v>
      </c>
      <c r="O3" s="1" t="s">
        <v>11</v>
      </c>
      <c r="P3" s="1" t="s">
        <v>9</v>
      </c>
      <c r="Q3" s="1" t="s">
        <v>9</v>
      </c>
      <c r="R3" s="1" t="s">
        <v>9</v>
      </c>
      <c r="S3" s="1" t="s">
        <v>9</v>
      </c>
      <c r="T3" s="1" t="s">
        <v>9</v>
      </c>
      <c r="U3" s="1" t="s">
        <v>15</v>
      </c>
      <c r="V3" s="1" t="s">
        <v>15</v>
      </c>
      <c r="W3" s="1" t="s">
        <v>15</v>
      </c>
      <c r="X3" s="1" t="s">
        <v>15</v>
      </c>
      <c r="Y3" s="1" t="s">
        <v>15</v>
      </c>
      <c r="Z3" s="1" t="s">
        <v>16</v>
      </c>
      <c r="AA3" s="1" t="s">
        <v>16</v>
      </c>
      <c r="AB3" s="1" t="s">
        <v>16</v>
      </c>
      <c r="AC3" s="1" t="s">
        <v>16</v>
      </c>
      <c r="AD3" s="1" t="s">
        <v>16</v>
      </c>
      <c r="AE3" s="1" t="s">
        <v>17</v>
      </c>
      <c r="AF3" s="1" t="s">
        <v>17</v>
      </c>
      <c r="AG3" s="1" t="s">
        <v>17</v>
      </c>
      <c r="AH3" s="1" t="s">
        <v>17</v>
      </c>
      <c r="AI3" s="1" t="s">
        <v>17</v>
      </c>
      <c r="AJ3" s="1" t="s">
        <v>7</v>
      </c>
      <c r="AK3" s="1" t="s">
        <v>7</v>
      </c>
      <c r="AL3" s="1" t="s">
        <v>7</v>
      </c>
      <c r="AM3" s="1" t="s">
        <v>7</v>
      </c>
      <c r="AN3" s="1" t="s">
        <v>7</v>
      </c>
      <c r="AO3" s="1" t="s">
        <v>8</v>
      </c>
      <c r="AP3" s="1" t="s">
        <v>8</v>
      </c>
      <c r="AQ3" s="1" t="s">
        <v>8</v>
      </c>
      <c r="AR3" s="1" t="s">
        <v>8</v>
      </c>
      <c r="AS3" s="1" t="s">
        <v>8</v>
      </c>
      <c r="AT3" s="1" t="s">
        <v>18</v>
      </c>
      <c r="AU3" s="1" t="s">
        <v>19</v>
      </c>
      <c r="AV3" s="1" t="s">
        <v>19</v>
      </c>
      <c r="AW3" s="1" t="s">
        <v>19</v>
      </c>
      <c r="AX3" s="1" t="s">
        <v>19</v>
      </c>
      <c r="AY3" s="1" t="s">
        <v>19</v>
      </c>
      <c r="AZ3" s="1" t="s">
        <v>18</v>
      </c>
      <c r="BA3" s="1" t="s">
        <v>18</v>
      </c>
      <c r="BB3" s="1" t="s">
        <v>18</v>
      </c>
      <c r="BC3" s="1" t="s">
        <v>18</v>
      </c>
      <c r="BD3" s="1" t="s">
        <v>18</v>
      </c>
      <c r="BE3" s="1" t="s">
        <v>17</v>
      </c>
      <c r="BF3" s="1" t="s">
        <v>17</v>
      </c>
      <c r="BG3" s="1" t="s">
        <v>17</v>
      </c>
      <c r="BH3" s="1" t="s">
        <v>17</v>
      </c>
      <c r="BI3" s="1" t="s">
        <v>17</v>
      </c>
      <c r="BJ3" s="1" t="s">
        <v>18</v>
      </c>
      <c r="BK3" s="1" t="s">
        <v>18</v>
      </c>
      <c r="BL3" s="1" t="s">
        <v>18</v>
      </c>
      <c r="BM3" s="1" t="s">
        <v>18</v>
      </c>
      <c r="BN3" s="1" t="s">
        <v>18</v>
      </c>
      <c r="BO3" s="1" t="s">
        <v>18</v>
      </c>
      <c r="BP3" s="1" t="s">
        <v>18</v>
      </c>
      <c r="BQ3" s="1" t="s">
        <v>18</v>
      </c>
      <c r="BR3" s="1" t="s">
        <v>18</v>
      </c>
      <c r="BS3" s="1" t="s">
        <v>18</v>
      </c>
      <c r="BT3" s="1" t="s">
        <v>15</v>
      </c>
      <c r="BU3" s="1" t="s">
        <v>15</v>
      </c>
      <c r="BV3" s="1" t="s">
        <v>15</v>
      </c>
      <c r="BW3" s="1" t="s">
        <v>15</v>
      </c>
      <c r="BX3" s="1" t="s">
        <v>15</v>
      </c>
      <c r="BY3" s="1" t="s">
        <v>20</v>
      </c>
      <c r="BZ3" s="1" t="s">
        <v>20</v>
      </c>
      <c r="CA3" s="1" t="s">
        <v>20</v>
      </c>
      <c r="CB3" s="1" t="s">
        <v>20</v>
      </c>
      <c r="CC3" s="1" t="s">
        <v>20</v>
      </c>
      <c r="CD3" s="1" t="s">
        <v>21</v>
      </c>
      <c r="CE3" s="1" t="s">
        <v>21</v>
      </c>
      <c r="CF3" s="1" t="s">
        <v>21</v>
      </c>
      <c r="CG3" s="1" t="s">
        <v>21</v>
      </c>
      <c r="CH3" s="1" t="s">
        <v>21</v>
      </c>
      <c r="CI3" s="1" t="s">
        <v>22</v>
      </c>
      <c r="CJ3" s="1" t="s">
        <v>22</v>
      </c>
      <c r="CK3" s="1" t="s">
        <v>22</v>
      </c>
      <c r="CL3" s="1" t="s">
        <v>22</v>
      </c>
      <c r="CM3" s="1" t="s">
        <v>22</v>
      </c>
      <c r="CN3" s="1" t="s">
        <v>19</v>
      </c>
      <c r="CO3" s="1" t="s">
        <v>19</v>
      </c>
      <c r="CP3" s="1" t="s">
        <v>19</v>
      </c>
      <c r="CQ3" s="1" t="s">
        <v>19</v>
      </c>
      <c r="CR3" s="1" t="s">
        <v>19</v>
      </c>
      <c r="CS3" s="1" t="s">
        <v>17</v>
      </c>
      <c r="CT3" s="1" t="s">
        <v>17</v>
      </c>
      <c r="CU3" s="1" t="s">
        <v>17</v>
      </c>
      <c r="CV3" s="1" t="s">
        <v>17</v>
      </c>
      <c r="CW3" s="1" t="s">
        <v>17</v>
      </c>
      <c r="CX3" s="1" t="s">
        <v>7</v>
      </c>
      <c r="CY3" s="1" t="s">
        <v>7</v>
      </c>
      <c r="CZ3" s="1" t="s">
        <v>7</v>
      </c>
      <c r="DA3" s="1" t="s">
        <v>7</v>
      </c>
      <c r="DB3" s="1" t="s">
        <v>7</v>
      </c>
      <c r="DC3" s="1" t="s">
        <v>20</v>
      </c>
      <c r="DD3" s="1" t="s">
        <v>20</v>
      </c>
      <c r="DE3" s="1" t="s">
        <v>20</v>
      </c>
      <c r="DF3" s="1" t="s">
        <v>20</v>
      </c>
      <c r="DG3" s="1" t="s">
        <v>20</v>
      </c>
      <c r="DH3" s="1" t="s">
        <v>8</v>
      </c>
      <c r="DI3" s="1" t="s">
        <v>8</v>
      </c>
      <c r="DJ3" s="1" t="s">
        <v>8</v>
      </c>
      <c r="DK3" s="1" t="s">
        <v>8</v>
      </c>
      <c r="DL3" s="1" t="s">
        <v>8</v>
      </c>
      <c r="DM3" s="1" t="s">
        <v>15</v>
      </c>
      <c r="DN3" s="1" t="s">
        <v>15</v>
      </c>
      <c r="DO3" s="1" t="s">
        <v>15</v>
      </c>
      <c r="DP3" s="1" t="s">
        <v>15</v>
      </c>
      <c r="DQ3" s="1" t="s">
        <v>15</v>
      </c>
      <c r="DR3" s="1" t="s">
        <v>20</v>
      </c>
      <c r="DS3" s="1" t="s">
        <v>20</v>
      </c>
      <c r="DT3" s="1" t="s">
        <v>20</v>
      </c>
      <c r="DU3" s="1" t="s">
        <v>20</v>
      </c>
      <c r="DV3" s="1" t="s">
        <v>20</v>
      </c>
      <c r="DW3" s="1" t="s">
        <v>20</v>
      </c>
      <c r="DX3" s="1" t="s">
        <v>20</v>
      </c>
      <c r="DY3" s="1" t="s">
        <v>20</v>
      </c>
      <c r="DZ3" s="1" t="s">
        <v>20</v>
      </c>
      <c r="EA3" s="1" t="s">
        <v>20</v>
      </c>
      <c r="EB3" s="1" t="s">
        <v>9</v>
      </c>
      <c r="EC3" s="1" t="s">
        <v>9</v>
      </c>
      <c r="ED3" s="1" t="s">
        <v>9</v>
      </c>
      <c r="EE3" s="1" t="s">
        <v>9</v>
      </c>
      <c r="EF3" s="1" t="s">
        <v>9</v>
      </c>
      <c r="EG3" s="1" t="s">
        <v>17</v>
      </c>
      <c r="EH3" s="1" t="s">
        <v>17</v>
      </c>
      <c r="EI3" s="1" t="s">
        <v>17</v>
      </c>
      <c r="EJ3" s="1" t="s">
        <v>17</v>
      </c>
      <c r="EK3" s="1" t="s">
        <v>17</v>
      </c>
      <c r="EL3" s="1" t="s">
        <v>15</v>
      </c>
      <c r="EM3" s="1" t="s">
        <v>15</v>
      </c>
      <c r="EN3" s="1" t="s">
        <v>15</v>
      </c>
      <c r="EO3" s="1" t="s">
        <v>15</v>
      </c>
      <c r="EP3" s="1" t="s">
        <v>15</v>
      </c>
      <c r="EQ3" s="1" t="s">
        <v>17</v>
      </c>
      <c r="ER3" s="1" t="s">
        <v>17</v>
      </c>
      <c r="ES3" s="1" t="s">
        <v>17</v>
      </c>
      <c r="ET3" s="1" t="s">
        <v>17</v>
      </c>
      <c r="EU3" s="1" t="s">
        <v>17</v>
      </c>
      <c r="EV3" s="1" t="s">
        <v>7</v>
      </c>
      <c r="EW3" s="1" t="s">
        <v>7</v>
      </c>
      <c r="EX3" s="1" t="s">
        <v>7</v>
      </c>
      <c r="EY3" s="1" t="s">
        <v>7</v>
      </c>
      <c r="EZ3" s="1" t="s">
        <v>7</v>
      </c>
      <c r="FA3" s="1" t="s">
        <v>8</v>
      </c>
      <c r="FB3" s="1" t="s">
        <v>8</v>
      </c>
      <c r="FC3" s="1" t="s">
        <v>8</v>
      </c>
      <c r="FD3" s="1" t="s">
        <v>8</v>
      </c>
      <c r="FE3" s="1" t="s">
        <v>8</v>
      </c>
      <c r="FF3" s="1" t="s">
        <v>15</v>
      </c>
      <c r="FG3" s="1" t="s">
        <v>15</v>
      </c>
      <c r="FH3" s="1" t="s">
        <v>15</v>
      </c>
      <c r="FI3" s="1" t="s">
        <v>15</v>
      </c>
      <c r="FJ3" s="1" t="s">
        <v>15</v>
      </c>
      <c r="FK3" s="1" t="s">
        <v>9</v>
      </c>
      <c r="FL3" s="1" t="s">
        <v>9</v>
      </c>
      <c r="FM3" s="1" t="s">
        <v>9</v>
      </c>
      <c r="FN3" s="1" t="s">
        <v>9</v>
      </c>
      <c r="FO3" s="1" t="s">
        <v>9</v>
      </c>
      <c r="FP3" s="1" t="s">
        <v>9</v>
      </c>
      <c r="FQ3" s="1" t="s">
        <v>9</v>
      </c>
      <c r="FR3" s="1" t="s">
        <v>9</v>
      </c>
      <c r="FS3" s="1" t="s">
        <v>9</v>
      </c>
      <c r="FT3" s="1" t="s">
        <v>9</v>
      </c>
      <c r="FU3" s="1" t="s">
        <v>17</v>
      </c>
      <c r="FV3" s="1" t="s">
        <v>17</v>
      </c>
      <c r="FW3" s="1" t="s">
        <v>17</v>
      </c>
      <c r="FX3" s="1" t="s">
        <v>17</v>
      </c>
      <c r="FY3" s="1" t="s">
        <v>17</v>
      </c>
      <c r="FZ3" s="1" t="s">
        <v>23</v>
      </c>
      <c r="GA3" s="1" t="s">
        <v>23</v>
      </c>
      <c r="GB3" s="1" t="s">
        <v>23</v>
      </c>
      <c r="GC3" s="1" t="s">
        <v>23</v>
      </c>
      <c r="GD3" s="1" t="s">
        <v>23</v>
      </c>
      <c r="GE3" s="1" t="s">
        <v>15</v>
      </c>
      <c r="GF3" s="1" t="s">
        <v>24</v>
      </c>
      <c r="GG3" s="1" t="s">
        <v>24</v>
      </c>
      <c r="GH3" s="1" t="s">
        <v>24</v>
      </c>
      <c r="GI3" s="1" t="s">
        <v>24</v>
      </c>
      <c r="GJ3" s="1" t="s">
        <v>24</v>
      </c>
      <c r="GK3" s="1" t="s">
        <v>21</v>
      </c>
      <c r="GL3" s="1" t="s">
        <v>21</v>
      </c>
      <c r="GM3" s="1" t="s">
        <v>21</v>
      </c>
      <c r="GN3" s="1" t="s">
        <v>21</v>
      </c>
      <c r="GO3" s="1" t="s">
        <v>21</v>
      </c>
      <c r="GP3" s="1" t="s">
        <v>18</v>
      </c>
      <c r="GQ3" s="1" t="s">
        <v>18</v>
      </c>
      <c r="GR3" s="1" t="s">
        <v>18</v>
      </c>
      <c r="GS3" s="1" t="s">
        <v>18</v>
      </c>
      <c r="GT3" s="1" t="s">
        <v>18</v>
      </c>
      <c r="GU3" s="1" t="s">
        <v>21</v>
      </c>
      <c r="GV3" s="1" t="s">
        <v>21</v>
      </c>
      <c r="GW3" s="1" t="s">
        <v>21</v>
      </c>
      <c r="GX3" s="1" t="s">
        <v>21</v>
      </c>
      <c r="GY3" s="1" t="s">
        <v>21</v>
      </c>
      <c r="GZ3" s="1" t="s">
        <v>9</v>
      </c>
      <c r="HA3" s="1" t="s">
        <v>9</v>
      </c>
      <c r="HB3" s="1" t="s">
        <v>9</v>
      </c>
      <c r="HC3" s="1" t="s">
        <v>9</v>
      </c>
      <c r="HD3" s="1" t="s">
        <v>9</v>
      </c>
      <c r="HE3" s="1" t="s">
        <v>16</v>
      </c>
      <c r="HF3" s="1" t="s">
        <v>16</v>
      </c>
      <c r="HG3" s="1" t="s">
        <v>16</v>
      </c>
      <c r="HH3" s="1" t="s">
        <v>16</v>
      </c>
      <c r="HI3" s="1" t="s">
        <v>16</v>
      </c>
      <c r="HJ3" s="1" t="s">
        <v>16</v>
      </c>
      <c r="HK3" s="1" t="s">
        <v>16</v>
      </c>
      <c r="HL3" s="1" t="s">
        <v>16</v>
      </c>
      <c r="HM3" s="1" t="s">
        <v>16</v>
      </c>
      <c r="HN3" s="1" t="s">
        <v>16</v>
      </c>
      <c r="HO3" s="1" t="s">
        <v>19</v>
      </c>
      <c r="HP3" s="1" t="s">
        <v>19</v>
      </c>
      <c r="HQ3" s="1" t="s">
        <v>19</v>
      </c>
      <c r="HR3" s="1" t="s">
        <v>19</v>
      </c>
      <c r="HS3" s="1" t="s">
        <v>19</v>
      </c>
      <c r="HT3" s="1" t="s">
        <v>21</v>
      </c>
      <c r="HU3" s="1" t="s">
        <v>21</v>
      </c>
      <c r="HV3" s="1" t="s">
        <v>21</v>
      </c>
      <c r="HW3" s="1" t="s">
        <v>21</v>
      </c>
      <c r="HX3" s="1" t="s">
        <v>21</v>
      </c>
      <c r="HY3" s="1" t="s">
        <v>15</v>
      </c>
      <c r="HZ3" s="1" t="s">
        <v>15</v>
      </c>
      <c r="IA3" s="1" t="s">
        <v>15</v>
      </c>
      <c r="IB3" s="1" t="s">
        <v>15</v>
      </c>
      <c r="IC3" s="1" t="s">
        <v>15</v>
      </c>
      <c r="ID3" s="1" t="s">
        <v>11</v>
      </c>
      <c r="IE3" s="1" t="s">
        <v>11</v>
      </c>
      <c r="IF3" s="1" t="s">
        <v>11</v>
      </c>
      <c r="IG3" s="1" t="s">
        <v>11</v>
      </c>
      <c r="IH3" s="1" t="s">
        <v>11</v>
      </c>
      <c r="II3" s="1" t="s">
        <v>23</v>
      </c>
      <c r="IJ3" s="1" t="s">
        <v>23</v>
      </c>
      <c r="IK3" s="1" t="s">
        <v>23</v>
      </c>
      <c r="IL3" s="1" t="s">
        <v>23</v>
      </c>
      <c r="IM3" s="1" t="s">
        <v>23</v>
      </c>
      <c r="IN3" s="1" t="s">
        <v>20</v>
      </c>
      <c r="IO3" s="1" t="s">
        <v>20</v>
      </c>
      <c r="IP3" s="1" t="s">
        <v>20</v>
      </c>
      <c r="IQ3" s="1" t="s">
        <v>20</v>
      </c>
      <c r="IR3" s="1" t="s">
        <v>20</v>
      </c>
      <c r="IS3" s="1" t="s">
        <v>17</v>
      </c>
      <c r="IT3" s="1" t="s">
        <v>17</v>
      </c>
      <c r="IU3" s="1" t="s">
        <v>17</v>
      </c>
      <c r="IV3" s="1" t="s">
        <v>17</v>
      </c>
      <c r="IW3" s="1" t="s">
        <v>17</v>
      </c>
      <c r="IX3" s="1" t="s">
        <v>15</v>
      </c>
      <c r="IY3" s="1" t="s">
        <v>15</v>
      </c>
      <c r="IZ3" s="1" t="s">
        <v>15</v>
      </c>
      <c r="JA3" s="1" t="s">
        <v>15</v>
      </c>
      <c r="JB3" s="1" t="s">
        <v>15</v>
      </c>
      <c r="JC3" s="1" t="s">
        <v>15</v>
      </c>
      <c r="JD3" s="1" t="s">
        <v>15</v>
      </c>
      <c r="JE3" s="1" t="s">
        <v>15</v>
      </c>
      <c r="JF3" s="1" t="s">
        <v>15</v>
      </c>
      <c r="JG3" s="1" t="s">
        <v>15</v>
      </c>
      <c r="JH3" s="1" t="s">
        <v>11</v>
      </c>
      <c r="JI3" s="1" t="s">
        <v>11</v>
      </c>
      <c r="JJ3" s="1" t="s">
        <v>11</v>
      </c>
      <c r="JK3" s="1" t="s">
        <v>11</v>
      </c>
      <c r="JL3" s="1" t="s">
        <v>11</v>
      </c>
      <c r="JM3" s="1" t="s">
        <v>21</v>
      </c>
      <c r="JN3" s="1" t="s">
        <v>21</v>
      </c>
      <c r="JO3" s="1" t="s">
        <v>21</v>
      </c>
      <c r="JP3" s="1" t="s">
        <v>21</v>
      </c>
      <c r="JQ3" s="1" t="s">
        <v>21</v>
      </c>
      <c r="JR3" s="1" t="s">
        <v>20</v>
      </c>
      <c r="JS3" s="1" t="s">
        <v>15</v>
      </c>
      <c r="JT3" s="1" t="s">
        <v>15</v>
      </c>
      <c r="JU3" s="1" t="s">
        <v>15</v>
      </c>
      <c r="JV3" s="1" t="s">
        <v>15</v>
      </c>
      <c r="JW3" s="1" t="s">
        <v>15</v>
      </c>
      <c r="JX3" s="1" t="s">
        <v>8</v>
      </c>
      <c r="JY3" s="1" t="s">
        <v>8</v>
      </c>
      <c r="JZ3" s="1" t="s">
        <v>8</v>
      </c>
      <c r="KA3" s="1" t="s">
        <v>8</v>
      </c>
      <c r="KB3" s="1" t="s">
        <v>8</v>
      </c>
      <c r="KC3" s="1" t="s">
        <v>24</v>
      </c>
      <c r="KD3" s="1" t="s">
        <v>24</v>
      </c>
      <c r="KE3" s="1" t="s">
        <v>24</v>
      </c>
      <c r="KF3" s="1" t="s">
        <v>24</v>
      </c>
      <c r="KG3" s="1" t="s">
        <v>24</v>
      </c>
      <c r="KH3" s="1" t="s">
        <v>22</v>
      </c>
      <c r="KI3" s="1" t="s">
        <v>22</v>
      </c>
      <c r="KJ3" s="1" t="s">
        <v>22</v>
      </c>
      <c r="KK3" s="1" t="s">
        <v>22</v>
      </c>
      <c r="KL3" s="1" t="s">
        <v>22</v>
      </c>
      <c r="KM3" s="1" t="s">
        <v>23</v>
      </c>
      <c r="KN3" s="1" t="s">
        <v>23</v>
      </c>
      <c r="KO3" s="1" t="s">
        <v>23</v>
      </c>
      <c r="KP3" s="1" t="s">
        <v>23</v>
      </c>
      <c r="KQ3" s="1" t="s">
        <v>23</v>
      </c>
      <c r="KR3" s="1" t="s">
        <v>11</v>
      </c>
      <c r="KS3" s="1" t="s">
        <v>11</v>
      </c>
      <c r="KT3" s="1" t="s">
        <v>11</v>
      </c>
      <c r="KU3" s="1" t="s">
        <v>11</v>
      </c>
      <c r="KV3" s="1" t="s">
        <v>11</v>
      </c>
      <c r="KW3" s="1" t="s">
        <v>19</v>
      </c>
      <c r="KX3" s="1" t="s">
        <v>19</v>
      </c>
      <c r="KY3" s="1" t="s">
        <v>19</v>
      </c>
      <c r="KZ3" s="1" t="s">
        <v>19</v>
      </c>
      <c r="LA3" s="1" t="s">
        <v>19</v>
      </c>
      <c r="LB3" s="1" t="s">
        <v>23</v>
      </c>
      <c r="LC3" s="1" t="s">
        <v>23</v>
      </c>
      <c r="LD3" s="1" t="s">
        <v>23</v>
      </c>
      <c r="LE3" s="1" t="s">
        <v>23</v>
      </c>
      <c r="LF3" s="1" t="s">
        <v>23</v>
      </c>
      <c r="LG3" s="1" t="s">
        <v>11</v>
      </c>
      <c r="LH3" s="1" t="s">
        <v>11</v>
      </c>
      <c r="LI3" s="1" t="s">
        <v>11</v>
      </c>
      <c r="LJ3" s="1" t="s">
        <v>11</v>
      </c>
      <c r="LK3" s="1" t="s">
        <v>11</v>
      </c>
      <c r="LL3" s="1" t="s">
        <v>16</v>
      </c>
      <c r="LM3" s="1" t="s">
        <v>16</v>
      </c>
      <c r="LN3" s="1" t="s">
        <v>16</v>
      </c>
      <c r="LO3" s="1" t="s">
        <v>16</v>
      </c>
      <c r="LP3" s="1" t="s">
        <v>16</v>
      </c>
      <c r="LQ3" s="1" t="s">
        <v>17</v>
      </c>
      <c r="LR3" s="1" t="s">
        <v>17</v>
      </c>
      <c r="LS3" s="1" t="s">
        <v>17</v>
      </c>
      <c r="LT3" s="1" t="s">
        <v>17</v>
      </c>
      <c r="LU3" s="1" t="s">
        <v>17</v>
      </c>
      <c r="LV3" s="1" t="s">
        <v>15</v>
      </c>
      <c r="LW3" s="1" t="s">
        <v>15</v>
      </c>
      <c r="LX3" s="1" t="s">
        <v>15</v>
      </c>
      <c r="LY3" s="1" t="s">
        <v>15</v>
      </c>
      <c r="LZ3" s="1" t="s">
        <v>15</v>
      </c>
      <c r="MA3" s="1" t="s">
        <v>16</v>
      </c>
      <c r="MB3" s="1" t="s">
        <v>16</v>
      </c>
      <c r="MC3" s="1" t="s">
        <v>16</v>
      </c>
      <c r="MD3" s="1" t="s">
        <v>16</v>
      </c>
      <c r="ME3" s="1" t="s">
        <v>16</v>
      </c>
      <c r="MF3" s="1" t="s">
        <v>22</v>
      </c>
      <c r="MG3" s="1" t="s">
        <v>22</v>
      </c>
      <c r="MH3" s="1" t="s">
        <v>22</v>
      </c>
      <c r="MI3" s="1" t="s">
        <v>22</v>
      </c>
      <c r="MJ3" s="1" t="s">
        <v>22</v>
      </c>
      <c r="MK3" s="1" t="s">
        <v>23</v>
      </c>
      <c r="ML3" s="1" t="s">
        <v>23</v>
      </c>
      <c r="MM3" s="1" t="s">
        <v>23</v>
      </c>
      <c r="MN3" s="1" t="s">
        <v>23</v>
      </c>
      <c r="MO3" s="1" t="s">
        <v>23</v>
      </c>
      <c r="MP3" s="1" t="s">
        <v>22</v>
      </c>
      <c r="MQ3" s="1" t="s">
        <v>22</v>
      </c>
      <c r="MR3" s="1" t="s">
        <v>22</v>
      </c>
      <c r="MS3" s="1" t="s">
        <v>22</v>
      </c>
      <c r="MT3" s="1" t="s">
        <v>22</v>
      </c>
      <c r="MU3" s="1" t="s">
        <v>18</v>
      </c>
      <c r="MV3" s="1" t="s">
        <v>18</v>
      </c>
      <c r="MW3" s="1" t="s">
        <v>18</v>
      </c>
      <c r="MX3" s="1" t="s">
        <v>18</v>
      </c>
      <c r="MY3" s="1" t="s">
        <v>18</v>
      </c>
      <c r="MZ3" s="1" t="s">
        <v>7</v>
      </c>
      <c r="NA3" s="1" t="s">
        <v>7</v>
      </c>
      <c r="NB3" s="1" t="s">
        <v>7</v>
      </c>
      <c r="NC3" s="1" t="s">
        <v>7</v>
      </c>
      <c r="ND3" s="1" t="s">
        <v>7</v>
      </c>
      <c r="NE3" s="1" t="s">
        <v>15</v>
      </c>
      <c r="NF3" s="1" t="s">
        <v>15</v>
      </c>
      <c r="NG3" s="1" t="s">
        <v>15</v>
      </c>
      <c r="NH3" s="1" t="s">
        <v>15</v>
      </c>
      <c r="NI3" s="1" t="s">
        <v>15</v>
      </c>
      <c r="NJ3" s="1" t="s">
        <v>17</v>
      </c>
      <c r="NK3" s="1" t="s">
        <v>17</v>
      </c>
      <c r="NL3" s="1" t="s">
        <v>17</v>
      </c>
      <c r="NM3" s="1" t="s">
        <v>17</v>
      </c>
      <c r="NN3" s="1" t="s">
        <v>17</v>
      </c>
      <c r="NO3" s="1" t="s">
        <v>23</v>
      </c>
      <c r="NP3" s="1" t="s">
        <v>23</v>
      </c>
      <c r="NQ3" s="1" t="s">
        <v>23</v>
      </c>
      <c r="NR3" s="1" t="s">
        <v>23</v>
      </c>
      <c r="NS3" s="1" t="s">
        <v>23</v>
      </c>
      <c r="NT3" s="1" t="s">
        <v>19</v>
      </c>
      <c r="NU3" s="1" t="s">
        <v>19</v>
      </c>
      <c r="NV3" s="1" t="s">
        <v>19</v>
      </c>
      <c r="NW3" s="1" t="s">
        <v>19</v>
      </c>
      <c r="NX3" s="1" t="s">
        <v>19</v>
      </c>
      <c r="NY3" s="1" t="s">
        <v>16</v>
      </c>
      <c r="NZ3" s="1" t="s">
        <v>16</v>
      </c>
      <c r="OA3" s="1" t="s">
        <v>16</v>
      </c>
      <c r="OB3" s="1" t="s">
        <v>16</v>
      </c>
      <c r="OC3" s="1" t="s">
        <v>16</v>
      </c>
      <c r="OD3" s="1" t="s">
        <v>18</v>
      </c>
      <c r="OE3" s="1" t="s">
        <v>18</v>
      </c>
      <c r="OF3" s="1" t="s">
        <v>18</v>
      </c>
      <c r="OG3" s="1" t="s">
        <v>18</v>
      </c>
      <c r="OH3" s="1" t="s">
        <v>18</v>
      </c>
      <c r="OI3" s="1" t="s">
        <v>22</v>
      </c>
      <c r="OJ3" s="1" t="s">
        <v>22</v>
      </c>
      <c r="OK3" s="1" t="s">
        <v>22</v>
      </c>
      <c r="OL3" s="1" t="s">
        <v>22</v>
      </c>
      <c r="OM3" s="1" t="s">
        <v>22</v>
      </c>
      <c r="ON3" s="1" t="s">
        <v>11</v>
      </c>
      <c r="OO3" s="1" t="s">
        <v>11</v>
      </c>
      <c r="OP3" s="1" t="s">
        <v>11</v>
      </c>
      <c r="OQ3" s="1" t="s">
        <v>11</v>
      </c>
      <c r="OR3" s="1" t="s">
        <v>11</v>
      </c>
      <c r="OS3" s="1" t="s">
        <v>24</v>
      </c>
      <c r="OT3" s="1" t="s">
        <v>24</v>
      </c>
      <c r="OU3" s="1" t="s">
        <v>24</v>
      </c>
      <c r="OV3" s="1" t="s">
        <v>24</v>
      </c>
      <c r="OW3" s="1" t="s">
        <v>24</v>
      </c>
      <c r="OX3" s="1" t="s">
        <v>19</v>
      </c>
      <c r="OY3" s="1" t="s">
        <v>19</v>
      </c>
      <c r="OZ3" s="1" t="s">
        <v>19</v>
      </c>
      <c r="PA3" s="1" t="s">
        <v>19</v>
      </c>
      <c r="PB3" s="1" t="s">
        <v>19</v>
      </c>
      <c r="PC3" s="1" t="s">
        <v>20</v>
      </c>
      <c r="PD3" s="1" t="s">
        <v>20</v>
      </c>
      <c r="PE3" s="1" t="s">
        <v>20</v>
      </c>
      <c r="PF3" s="1" t="s">
        <v>20</v>
      </c>
      <c r="PG3" s="1" t="s">
        <v>20</v>
      </c>
      <c r="PH3" s="1" t="s">
        <v>23</v>
      </c>
      <c r="PI3" s="1" t="s">
        <v>23</v>
      </c>
      <c r="PJ3" s="1" t="s">
        <v>23</v>
      </c>
      <c r="PK3" s="1" t="s">
        <v>23</v>
      </c>
      <c r="PL3" s="1" t="s">
        <v>23</v>
      </c>
      <c r="PM3" s="1" t="s">
        <v>11</v>
      </c>
      <c r="PN3" s="1" t="s">
        <v>11</v>
      </c>
      <c r="PO3" s="1" t="s">
        <v>11</v>
      </c>
      <c r="PP3" s="1" t="s">
        <v>11</v>
      </c>
      <c r="PQ3" s="1" t="s">
        <v>11</v>
      </c>
      <c r="PR3" s="1" t="s">
        <v>8</v>
      </c>
      <c r="PS3" s="1" t="s">
        <v>8</v>
      </c>
      <c r="PT3" s="1" t="s">
        <v>8</v>
      </c>
      <c r="PU3" s="1" t="s">
        <v>8</v>
      </c>
      <c r="PV3" s="1" t="s">
        <v>8</v>
      </c>
      <c r="PW3" s="1" t="s">
        <v>15</v>
      </c>
      <c r="PX3" s="1" t="s">
        <v>15</v>
      </c>
      <c r="PY3" s="1" t="s">
        <v>15</v>
      </c>
      <c r="PZ3" s="1" t="s">
        <v>15</v>
      </c>
      <c r="QA3" s="1" t="s">
        <v>15</v>
      </c>
      <c r="QB3" s="1" t="s">
        <v>19</v>
      </c>
      <c r="QC3" s="1" t="s">
        <v>19</v>
      </c>
      <c r="QD3" s="1" t="s">
        <v>19</v>
      </c>
      <c r="QE3" s="1" t="s">
        <v>19</v>
      </c>
      <c r="QF3" s="1" t="s">
        <v>19</v>
      </c>
      <c r="QG3" s="1" t="s">
        <v>8</v>
      </c>
      <c r="QH3" s="1" t="s">
        <v>8</v>
      </c>
      <c r="QI3" s="1" t="s">
        <v>8</v>
      </c>
      <c r="QJ3" s="1" t="s">
        <v>8</v>
      </c>
      <c r="QK3" s="1" t="s">
        <v>8</v>
      </c>
      <c r="QL3" s="1" t="s">
        <v>9</v>
      </c>
      <c r="QM3" s="1" t="s">
        <v>9</v>
      </c>
      <c r="QN3" s="1" t="s">
        <v>9</v>
      </c>
      <c r="QO3" s="1" t="s">
        <v>9</v>
      </c>
      <c r="QP3" s="1" t="s">
        <v>9</v>
      </c>
      <c r="QQ3" s="1" t="s">
        <v>23</v>
      </c>
      <c r="QR3" s="1" t="s">
        <v>23</v>
      </c>
      <c r="QS3" s="1" t="s">
        <v>23</v>
      </c>
      <c r="QT3" s="1" t="s">
        <v>23</v>
      </c>
      <c r="QU3" s="1" t="s">
        <v>23</v>
      </c>
      <c r="QV3" s="1" t="s">
        <v>17</v>
      </c>
      <c r="QW3" s="1" t="s">
        <v>17</v>
      </c>
      <c r="QX3" s="1" t="s">
        <v>17</v>
      </c>
      <c r="QY3" s="1" t="s">
        <v>17</v>
      </c>
      <c r="QZ3" s="1" t="s">
        <v>17</v>
      </c>
      <c r="RA3" s="1" t="s">
        <v>15</v>
      </c>
      <c r="RB3" s="1" t="s">
        <v>15</v>
      </c>
      <c r="RC3" s="1" t="s">
        <v>15</v>
      </c>
      <c r="RD3" s="1" t="s">
        <v>15</v>
      </c>
      <c r="RE3" s="1" t="s">
        <v>15</v>
      </c>
      <c r="RF3" s="1" t="s">
        <v>8</v>
      </c>
      <c r="RG3" s="1" t="s">
        <v>8</v>
      </c>
      <c r="RH3" s="1" t="s">
        <v>8</v>
      </c>
      <c r="RI3" s="1" t="s">
        <v>8</v>
      </c>
      <c r="RJ3" s="1" t="s">
        <v>8</v>
      </c>
      <c r="RK3" s="1" t="s">
        <v>19</v>
      </c>
      <c r="RL3" s="1" t="s">
        <v>19</v>
      </c>
      <c r="RM3" s="1" t="s">
        <v>19</v>
      </c>
      <c r="RN3" s="1" t="s">
        <v>19</v>
      </c>
      <c r="RO3" s="1" t="s">
        <v>19</v>
      </c>
      <c r="RP3" s="1" t="s">
        <v>8</v>
      </c>
      <c r="RQ3" s="1" t="s">
        <v>8</v>
      </c>
      <c r="RR3" s="1" t="s">
        <v>8</v>
      </c>
      <c r="RS3" s="1" t="s">
        <v>8</v>
      </c>
      <c r="RT3" s="1" t="s">
        <v>8</v>
      </c>
      <c r="RU3" s="1" t="s">
        <v>18</v>
      </c>
      <c r="RV3" s="1" t="s">
        <v>18</v>
      </c>
      <c r="RW3" s="1" t="s">
        <v>18</v>
      </c>
      <c r="RX3" s="1" t="s">
        <v>18</v>
      </c>
      <c r="RY3" s="1" t="s">
        <v>18</v>
      </c>
      <c r="RZ3" s="1" t="s">
        <v>7</v>
      </c>
      <c r="SA3" s="1" t="s">
        <v>7</v>
      </c>
      <c r="SB3" s="1" t="s">
        <v>7</v>
      </c>
      <c r="SC3" s="1" t="s">
        <v>7</v>
      </c>
      <c r="SD3" s="1" t="s">
        <v>7</v>
      </c>
      <c r="SE3" s="1" t="s">
        <v>23</v>
      </c>
      <c r="SF3" s="1" t="s">
        <v>23</v>
      </c>
      <c r="SG3" s="1" t="s">
        <v>23</v>
      </c>
      <c r="SH3" s="1" t="s">
        <v>23</v>
      </c>
      <c r="SI3" s="1" t="s">
        <v>23</v>
      </c>
      <c r="SJ3" s="1" t="s">
        <v>22</v>
      </c>
      <c r="SK3" s="1" t="s">
        <v>22</v>
      </c>
      <c r="SL3" s="1" t="s">
        <v>22</v>
      </c>
      <c r="SM3" s="1" t="s">
        <v>22</v>
      </c>
      <c r="SN3" s="1" t="s">
        <v>22</v>
      </c>
      <c r="SO3" s="1" t="s">
        <v>16</v>
      </c>
      <c r="SP3" s="1" t="s">
        <v>16</v>
      </c>
      <c r="SQ3" s="1" t="s">
        <v>16</v>
      </c>
      <c r="SR3" s="1" t="s">
        <v>16</v>
      </c>
      <c r="SS3" s="1" t="s">
        <v>16</v>
      </c>
      <c r="ST3" s="1" t="s">
        <v>7</v>
      </c>
      <c r="SU3" s="1" t="s">
        <v>7</v>
      </c>
      <c r="SV3" s="1" t="s">
        <v>7</v>
      </c>
      <c r="SW3" s="1" t="s">
        <v>7</v>
      </c>
      <c r="SX3" s="1" t="s">
        <v>7</v>
      </c>
      <c r="SY3" s="1" t="s">
        <v>11</v>
      </c>
      <c r="SZ3" s="1" t="s">
        <v>11</v>
      </c>
      <c r="TA3" s="1" t="s">
        <v>11</v>
      </c>
      <c r="TB3" s="1" t="s">
        <v>11</v>
      </c>
      <c r="TC3" s="1" t="s">
        <v>11</v>
      </c>
      <c r="TD3" s="1" t="s">
        <v>9</v>
      </c>
      <c r="TE3" s="1" t="s">
        <v>9</v>
      </c>
      <c r="TF3" s="1" t="s">
        <v>9</v>
      </c>
      <c r="TG3" s="1" t="s">
        <v>9</v>
      </c>
      <c r="TH3" s="1" t="s">
        <v>9</v>
      </c>
      <c r="TI3" s="1" t="s">
        <v>8</v>
      </c>
      <c r="TJ3" s="1" t="s">
        <v>8</v>
      </c>
      <c r="TK3" s="1" t="s">
        <v>8</v>
      </c>
      <c r="TL3" s="1" t="s">
        <v>8</v>
      </c>
      <c r="TM3" s="1" t="s">
        <v>8</v>
      </c>
      <c r="TN3" s="1" t="s">
        <v>22</v>
      </c>
      <c r="TO3" s="1" t="s">
        <v>22</v>
      </c>
      <c r="TP3" s="1" t="s">
        <v>22</v>
      </c>
      <c r="TQ3" s="1" t="s">
        <v>22</v>
      </c>
      <c r="TR3" s="1" t="s">
        <v>22</v>
      </c>
      <c r="TS3" s="1" t="s">
        <v>9</v>
      </c>
      <c r="TT3" s="1" t="s">
        <v>9</v>
      </c>
      <c r="TU3" s="1" t="s">
        <v>9</v>
      </c>
      <c r="TV3" s="1" t="s">
        <v>9</v>
      </c>
      <c r="TW3" s="1" t="s">
        <v>9</v>
      </c>
      <c r="TX3" s="1" t="s">
        <v>21</v>
      </c>
      <c r="TY3" s="1" t="s">
        <v>21</v>
      </c>
      <c r="TZ3" s="1" t="s">
        <v>21</v>
      </c>
      <c r="UA3" s="1" t="s">
        <v>21</v>
      </c>
      <c r="UB3" s="1" t="s">
        <v>21</v>
      </c>
      <c r="UC3" s="1" t="s">
        <v>18</v>
      </c>
      <c r="UD3" s="1" t="s">
        <v>18</v>
      </c>
      <c r="UE3" s="1" t="s">
        <v>18</v>
      </c>
      <c r="UF3" s="1" t="s">
        <v>18</v>
      </c>
      <c r="UG3" s="1" t="s">
        <v>18</v>
      </c>
      <c r="UH3" s="1" t="s">
        <v>15</v>
      </c>
      <c r="UI3" s="1" t="s">
        <v>15</v>
      </c>
      <c r="UJ3" s="1" t="s">
        <v>15</v>
      </c>
      <c r="UK3" s="1" t="s">
        <v>15</v>
      </c>
      <c r="UL3" s="1" t="s">
        <v>15</v>
      </c>
      <c r="UM3" s="1" t="s">
        <v>7</v>
      </c>
      <c r="UN3" s="1" t="s">
        <v>7</v>
      </c>
      <c r="UO3" s="1" t="s">
        <v>7</v>
      </c>
      <c r="UP3" s="1" t="s">
        <v>7</v>
      </c>
      <c r="UQ3" s="1" t="s">
        <v>7</v>
      </c>
      <c r="UR3" s="1" t="s">
        <v>18</v>
      </c>
      <c r="US3" s="1" t="s">
        <v>18</v>
      </c>
      <c r="UT3" s="1" t="s">
        <v>18</v>
      </c>
      <c r="UU3" s="1" t="s">
        <v>18</v>
      </c>
      <c r="UV3" s="1" t="s">
        <v>18</v>
      </c>
      <c r="UW3" s="1" t="s">
        <v>22</v>
      </c>
      <c r="UX3" s="1" t="s">
        <v>9</v>
      </c>
      <c r="UY3" s="1" t="s">
        <v>9</v>
      </c>
      <c r="UZ3" s="1" t="s">
        <v>9</v>
      </c>
      <c r="VA3" s="1" t="s">
        <v>9</v>
      </c>
      <c r="VB3" s="1" t="s">
        <v>9</v>
      </c>
      <c r="VC3" s="1" t="s">
        <v>23</v>
      </c>
      <c r="VD3" s="1" t="s">
        <v>23</v>
      </c>
      <c r="VE3" s="1" t="s">
        <v>23</v>
      </c>
      <c r="VF3" s="1" t="s">
        <v>23</v>
      </c>
      <c r="VG3" s="1" t="s">
        <v>23</v>
      </c>
      <c r="VH3" s="1" t="s">
        <v>21</v>
      </c>
      <c r="VI3" s="1" t="s">
        <v>21</v>
      </c>
      <c r="VJ3" s="1" t="s">
        <v>21</v>
      </c>
      <c r="VK3" s="1" t="s">
        <v>21</v>
      </c>
      <c r="VL3" s="1" t="s">
        <v>21</v>
      </c>
      <c r="VM3" s="1" t="s">
        <v>7</v>
      </c>
      <c r="VN3" s="1" t="s">
        <v>7</v>
      </c>
      <c r="VO3" s="1" t="s">
        <v>7</v>
      </c>
      <c r="VP3" s="1" t="s">
        <v>7</v>
      </c>
      <c r="VQ3" s="1" t="s">
        <v>7</v>
      </c>
      <c r="VR3" s="1" t="s">
        <v>19</v>
      </c>
      <c r="VS3" s="1" t="s">
        <v>19</v>
      </c>
      <c r="VT3" s="1" t="s">
        <v>19</v>
      </c>
      <c r="VU3" s="1" t="s">
        <v>19</v>
      </c>
      <c r="VV3" s="1" t="s">
        <v>19</v>
      </c>
      <c r="VW3" s="1" t="s">
        <v>23</v>
      </c>
      <c r="VX3" s="1" t="s">
        <v>23</v>
      </c>
      <c r="VY3" s="1" t="s">
        <v>23</v>
      </c>
      <c r="VZ3" s="1" t="s">
        <v>23</v>
      </c>
      <c r="WA3" s="1" t="s">
        <v>23</v>
      </c>
      <c r="WB3" s="1" t="s">
        <v>9</v>
      </c>
      <c r="WC3" s="1" t="s">
        <v>9</v>
      </c>
      <c r="WD3" s="1" t="s">
        <v>9</v>
      </c>
      <c r="WE3" s="1" t="s">
        <v>9</v>
      </c>
      <c r="WF3" s="1" t="s">
        <v>9</v>
      </c>
      <c r="WG3" s="1" t="s">
        <v>19</v>
      </c>
      <c r="WH3" s="1" t="s">
        <v>19</v>
      </c>
      <c r="WI3" s="1" t="s">
        <v>19</v>
      </c>
      <c r="WJ3" s="1" t="s">
        <v>19</v>
      </c>
      <c r="WK3" s="1" t="s">
        <v>19</v>
      </c>
      <c r="WL3" s="1" t="s">
        <v>22</v>
      </c>
      <c r="WM3" s="1" t="s">
        <v>22</v>
      </c>
      <c r="WN3" s="1" t="s">
        <v>22</v>
      </c>
      <c r="WO3" s="1" t="s">
        <v>22</v>
      </c>
      <c r="WP3" s="1" t="s">
        <v>22</v>
      </c>
      <c r="WQ3" s="1" t="s">
        <v>22</v>
      </c>
      <c r="WR3" s="1" t="s">
        <v>22</v>
      </c>
      <c r="WS3" s="1" t="s">
        <v>22</v>
      </c>
      <c r="WT3" s="1" t="s">
        <v>22</v>
      </c>
      <c r="WU3" s="1" t="s">
        <v>22</v>
      </c>
      <c r="WV3" s="1" t="s">
        <v>20</v>
      </c>
      <c r="WW3" s="1" t="s">
        <v>20</v>
      </c>
      <c r="WX3" s="1" t="s">
        <v>20</v>
      </c>
      <c r="WY3" s="1" t="s">
        <v>20</v>
      </c>
      <c r="WZ3" s="1" t="s">
        <v>20</v>
      </c>
      <c r="XA3" s="1" t="s">
        <v>24</v>
      </c>
      <c r="XB3" s="1" t="s">
        <v>24</v>
      </c>
      <c r="XC3" s="1" t="s">
        <v>24</v>
      </c>
      <c r="XD3" s="1" t="s">
        <v>24</v>
      </c>
      <c r="XE3" s="1" t="s">
        <v>24</v>
      </c>
      <c r="XF3" s="1" t="s">
        <v>20</v>
      </c>
      <c r="XG3" s="1" t="s">
        <v>20</v>
      </c>
      <c r="XH3" s="1" t="s">
        <v>20</v>
      </c>
      <c r="XI3" s="1" t="s">
        <v>20</v>
      </c>
      <c r="XJ3" s="1" t="s">
        <v>20</v>
      </c>
      <c r="XK3" s="1" t="s">
        <v>11</v>
      </c>
      <c r="XL3" s="1" t="s">
        <v>11</v>
      </c>
      <c r="XM3" s="1" t="s">
        <v>11</v>
      </c>
      <c r="XN3" s="1" t="s">
        <v>11</v>
      </c>
      <c r="XO3" s="1" t="s">
        <v>11</v>
      </c>
      <c r="XP3" s="1" t="s">
        <v>23</v>
      </c>
      <c r="XQ3" s="1" t="s">
        <v>23</v>
      </c>
      <c r="XR3" s="1" t="s">
        <v>23</v>
      </c>
      <c r="XS3" s="1" t="s">
        <v>23</v>
      </c>
      <c r="XT3" s="1" t="s">
        <v>23</v>
      </c>
      <c r="XU3" s="1" t="s">
        <v>21</v>
      </c>
      <c r="XV3" s="1" t="s">
        <v>21</v>
      </c>
      <c r="XW3" s="1" t="s">
        <v>21</v>
      </c>
      <c r="XX3" s="1" t="s">
        <v>21</v>
      </c>
      <c r="XY3" s="1" t="s">
        <v>21</v>
      </c>
      <c r="XZ3" s="1" t="s">
        <v>24</v>
      </c>
      <c r="YA3" s="1" t="s">
        <v>24</v>
      </c>
      <c r="YB3" s="1" t="s">
        <v>24</v>
      </c>
      <c r="YC3" s="1" t="s">
        <v>24</v>
      </c>
      <c r="YD3" s="1" t="s">
        <v>24</v>
      </c>
      <c r="YE3" s="1" t="s">
        <v>15</v>
      </c>
      <c r="YF3" s="1" t="s">
        <v>15</v>
      </c>
      <c r="YG3" s="1" t="s">
        <v>15</v>
      </c>
      <c r="YH3" s="1" t="s">
        <v>15</v>
      </c>
      <c r="YI3" s="1" t="s">
        <v>15</v>
      </c>
      <c r="YJ3" s="1" t="s">
        <v>11</v>
      </c>
      <c r="YK3" s="1" t="s">
        <v>11</v>
      </c>
      <c r="YL3" s="1" t="s">
        <v>11</v>
      </c>
      <c r="YM3" s="1" t="s">
        <v>11</v>
      </c>
      <c r="YN3" s="1" t="s">
        <v>11</v>
      </c>
      <c r="YO3" s="1" t="s">
        <v>9</v>
      </c>
      <c r="YP3" s="1" t="s">
        <v>9</v>
      </c>
      <c r="YQ3" s="1" t="s">
        <v>9</v>
      </c>
      <c r="YR3" s="1" t="s">
        <v>9</v>
      </c>
      <c r="YS3" s="1" t="s">
        <v>9</v>
      </c>
      <c r="YT3" s="1" t="s">
        <v>8</v>
      </c>
      <c r="YU3" s="1" t="s">
        <v>8</v>
      </c>
      <c r="YV3" s="1" t="s">
        <v>8</v>
      </c>
      <c r="YW3" s="1" t="s">
        <v>8</v>
      </c>
      <c r="YX3" s="1" t="s">
        <v>8</v>
      </c>
      <c r="YY3" s="1" t="s">
        <v>16</v>
      </c>
      <c r="YZ3" s="1" t="s">
        <v>16</v>
      </c>
      <c r="ZA3" s="1" t="s">
        <v>16</v>
      </c>
      <c r="ZB3" s="1" t="s">
        <v>16</v>
      </c>
      <c r="ZC3" s="1" t="s">
        <v>16</v>
      </c>
      <c r="ZD3" s="1" t="s">
        <v>9</v>
      </c>
      <c r="ZE3" s="1" t="s">
        <v>9</v>
      </c>
      <c r="ZF3" s="1" t="s">
        <v>9</v>
      </c>
      <c r="ZG3" s="1" t="s">
        <v>9</v>
      </c>
      <c r="ZH3" s="1" t="s">
        <v>9</v>
      </c>
      <c r="ZI3" s="1" t="s">
        <v>20</v>
      </c>
      <c r="ZJ3" s="1" t="s">
        <v>20</v>
      </c>
      <c r="ZK3" s="1" t="s">
        <v>20</v>
      </c>
      <c r="ZL3" s="1" t="s">
        <v>20</v>
      </c>
      <c r="ZM3" s="1" t="s">
        <v>20</v>
      </c>
      <c r="ZN3" s="1" t="s">
        <v>20</v>
      </c>
      <c r="ZO3" s="1" t="s">
        <v>20</v>
      </c>
      <c r="ZP3" s="1" t="s">
        <v>20</v>
      </c>
      <c r="ZQ3" s="1" t="s">
        <v>20</v>
      </c>
      <c r="ZR3" s="1" t="s">
        <v>20</v>
      </c>
      <c r="ZS3" s="1" t="s">
        <v>24</v>
      </c>
      <c r="ZT3" s="1" t="s">
        <v>24</v>
      </c>
      <c r="ZU3" s="1" t="s">
        <v>24</v>
      </c>
      <c r="ZV3" s="1" t="s">
        <v>24</v>
      </c>
      <c r="ZW3" s="1" t="s">
        <v>24</v>
      </c>
      <c r="ZX3" s="1" t="s">
        <v>22</v>
      </c>
      <c r="ZY3" s="1" t="s">
        <v>22</v>
      </c>
      <c r="ZZ3" s="1" t="s">
        <v>22</v>
      </c>
      <c r="AAA3" s="1" t="s">
        <v>22</v>
      </c>
      <c r="AAB3" s="1" t="s">
        <v>22</v>
      </c>
      <c r="AAC3" s="1" t="s">
        <v>17</v>
      </c>
      <c r="AAD3" s="1" t="s">
        <v>17</v>
      </c>
      <c r="AAE3" s="1" t="s">
        <v>17</v>
      </c>
      <c r="AAF3" s="1" t="s">
        <v>17</v>
      </c>
      <c r="AAG3" s="1" t="s">
        <v>17</v>
      </c>
      <c r="AAH3" s="1" t="s">
        <v>7</v>
      </c>
      <c r="AAI3" s="1" t="s">
        <v>7</v>
      </c>
      <c r="AAJ3" s="1" t="s">
        <v>7</v>
      </c>
      <c r="AAK3" s="1" t="s">
        <v>7</v>
      </c>
      <c r="AAL3" s="1" t="s">
        <v>7</v>
      </c>
      <c r="AAM3" s="1" t="s">
        <v>7</v>
      </c>
      <c r="AAN3" s="1" t="s">
        <v>7</v>
      </c>
      <c r="AAO3" s="1" t="s">
        <v>7</v>
      </c>
      <c r="AAP3" s="1" t="s">
        <v>7</v>
      </c>
      <c r="AAQ3" s="1" t="s">
        <v>7</v>
      </c>
      <c r="AAR3" s="1" t="s">
        <v>18</v>
      </c>
      <c r="AAS3" s="1" t="s">
        <v>18</v>
      </c>
      <c r="AAT3" s="1" t="s">
        <v>18</v>
      </c>
      <c r="AAU3" s="1" t="s">
        <v>18</v>
      </c>
      <c r="AAV3" s="1" t="s">
        <v>18</v>
      </c>
      <c r="AAW3" s="1" t="s">
        <v>8</v>
      </c>
      <c r="AAX3" s="1" t="s">
        <v>8</v>
      </c>
      <c r="AAY3" s="1" t="s">
        <v>8</v>
      </c>
      <c r="AAZ3" s="1" t="s">
        <v>8</v>
      </c>
      <c r="ABA3" s="1" t="s">
        <v>8</v>
      </c>
      <c r="ABB3" s="1" t="s">
        <v>22</v>
      </c>
    </row>
    <row r="4" spans="1:730" x14ac:dyDescent="0.15">
      <c r="A4" s="2">
        <v>44986</v>
      </c>
      <c r="B4" s="1" t="s">
        <v>6</v>
      </c>
      <c r="C4" s="1" t="s">
        <v>9</v>
      </c>
      <c r="D4" s="1">
        <v>117.48377990722599</v>
      </c>
      <c r="E4" s="1">
        <v>428.890569284153</v>
      </c>
      <c r="F4" s="1">
        <v>817.90411376953102</v>
      </c>
      <c r="G4" s="1" t="s">
        <v>3</v>
      </c>
      <c r="H4" s="1">
        <v>143.30439758300699</v>
      </c>
      <c r="I4" s="1">
        <v>216.24761962890599</v>
      </c>
      <c r="J4" s="1">
        <v>117.48377990722599</v>
      </c>
      <c r="K4" s="1">
        <v>29</v>
      </c>
      <c r="L4" s="1">
        <v>29</v>
      </c>
      <c r="M4" s="1">
        <v>29</v>
      </c>
      <c r="N4" s="1">
        <v>29</v>
      </c>
      <c r="O4" s="1">
        <v>29</v>
      </c>
      <c r="P4" s="1">
        <v>20.6301956176757</v>
      </c>
      <c r="Q4" s="1">
        <v>20.6301956176757</v>
      </c>
      <c r="R4" s="1">
        <v>20.6301956176757</v>
      </c>
      <c r="S4" s="1">
        <v>20.6301956176757</v>
      </c>
      <c r="T4" s="1">
        <v>20.6301956176757</v>
      </c>
      <c r="U4" s="1">
        <v>25</v>
      </c>
      <c r="V4" s="1">
        <v>25</v>
      </c>
      <c r="W4" s="1">
        <v>25</v>
      </c>
      <c r="X4" s="1">
        <v>25</v>
      </c>
      <c r="Y4" s="1">
        <v>25</v>
      </c>
      <c r="Z4" s="1">
        <v>6</v>
      </c>
      <c r="AA4" s="1">
        <v>6</v>
      </c>
      <c r="AB4" s="1">
        <v>6</v>
      </c>
      <c r="AC4" s="1">
        <v>6</v>
      </c>
      <c r="AD4" s="1">
        <v>6</v>
      </c>
      <c r="AE4" s="1">
        <v>58</v>
      </c>
      <c r="AF4" s="1">
        <v>58</v>
      </c>
      <c r="AG4" s="1">
        <v>58</v>
      </c>
      <c r="AH4" s="1">
        <v>58</v>
      </c>
      <c r="AI4" s="1">
        <v>58</v>
      </c>
      <c r="AJ4" s="1">
        <v>33</v>
      </c>
      <c r="AK4" s="1">
        <v>33</v>
      </c>
      <c r="AL4" s="1">
        <v>33</v>
      </c>
      <c r="AM4" s="1">
        <v>33</v>
      </c>
      <c r="AN4" s="1">
        <v>33</v>
      </c>
      <c r="AO4" s="1">
        <v>43.615669597278902</v>
      </c>
      <c r="AP4" s="1">
        <v>43.615669597278902</v>
      </c>
      <c r="AQ4" s="1">
        <v>43.615669597278902</v>
      </c>
      <c r="AR4" s="1">
        <v>43.615669597278902</v>
      </c>
      <c r="AS4" s="1">
        <v>43.615669597278902</v>
      </c>
      <c r="AT4" s="1">
        <v>106.51002502441401</v>
      </c>
      <c r="AU4" s="1">
        <v>52</v>
      </c>
      <c r="AV4" s="1">
        <v>52</v>
      </c>
      <c r="AW4" s="1">
        <v>52</v>
      </c>
      <c r="AX4" s="1">
        <v>52</v>
      </c>
      <c r="AY4" s="1">
        <v>52</v>
      </c>
      <c r="AZ4" s="1">
        <v>16.045707702636701</v>
      </c>
      <c r="BA4" s="1">
        <v>16.045707702636701</v>
      </c>
      <c r="BB4" s="1">
        <v>16.045707702636701</v>
      </c>
      <c r="BC4" s="1">
        <v>16.045707702636701</v>
      </c>
      <c r="BD4" s="1">
        <v>16.045707702636701</v>
      </c>
      <c r="BE4" s="1">
        <v>58</v>
      </c>
      <c r="BF4" s="1">
        <v>58</v>
      </c>
      <c r="BG4" s="1">
        <v>58</v>
      </c>
      <c r="BH4" s="1">
        <v>58</v>
      </c>
      <c r="BI4" s="1">
        <v>58</v>
      </c>
      <c r="BJ4" s="1">
        <v>16.045707702636701</v>
      </c>
      <c r="BK4" s="1">
        <v>16.045707702636701</v>
      </c>
      <c r="BL4" s="1">
        <v>16.045707702636701</v>
      </c>
      <c r="BM4" s="1">
        <v>16.045707702636701</v>
      </c>
      <c r="BN4" s="1">
        <v>16.045707702636701</v>
      </c>
      <c r="BO4" s="1">
        <v>16.045707702636701</v>
      </c>
      <c r="BP4" s="1">
        <v>16.045707702636701</v>
      </c>
      <c r="BQ4" s="1">
        <v>16.045707702636701</v>
      </c>
      <c r="BR4" s="1">
        <v>16.045707702636701</v>
      </c>
      <c r="BS4" s="1">
        <v>16.045707702636701</v>
      </c>
      <c r="BT4" s="1">
        <v>25</v>
      </c>
      <c r="BU4" s="1">
        <v>25</v>
      </c>
      <c r="BV4" s="1">
        <v>25</v>
      </c>
      <c r="BW4" s="1">
        <v>25</v>
      </c>
      <c r="BX4" s="1">
        <v>25</v>
      </c>
      <c r="BY4" s="1">
        <v>4</v>
      </c>
      <c r="BZ4" s="1">
        <v>4</v>
      </c>
      <c r="CA4" s="1">
        <v>4</v>
      </c>
      <c r="CB4" s="1">
        <v>4</v>
      </c>
      <c r="CC4" s="1">
        <v>4</v>
      </c>
      <c r="CD4" s="1">
        <v>64</v>
      </c>
      <c r="CE4" s="1">
        <v>64</v>
      </c>
      <c r="CF4" s="1">
        <v>64</v>
      </c>
      <c r="CG4" s="1">
        <v>64</v>
      </c>
      <c r="CH4" s="1">
        <v>64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52</v>
      </c>
      <c r="CO4" s="1">
        <v>52</v>
      </c>
      <c r="CP4" s="1">
        <v>52</v>
      </c>
      <c r="CQ4" s="1">
        <v>52</v>
      </c>
      <c r="CR4" s="1">
        <v>52</v>
      </c>
      <c r="CS4" s="1">
        <v>57.25</v>
      </c>
      <c r="CT4" s="1">
        <v>57.25</v>
      </c>
      <c r="CU4" s="1">
        <v>57.25</v>
      </c>
      <c r="CV4" s="1">
        <v>57.25</v>
      </c>
      <c r="CW4" s="1">
        <v>57.25</v>
      </c>
      <c r="CX4" s="1">
        <v>33</v>
      </c>
      <c r="CY4" s="1">
        <v>33</v>
      </c>
      <c r="CZ4" s="1">
        <v>33</v>
      </c>
      <c r="DA4" s="1">
        <v>33</v>
      </c>
      <c r="DB4" s="1">
        <v>33</v>
      </c>
      <c r="DC4" s="1">
        <v>5.7248792648315403</v>
      </c>
      <c r="DD4" s="1">
        <v>5.7248792648315403</v>
      </c>
      <c r="DE4" s="1">
        <v>5.7248792648315403</v>
      </c>
      <c r="DF4" s="1">
        <v>5.7248792648315403</v>
      </c>
      <c r="DG4" s="1">
        <v>5.7248792648315403</v>
      </c>
      <c r="DH4" s="1">
        <v>46</v>
      </c>
      <c r="DI4" s="1">
        <v>46</v>
      </c>
      <c r="DJ4" s="1">
        <v>46</v>
      </c>
      <c r="DK4" s="1">
        <v>46</v>
      </c>
      <c r="DL4" s="1">
        <v>46</v>
      </c>
      <c r="DM4" s="1">
        <v>25</v>
      </c>
      <c r="DN4" s="1">
        <v>25</v>
      </c>
      <c r="DO4" s="1">
        <v>25</v>
      </c>
      <c r="DP4" s="1">
        <v>25</v>
      </c>
      <c r="DQ4" s="1">
        <v>25</v>
      </c>
      <c r="DR4" s="1">
        <v>3</v>
      </c>
      <c r="DS4" s="1">
        <v>3</v>
      </c>
      <c r="DT4" s="1">
        <v>3</v>
      </c>
      <c r="DU4" s="1">
        <v>3</v>
      </c>
      <c r="DV4" s="1">
        <v>3</v>
      </c>
      <c r="DW4" s="1">
        <v>1</v>
      </c>
      <c r="DX4" s="1">
        <v>1</v>
      </c>
      <c r="DY4" s="1">
        <v>1</v>
      </c>
      <c r="DZ4" s="1">
        <v>1</v>
      </c>
      <c r="EA4" s="1">
        <v>1</v>
      </c>
      <c r="EB4" s="1">
        <v>20.6301956176757</v>
      </c>
      <c r="EC4" s="1">
        <v>20.6301956176757</v>
      </c>
      <c r="ED4" s="1">
        <v>20.6301956176757</v>
      </c>
      <c r="EE4" s="1">
        <v>20.6301956176757</v>
      </c>
      <c r="EF4" s="1">
        <v>20.6301956176757</v>
      </c>
      <c r="EG4" s="1">
        <v>58</v>
      </c>
      <c r="EH4" s="1">
        <v>58</v>
      </c>
      <c r="EI4" s="1">
        <v>58</v>
      </c>
      <c r="EJ4" s="1">
        <v>58</v>
      </c>
      <c r="EK4" s="1">
        <v>58</v>
      </c>
      <c r="EL4" s="1">
        <v>25.776283264160099</v>
      </c>
      <c r="EM4" s="1">
        <v>25.776283264160099</v>
      </c>
      <c r="EN4" s="1">
        <v>25.776283264160099</v>
      </c>
      <c r="EO4" s="1">
        <v>25.776283264160099</v>
      </c>
      <c r="EP4" s="1">
        <v>25.776283264160099</v>
      </c>
      <c r="EQ4" s="1">
        <v>68.985083770751899</v>
      </c>
      <c r="ER4" s="1">
        <v>68.985083770751899</v>
      </c>
      <c r="ES4" s="1">
        <v>68.985083770751899</v>
      </c>
      <c r="ET4" s="1">
        <v>68.985083770751899</v>
      </c>
      <c r="EU4" s="1">
        <v>68.985083770751899</v>
      </c>
      <c r="EV4" s="1">
        <v>33</v>
      </c>
      <c r="EW4" s="1">
        <v>33</v>
      </c>
      <c r="EX4" s="1">
        <v>33</v>
      </c>
      <c r="EY4" s="1">
        <v>33</v>
      </c>
      <c r="EZ4" s="1">
        <v>33</v>
      </c>
      <c r="FA4" s="1">
        <v>61</v>
      </c>
      <c r="FB4" s="1">
        <v>61</v>
      </c>
      <c r="FC4" s="1">
        <v>61</v>
      </c>
      <c r="FD4" s="1">
        <v>61</v>
      </c>
      <c r="FE4" s="1">
        <v>61</v>
      </c>
      <c r="FF4" s="1">
        <v>25</v>
      </c>
      <c r="FG4" s="1">
        <v>25</v>
      </c>
      <c r="FH4" s="1">
        <v>25</v>
      </c>
      <c r="FI4" s="1">
        <v>25</v>
      </c>
      <c r="FJ4" s="1">
        <v>25</v>
      </c>
      <c r="FK4" s="1">
        <v>20.6301956176757</v>
      </c>
      <c r="FL4" s="1">
        <v>20.6301956176757</v>
      </c>
      <c r="FM4" s="1">
        <v>20.6301956176757</v>
      </c>
      <c r="FN4" s="1">
        <v>20.6301956176757</v>
      </c>
      <c r="FO4" s="1">
        <v>20.6301956176757</v>
      </c>
      <c r="FP4" s="1">
        <v>20.6301956176757</v>
      </c>
      <c r="FQ4" s="1">
        <v>20.6301956176757</v>
      </c>
      <c r="FR4" s="1">
        <v>20.6301956176757</v>
      </c>
      <c r="FS4" s="1">
        <v>20.6301956176757</v>
      </c>
      <c r="FT4" s="1">
        <v>20.6301956176757</v>
      </c>
      <c r="FU4" s="1">
        <v>58</v>
      </c>
      <c r="FV4" s="1">
        <v>58</v>
      </c>
      <c r="FW4" s="1">
        <v>58</v>
      </c>
      <c r="FX4" s="1">
        <v>58</v>
      </c>
      <c r="FY4" s="1">
        <v>58</v>
      </c>
      <c r="FZ4" s="1">
        <v>52</v>
      </c>
      <c r="GA4" s="1">
        <v>52</v>
      </c>
      <c r="GB4" s="1">
        <v>52</v>
      </c>
      <c r="GC4" s="1">
        <v>52</v>
      </c>
      <c r="GD4" s="1">
        <v>52</v>
      </c>
      <c r="GE4" s="1">
        <v>123.93893432617099</v>
      </c>
      <c r="GF4" s="1">
        <v>37</v>
      </c>
      <c r="GG4" s="1">
        <v>37</v>
      </c>
      <c r="GH4" s="1">
        <v>37</v>
      </c>
      <c r="GI4" s="1">
        <v>37</v>
      </c>
      <c r="GJ4" s="1">
        <v>37</v>
      </c>
      <c r="GK4" s="1">
        <v>64</v>
      </c>
      <c r="GL4" s="1">
        <v>64</v>
      </c>
      <c r="GM4" s="1">
        <v>64</v>
      </c>
      <c r="GN4" s="1">
        <v>64</v>
      </c>
      <c r="GO4" s="1">
        <v>64</v>
      </c>
      <c r="GP4" s="1">
        <v>16.045707702636701</v>
      </c>
      <c r="GQ4" s="1">
        <v>16.045707702636701</v>
      </c>
      <c r="GR4" s="1">
        <v>16.045707702636701</v>
      </c>
      <c r="GS4" s="1">
        <v>16.045707702636701</v>
      </c>
      <c r="GT4" s="1">
        <v>16.045707702636701</v>
      </c>
      <c r="GU4" s="1">
        <v>64</v>
      </c>
      <c r="GV4" s="1">
        <v>64</v>
      </c>
      <c r="GW4" s="1">
        <v>64</v>
      </c>
      <c r="GX4" s="1">
        <v>64</v>
      </c>
      <c r="GY4" s="1">
        <v>64</v>
      </c>
      <c r="GZ4" s="1">
        <v>20.6301956176757</v>
      </c>
      <c r="HA4" s="1">
        <v>20.6301956176757</v>
      </c>
      <c r="HB4" s="1">
        <v>20.6301956176757</v>
      </c>
      <c r="HC4" s="1">
        <v>20.6301956176757</v>
      </c>
      <c r="HD4" s="1">
        <v>20.6301956176757</v>
      </c>
      <c r="HE4" s="1">
        <v>6</v>
      </c>
      <c r="HF4" s="1">
        <v>6</v>
      </c>
      <c r="HG4" s="1">
        <v>6</v>
      </c>
      <c r="HH4" s="1">
        <v>6</v>
      </c>
      <c r="HI4" s="1">
        <v>6</v>
      </c>
      <c r="HJ4" s="1">
        <v>6</v>
      </c>
      <c r="HK4" s="1">
        <v>6</v>
      </c>
      <c r="HL4" s="1">
        <v>6</v>
      </c>
      <c r="HM4" s="1">
        <v>6</v>
      </c>
      <c r="HN4" s="1">
        <v>6</v>
      </c>
      <c r="HO4" s="1">
        <v>52</v>
      </c>
      <c r="HP4" s="1">
        <v>52</v>
      </c>
      <c r="HQ4" s="1">
        <v>52</v>
      </c>
      <c r="HR4" s="1">
        <v>52</v>
      </c>
      <c r="HS4" s="1">
        <v>52</v>
      </c>
      <c r="HT4" s="1">
        <v>64</v>
      </c>
      <c r="HU4" s="1">
        <v>64</v>
      </c>
      <c r="HV4" s="1">
        <v>64</v>
      </c>
      <c r="HW4" s="1">
        <v>64</v>
      </c>
      <c r="HX4" s="1">
        <v>64</v>
      </c>
      <c r="HY4" s="1">
        <v>24.869464397430399</v>
      </c>
      <c r="HZ4" s="1">
        <v>24.869464397430399</v>
      </c>
      <c r="IA4" s="1">
        <v>24.869464397430399</v>
      </c>
      <c r="IB4" s="1">
        <v>24.869464397430399</v>
      </c>
      <c r="IC4" s="1">
        <v>24.869464397430399</v>
      </c>
      <c r="ID4" s="1">
        <v>33.772739410400298</v>
      </c>
      <c r="IE4" s="1">
        <v>33.772739410400298</v>
      </c>
      <c r="IF4" s="1">
        <v>33.772739410400298</v>
      </c>
      <c r="IG4" s="1">
        <v>33.772739410400298</v>
      </c>
      <c r="IH4" s="1">
        <v>33.772739410400298</v>
      </c>
      <c r="II4" s="1">
        <v>41</v>
      </c>
      <c r="IJ4" s="1">
        <v>41</v>
      </c>
      <c r="IK4" s="1">
        <v>41</v>
      </c>
      <c r="IL4" s="1">
        <v>41</v>
      </c>
      <c r="IM4" s="1">
        <v>41</v>
      </c>
      <c r="IN4" s="1">
        <v>1</v>
      </c>
      <c r="IO4" s="1">
        <v>1</v>
      </c>
      <c r="IP4" s="1">
        <v>1</v>
      </c>
      <c r="IQ4" s="1">
        <v>1</v>
      </c>
      <c r="IR4" s="1">
        <v>1</v>
      </c>
      <c r="IS4" s="1">
        <v>57.25</v>
      </c>
      <c r="IT4" s="1">
        <v>57.25</v>
      </c>
      <c r="IU4" s="1">
        <v>57.25</v>
      </c>
      <c r="IV4" s="1">
        <v>57.25</v>
      </c>
      <c r="IW4" s="1">
        <v>57.25</v>
      </c>
      <c r="IX4" s="1">
        <v>25</v>
      </c>
      <c r="IY4" s="1">
        <v>25</v>
      </c>
      <c r="IZ4" s="1">
        <v>25</v>
      </c>
      <c r="JA4" s="1">
        <v>25</v>
      </c>
      <c r="JB4" s="1">
        <v>25</v>
      </c>
      <c r="JC4" s="1">
        <v>25</v>
      </c>
      <c r="JD4" s="1">
        <v>25</v>
      </c>
      <c r="JE4" s="1">
        <v>25</v>
      </c>
      <c r="JF4" s="1">
        <v>25</v>
      </c>
      <c r="JG4" s="1">
        <v>25</v>
      </c>
      <c r="JH4" s="1">
        <v>29</v>
      </c>
      <c r="JI4" s="1">
        <v>29</v>
      </c>
      <c r="JJ4" s="1">
        <v>29</v>
      </c>
      <c r="JK4" s="1">
        <v>29</v>
      </c>
      <c r="JL4" s="1">
        <v>29</v>
      </c>
      <c r="JM4" s="1">
        <v>59.5</v>
      </c>
      <c r="JN4" s="1">
        <v>59.5</v>
      </c>
      <c r="JO4" s="1">
        <v>59.5</v>
      </c>
      <c r="JP4" s="1">
        <v>59.5</v>
      </c>
      <c r="JQ4" s="1">
        <v>59.5</v>
      </c>
      <c r="JR4" s="1">
        <v>53.255012512207003</v>
      </c>
      <c r="JS4" s="1">
        <v>25</v>
      </c>
      <c r="JT4" s="1">
        <v>25</v>
      </c>
      <c r="JU4" s="1">
        <v>25</v>
      </c>
      <c r="JV4" s="1">
        <v>25</v>
      </c>
      <c r="JW4" s="1">
        <v>25</v>
      </c>
      <c r="JX4" s="1">
        <v>58.517463684082003</v>
      </c>
      <c r="JY4" s="1">
        <v>58.517463684082003</v>
      </c>
      <c r="JZ4" s="1">
        <v>58.517463684082003</v>
      </c>
      <c r="KA4" s="1">
        <v>58.517463684082003</v>
      </c>
      <c r="KB4" s="1">
        <v>58.517463684082003</v>
      </c>
      <c r="KC4" s="1">
        <v>37</v>
      </c>
      <c r="KD4" s="1">
        <v>37</v>
      </c>
      <c r="KE4" s="1">
        <v>37</v>
      </c>
      <c r="KF4" s="1">
        <v>37</v>
      </c>
      <c r="KG4" s="1">
        <v>37</v>
      </c>
      <c r="KH4" s="1">
        <v>13.168941497802701</v>
      </c>
      <c r="KI4" s="1">
        <v>13.168941497802701</v>
      </c>
      <c r="KJ4" s="1">
        <v>13.168941497802701</v>
      </c>
      <c r="KK4" s="1">
        <v>13.168941497802701</v>
      </c>
      <c r="KL4" s="1">
        <v>13.168941497802701</v>
      </c>
      <c r="KM4" s="1">
        <v>41</v>
      </c>
      <c r="KN4" s="1">
        <v>41</v>
      </c>
      <c r="KO4" s="1">
        <v>41</v>
      </c>
      <c r="KP4" s="1">
        <v>41</v>
      </c>
      <c r="KQ4" s="1">
        <v>41</v>
      </c>
      <c r="KR4" s="1">
        <v>29</v>
      </c>
      <c r="KS4" s="1">
        <v>29</v>
      </c>
      <c r="KT4" s="1">
        <v>29</v>
      </c>
      <c r="KU4" s="1">
        <v>29</v>
      </c>
      <c r="KV4" s="1">
        <v>29</v>
      </c>
      <c r="KW4" s="1">
        <v>52</v>
      </c>
      <c r="KX4" s="1">
        <v>52</v>
      </c>
      <c r="KY4" s="1">
        <v>52</v>
      </c>
      <c r="KZ4" s="1">
        <v>52</v>
      </c>
      <c r="LA4" s="1">
        <v>52</v>
      </c>
      <c r="LB4" s="1">
        <v>41</v>
      </c>
      <c r="LC4" s="1">
        <v>41</v>
      </c>
      <c r="LD4" s="1">
        <v>41</v>
      </c>
      <c r="LE4" s="1">
        <v>41</v>
      </c>
      <c r="LF4" s="1">
        <v>41</v>
      </c>
      <c r="LG4" s="1">
        <v>31.506893157958899</v>
      </c>
      <c r="LH4" s="1">
        <v>31.506893157958899</v>
      </c>
      <c r="LI4" s="1">
        <v>31.506893157958899</v>
      </c>
      <c r="LJ4" s="1">
        <v>31.506893157958899</v>
      </c>
      <c r="LK4" s="1">
        <v>31.506893157958899</v>
      </c>
      <c r="LL4" s="1">
        <v>11.449758529663001</v>
      </c>
      <c r="LM4" s="1">
        <v>11.449758529663001</v>
      </c>
      <c r="LN4" s="1">
        <v>11.449758529663001</v>
      </c>
      <c r="LO4" s="1">
        <v>11.449758529663001</v>
      </c>
      <c r="LP4" s="1">
        <v>11.449758529663001</v>
      </c>
      <c r="LQ4" s="1">
        <v>57.25</v>
      </c>
      <c r="LR4" s="1">
        <v>57.25</v>
      </c>
      <c r="LS4" s="1">
        <v>57.25</v>
      </c>
      <c r="LT4" s="1">
        <v>57.25</v>
      </c>
      <c r="LU4" s="1">
        <v>57.25</v>
      </c>
      <c r="LV4" s="1">
        <v>25</v>
      </c>
      <c r="LW4" s="1">
        <v>25</v>
      </c>
      <c r="LX4" s="1">
        <v>25</v>
      </c>
      <c r="LY4" s="1">
        <v>25</v>
      </c>
      <c r="LZ4" s="1">
        <v>25</v>
      </c>
      <c r="MA4" s="1">
        <v>11.7281799316406</v>
      </c>
      <c r="MB4" s="1">
        <v>11.7281799316406</v>
      </c>
      <c r="MC4" s="1">
        <v>11.7281799316406</v>
      </c>
      <c r="MD4" s="1">
        <v>11.7281799316406</v>
      </c>
      <c r="ME4" s="1">
        <v>11.7281799316406</v>
      </c>
      <c r="MF4" s="1">
        <v>8</v>
      </c>
      <c r="MG4" s="1">
        <v>8</v>
      </c>
      <c r="MH4" s="1">
        <v>8</v>
      </c>
      <c r="MI4" s="1">
        <v>8</v>
      </c>
      <c r="MJ4" s="1">
        <v>8</v>
      </c>
      <c r="MK4" s="1">
        <v>41</v>
      </c>
      <c r="ML4" s="1">
        <v>41</v>
      </c>
      <c r="MM4" s="1">
        <v>41</v>
      </c>
      <c r="MN4" s="1">
        <v>41</v>
      </c>
      <c r="MO4" s="1">
        <v>41</v>
      </c>
      <c r="MP4" s="1">
        <v>13.168941497802701</v>
      </c>
      <c r="MQ4" s="1">
        <v>13.168941497802701</v>
      </c>
      <c r="MR4" s="1">
        <v>13.168941497802701</v>
      </c>
      <c r="MS4" s="1">
        <v>13.168941497802701</v>
      </c>
      <c r="MT4" s="1">
        <v>13.168941497802701</v>
      </c>
      <c r="MU4" s="1">
        <v>16.045707702636701</v>
      </c>
      <c r="MV4" s="1">
        <v>16.045707702636701</v>
      </c>
      <c r="MW4" s="1">
        <v>16.045707702636701</v>
      </c>
      <c r="MX4" s="1">
        <v>16.045707702636701</v>
      </c>
      <c r="MY4" s="1">
        <v>16.045707702636701</v>
      </c>
      <c r="MZ4" s="1">
        <v>36.260005950927699</v>
      </c>
      <c r="NA4" s="1">
        <v>36.260005950927699</v>
      </c>
      <c r="NB4" s="1">
        <v>36.260005950927699</v>
      </c>
      <c r="NC4" s="1">
        <v>36.260005950927699</v>
      </c>
      <c r="ND4" s="1">
        <v>36.260005950927699</v>
      </c>
      <c r="NE4" s="1">
        <v>25</v>
      </c>
      <c r="NF4" s="1">
        <v>25</v>
      </c>
      <c r="NG4" s="1">
        <v>25</v>
      </c>
      <c r="NH4" s="1">
        <v>25</v>
      </c>
      <c r="NI4" s="1">
        <v>25</v>
      </c>
      <c r="NJ4" s="1">
        <v>58</v>
      </c>
      <c r="NK4" s="1">
        <v>58</v>
      </c>
      <c r="NL4" s="1">
        <v>58</v>
      </c>
      <c r="NM4" s="1">
        <v>58</v>
      </c>
      <c r="NN4" s="1">
        <v>58</v>
      </c>
      <c r="NO4" s="1">
        <v>41</v>
      </c>
      <c r="NP4" s="1">
        <v>41</v>
      </c>
      <c r="NQ4" s="1">
        <v>41</v>
      </c>
      <c r="NR4" s="1">
        <v>41</v>
      </c>
      <c r="NS4" s="1">
        <v>41</v>
      </c>
      <c r="NT4" s="1">
        <v>52</v>
      </c>
      <c r="NU4" s="1">
        <v>52</v>
      </c>
      <c r="NV4" s="1">
        <v>52</v>
      </c>
      <c r="NW4" s="1">
        <v>52</v>
      </c>
      <c r="NX4" s="1">
        <v>52</v>
      </c>
      <c r="NY4" s="1">
        <v>13.5487470626831</v>
      </c>
      <c r="NZ4" s="1">
        <v>13.5487470626831</v>
      </c>
      <c r="OA4" s="1">
        <v>13.5487470626831</v>
      </c>
      <c r="OB4" s="1">
        <v>13.5487470626831</v>
      </c>
      <c r="OC4" s="1">
        <v>13.5487470626831</v>
      </c>
      <c r="OD4" s="1">
        <v>16.045707702636701</v>
      </c>
      <c r="OE4" s="1">
        <v>16.045707702636701</v>
      </c>
      <c r="OF4" s="1">
        <v>16.045707702636701</v>
      </c>
      <c r="OG4" s="1">
        <v>16.045707702636701</v>
      </c>
      <c r="OH4" s="1">
        <v>16.045707702636701</v>
      </c>
      <c r="OI4" s="1">
        <v>13.168941497802701</v>
      </c>
      <c r="OJ4" s="1">
        <v>13.168941497802701</v>
      </c>
      <c r="OK4" s="1">
        <v>13.168941497802701</v>
      </c>
      <c r="OL4" s="1">
        <v>13.168941497802701</v>
      </c>
      <c r="OM4" s="1">
        <v>13.168941497802701</v>
      </c>
      <c r="ON4" s="1">
        <v>29</v>
      </c>
      <c r="OO4" s="1">
        <v>29</v>
      </c>
      <c r="OP4" s="1">
        <v>29</v>
      </c>
      <c r="OQ4" s="1">
        <v>29</v>
      </c>
      <c r="OR4" s="1">
        <v>29</v>
      </c>
      <c r="OS4" s="1">
        <v>37</v>
      </c>
      <c r="OT4" s="1">
        <v>37</v>
      </c>
      <c r="OU4" s="1">
        <v>37</v>
      </c>
      <c r="OV4" s="1">
        <v>37</v>
      </c>
      <c r="OW4" s="1">
        <v>37</v>
      </c>
      <c r="OX4" s="1">
        <v>52</v>
      </c>
      <c r="OY4" s="1">
        <v>52</v>
      </c>
      <c r="OZ4" s="1">
        <v>52</v>
      </c>
      <c r="PA4" s="1">
        <v>52</v>
      </c>
      <c r="PB4" s="1">
        <v>52</v>
      </c>
      <c r="PC4" s="1">
        <v>4.9567809104919398</v>
      </c>
      <c r="PD4" s="1">
        <v>4.9567809104919398</v>
      </c>
      <c r="PE4" s="1">
        <v>4.9567809104919398</v>
      </c>
      <c r="PF4" s="1">
        <v>4.9567809104919398</v>
      </c>
      <c r="PG4" s="1">
        <v>4.9567809104919398</v>
      </c>
      <c r="PH4" s="1">
        <v>41</v>
      </c>
      <c r="PI4" s="1">
        <v>41</v>
      </c>
      <c r="PJ4" s="1">
        <v>41</v>
      </c>
      <c r="PK4" s="1">
        <v>41</v>
      </c>
      <c r="PL4" s="1">
        <v>41</v>
      </c>
      <c r="PM4" s="1">
        <v>29</v>
      </c>
      <c r="PN4" s="1">
        <v>29</v>
      </c>
      <c r="PO4" s="1">
        <v>29</v>
      </c>
      <c r="PP4" s="1">
        <v>29</v>
      </c>
      <c r="PQ4" s="1">
        <v>29</v>
      </c>
      <c r="PR4" s="1">
        <v>62.069156646728501</v>
      </c>
      <c r="PS4" s="1">
        <v>62.069156646728501</v>
      </c>
      <c r="PT4" s="1">
        <v>62.069156646728501</v>
      </c>
      <c r="PU4" s="1">
        <v>62.069156646728501</v>
      </c>
      <c r="PV4" s="1">
        <v>62.069156646728501</v>
      </c>
      <c r="PW4" s="1">
        <v>25</v>
      </c>
      <c r="PX4" s="1">
        <v>25</v>
      </c>
      <c r="PY4" s="1">
        <v>25</v>
      </c>
      <c r="PZ4" s="1">
        <v>25</v>
      </c>
      <c r="QA4" s="1">
        <v>25</v>
      </c>
      <c r="QB4" s="1">
        <v>52</v>
      </c>
      <c r="QC4" s="1">
        <v>52</v>
      </c>
      <c r="QD4" s="1">
        <v>52</v>
      </c>
      <c r="QE4" s="1">
        <v>52</v>
      </c>
      <c r="QF4" s="1">
        <v>52</v>
      </c>
      <c r="QG4" s="1">
        <v>46</v>
      </c>
      <c r="QH4" s="1">
        <v>46</v>
      </c>
      <c r="QI4" s="1">
        <v>46</v>
      </c>
      <c r="QJ4" s="1">
        <v>46</v>
      </c>
      <c r="QK4" s="1">
        <v>46</v>
      </c>
      <c r="QL4" s="1">
        <v>20.6301956176757</v>
      </c>
      <c r="QM4" s="1">
        <v>20.6301956176757</v>
      </c>
      <c r="QN4" s="1">
        <v>20.6301956176757</v>
      </c>
      <c r="QO4" s="1">
        <v>20.6301956176757</v>
      </c>
      <c r="QP4" s="1">
        <v>20.6301956176757</v>
      </c>
      <c r="QQ4" s="1">
        <v>41</v>
      </c>
      <c r="QR4" s="1">
        <v>41</v>
      </c>
      <c r="QS4" s="1">
        <v>41</v>
      </c>
      <c r="QT4" s="1">
        <v>41</v>
      </c>
      <c r="QU4" s="1">
        <v>41</v>
      </c>
      <c r="QV4" s="1">
        <v>43.654424147172399</v>
      </c>
      <c r="QW4" s="1">
        <v>43.654424147172399</v>
      </c>
      <c r="QX4" s="1">
        <v>43.654424147172399</v>
      </c>
      <c r="QY4" s="1">
        <v>43.654424147172399</v>
      </c>
      <c r="QZ4" s="1">
        <v>43.654424147172399</v>
      </c>
      <c r="RA4" s="1">
        <v>24.869464397430399</v>
      </c>
      <c r="RB4" s="1">
        <v>24.869464397430399</v>
      </c>
      <c r="RC4" s="1">
        <v>24.869464397430399</v>
      </c>
      <c r="RD4" s="1">
        <v>24.869464397430399</v>
      </c>
      <c r="RE4" s="1">
        <v>24.869464397430399</v>
      </c>
      <c r="RF4" s="1">
        <v>46</v>
      </c>
      <c r="RG4" s="1">
        <v>46</v>
      </c>
      <c r="RH4" s="1">
        <v>46</v>
      </c>
      <c r="RI4" s="1">
        <v>46</v>
      </c>
      <c r="RJ4" s="1">
        <v>46</v>
      </c>
      <c r="RK4" s="1">
        <v>52</v>
      </c>
      <c r="RL4" s="1">
        <v>52</v>
      </c>
      <c r="RM4" s="1">
        <v>52</v>
      </c>
      <c r="RN4" s="1">
        <v>52</v>
      </c>
      <c r="RO4" s="1">
        <v>52</v>
      </c>
      <c r="RP4" s="1">
        <v>46</v>
      </c>
      <c r="RQ4" s="1">
        <v>46</v>
      </c>
      <c r="RR4" s="1">
        <v>46</v>
      </c>
      <c r="RS4" s="1">
        <v>46</v>
      </c>
      <c r="RT4" s="1">
        <v>46</v>
      </c>
      <c r="RU4" s="1">
        <v>16.886674880981399</v>
      </c>
      <c r="RV4" s="1">
        <v>16.886674880981399</v>
      </c>
      <c r="RW4" s="1">
        <v>16.886674880981399</v>
      </c>
      <c r="RX4" s="1">
        <v>16.886674880981399</v>
      </c>
      <c r="RY4" s="1">
        <v>16.886674880981399</v>
      </c>
      <c r="RZ4" s="1">
        <v>36.260005950927699</v>
      </c>
      <c r="SA4" s="1">
        <v>36.260005950927699</v>
      </c>
      <c r="SB4" s="1">
        <v>36.260005950927699</v>
      </c>
      <c r="SC4" s="1">
        <v>36.260005950927699</v>
      </c>
      <c r="SD4" s="1">
        <v>36.260005950927699</v>
      </c>
      <c r="SE4" s="1">
        <v>41</v>
      </c>
      <c r="SF4" s="1">
        <v>41</v>
      </c>
      <c r="SG4" s="1">
        <v>41</v>
      </c>
      <c r="SH4" s="1">
        <v>41</v>
      </c>
      <c r="SI4" s="1">
        <v>41</v>
      </c>
      <c r="SJ4" s="1">
        <v>15.3979845046997</v>
      </c>
      <c r="SK4" s="1">
        <v>15.3979845046997</v>
      </c>
      <c r="SL4" s="1">
        <v>15.3979845046997</v>
      </c>
      <c r="SM4" s="1">
        <v>15.3979845046997</v>
      </c>
      <c r="SN4" s="1">
        <v>15.3979845046997</v>
      </c>
      <c r="SO4" s="1">
        <v>6</v>
      </c>
      <c r="SP4" s="1">
        <v>6</v>
      </c>
      <c r="SQ4" s="1">
        <v>6</v>
      </c>
      <c r="SR4" s="1">
        <v>6</v>
      </c>
      <c r="SS4" s="1">
        <v>6</v>
      </c>
      <c r="ST4" s="1">
        <v>33</v>
      </c>
      <c r="SU4" s="1">
        <v>33</v>
      </c>
      <c r="SV4" s="1">
        <v>33</v>
      </c>
      <c r="SW4" s="1">
        <v>33</v>
      </c>
      <c r="SX4" s="1">
        <v>33</v>
      </c>
      <c r="SY4" s="1">
        <v>29</v>
      </c>
      <c r="SZ4" s="1">
        <v>29</v>
      </c>
      <c r="TA4" s="1">
        <v>29</v>
      </c>
      <c r="TB4" s="1">
        <v>29</v>
      </c>
      <c r="TC4" s="1">
        <v>29</v>
      </c>
      <c r="TD4" s="1">
        <v>20.6301956176757</v>
      </c>
      <c r="TE4" s="1">
        <v>20.6301956176757</v>
      </c>
      <c r="TF4" s="1">
        <v>20.6301956176757</v>
      </c>
      <c r="TG4" s="1">
        <v>20.6301956176757</v>
      </c>
      <c r="TH4" s="1">
        <v>20.6301956176757</v>
      </c>
      <c r="TI4" s="1">
        <v>46</v>
      </c>
      <c r="TJ4" s="1">
        <v>46</v>
      </c>
      <c r="TK4" s="1">
        <v>46</v>
      </c>
      <c r="TL4" s="1">
        <v>46</v>
      </c>
      <c r="TM4" s="1">
        <v>46</v>
      </c>
      <c r="TN4" s="1">
        <v>8</v>
      </c>
      <c r="TO4" s="1">
        <v>8</v>
      </c>
      <c r="TP4" s="1">
        <v>8</v>
      </c>
      <c r="TQ4" s="1">
        <v>8</v>
      </c>
      <c r="TR4" s="1">
        <v>8</v>
      </c>
      <c r="TS4" s="1">
        <v>23.533229827880799</v>
      </c>
      <c r="TT4" s="1">
        <v>23.533229827880799</v>
      </c>
      <c r="TU4" s="1">
        <v>23.533229827880799</v>
      </c>
      <c r="TV4" s="1">
        <v>23.533229827880799</v>
      </c>
      <c r="TW4" s="1">
        <v>23.533229827880799</v>
      </c>
      <c r="TX4" s="1">
        <v>75.711982727050696</v>
      </c>
      <c r="TY4" s="1">
        <v>75.711982727050696</v>
      </c>
      <c r="TZ4" s="1">
        <v>75.711982727050696</v>
      </c>
      <c r="UA4" s="1">
        <v>75.711982727050696</v>
      </c>
      <c r="UB4" s="1">
        <v>75.711982727050696</v>
      </c>
      <c r="UC4" s="1">
        <v>16.435888290405199</v>
      </c>
      <c r="UD4" s="1">
        <v>16.435888290405199</v>
      </c>
      <c r="UE4" s="1">
        <v>16.435888290405199</v>
      </c>
      <c r="UF4" s="1">
        <v>16.435888290405199</v>
      </c>
      <c r="UG4" s="1">
        <v>16.435888290405199</v>
      </c>
      <c r="UH4" s="1">
        <v>25</v>
      </c>
      <c r="UI4" s="1">
        <v>25</v>
      </c>
      <c r="UJ4" s="1">
        <v>25</v>
      </c>
      <c r="UK4" s="1">
        <v>25</v>
      </c>
      <c r="UL4" s="1">
        <v>25</v>
      </c>
      <c r="UM4" s="1">
        <v>33</v>
      </c>
      <c r="UN4" s="1">
        <v>33</v>
      </c>
      <c r="UO4" s="1">
        <v>33</v>
      </c>
      <c r="UP4" s="1">
        <v>33</v>
      </c>
      <c r="UQ4" s="1">
        <v>33</v>
      </c>
      <c r="UR4" s="1">
        <v>18.578865051269499</v>
      </c>
      <c r="US4" s="1">
        <v>18.578865051269499</v>
      </c>
      <c r="UT4" s="1">
        <v>18.578865051269499</v>
      </c>
      <c r="UU4" s="1">
        <v>18.578865051269499</v>
      </c>
      <c r="UV4" s="1">
        <v>18.578865051269499</v>
      </c>
      <c r="UW4" s="1">
        <v>93.196271896362305</v>
      </c>
      <c r="UX4" s="1">
        <v>20.6301956176757</v>
      </c>
      <c r="UY4" s="1">
        <v>20.6301956176757</v>
      </c>
      <c r="UZ4" s="1">
        <v>20.6301956176757</v>
      </c>
      <c r="VA4" s="1">
        <v>20.6301956176757</v>
      </c>
      <c r="VB4" s="1">
        <v>20.6301956176757</v>
      </c>
      <c r="VC4" s="1">
        <v>41</v>
      </c>
      <c r="VD4" s="1">
        <v>41</v>
      </c>
      <c r="VE4" s="1">
        <v>41</v>
      </c>
      <c r="VF4" s="1">
        <v>41</v>
      </c>
      <c r="VG4" s="1">
        <v>41</v>
      </c>
      <c r="VH4" s="1">
        <v>71.048103332519503</v>
      </c>
      <c r="VI4" s="1">
        <v>71.048103332519503</v>
      </c>
      <c r="VJ4" s="1">
        <v>71.048103332519503</v>
      </c>
      <c r="VK4" s="1">
        <v>71.048103332519503</v>
      </c>
      <c r="VL4" s="1">
        <v>71.048103332519503</v>
      </c>
      <c r="VM4" s="1">
        <v>33</v>
      </c>
      <c r="VN4" s="1">
        <v>33</v>
      </c>
      <c r="VO4" s="1">
        <v>33</v>
      </c>
      <c r="VP4" s="1">
        <v>33</v>
      </c>
      <c r="VQ4" s="1">
        <v>33</v>
      </c>
      <c r="VR4" s="1">
        <v>43.635046872225601</v>
      </c>
      <c r="VS4" s="1">
        <v>43.635046872225601</v>
      </c>
      <c r="VT4" s="1">
        <v>43.635046872225601</v>
      </c>
      <c r="VU4" s="1">
        <v>43.635046872225601</v>
      </c>
      <c r="VV4" s="1">
        <v>43.635046872225601</v>
      </c>
      <c r="VW4" s="1">
        <v>41</v>
      </c>
      <c r="VX4" s="1">
        <v>41</v>
      </c>
      <c r="VY4" s="1">
        <v>41</v>
      </c>
      <c r="VZ4" s="1">
        <v>41</v>
      </c>
      <c r="WA4" s="1">
        <v>41</v>
      </c>
      <c r="WB4" s="1">
        <v>21.131856918334901</v>
      </c>
      <c r="WC4" s="1">
        <v>21.131856918334901</v>
      </c>
      <c r="WD4" s="1">
        <v>21.131856918334901</v>
      </c>
      <c r="WE4" s="1">
        <v>21.131856918334901</v>
      </c>
      <c r="WF4" s="1">
        <v>21.131856918334901</v>
      </c>
      <c r="WG4" s="1">
        <v>66.922064208984295</v>
      </c>
      <c r="WH4" s="1">
        <v>66.922064208984295</v>
      </c>
      <c r="WI4" s="1">
        <v>66.922064208984295</v>
      </c>
      <c r="WJ4" s="1">
        <v>66.922064208984295</v>
      </c>
      <c r="WK4" s="1">
        <v>66.922064208984295</v>
      </c>
      <c r="WL4" s="1">
        <v>8</v>
      </c>
      <c r="WM4" s="1">
        <v>8</v>
      </c>
      <c r="WN4" s="1">
        <v>8</v>
      </c>
      <c r="WO4" s="1">
        <v>8</v>
      </c>
      <c r="WP4" s="1">
        <v>8</v>
      </c>
      <c r="WQ4" s="1">
        <v>13.168941497802701</v>
      </c>
      <c r="WR4" s="1">
        <v>13.168941497802701</v>
      </c>
      <c r="WS4" s="1">
        <v>13.168941497802701</v>
      </c>
      <c r="WT4" s="1">
        <v>13.168941497802701</v>
      </c>
      <c r="WU4" s="1">
        <v>13.168941497802701</v>
      </c>
      <c r="WV4" s="1">
        <v>6.7743735313415501</v>
      </c>
      <c r="WW4" s="1">
        <v>6.7743735313415501</v>
      </c>
      <c r="WX4" s="1">
        <v>6.7743735313415501</v>
      </c>
      <c r="WY4" s="1">
        <v>6.7743735313415501</v>
      </c>
      <c r="WZ4" s="1">
        <v>6.7743735313415501</v>
      </c>
      <c r="XA4" s="1">
        <v>37</v>
      </c>
      <c r="XB4" s="1">
        <v>37</v>
      </c>
      <c r="XC4" s="1">
        <v>37</v>
      </c>
      <c r="XD4" s="1">
        <v>37</v>
      </c>
      <c r="XE4" s="1">
        <v>37</v>
      </c>
      <c r="XF4" s="1">
        <v>4</v>
      </c>
      <c r="XG4" s="1">
        <v>4</v>
      </c>
      <c r="XH4" s="1">
        <v>4</v>
      </c>
      <c r="XI4" s="1">
        <v>4</v>
      </c>
      <c r="XJ4" s="1">
        <v>4</v>
      </c>
      <c r="XK4" s="1">
        <v>29</v>
      </c>
      <c r="XL4" s="1">
        <v>29</v>
      </c>
      <c r="XM4" s="1">
        <v>29</v>
      </c>
      <c r="XN4" s="1">
        <v>29</v>
      </c>
      <c r="XO4" s="1">
        <v>29</v>
      </c>
      <c r="XP4" s="1">
        <v>53.047428131103501</v>
      </c>
      <c r="XQ4" s="1">
        <v>53.047428131103501</v>
      </c>
      <c r="XR4" s="1">
        <v>53.047428131103501</v>
      </c>
      <c r="XS4" s="1">
        <v>53.047428131103501</v>
      </c>
      <c r="XT4" s="1">
        <v>53.047428131103501</v>
      </c>
      <c r="XU4" s="1">
        <v>59.5</v>
      </c>
      <c r="XV4" s="1">
        <v>59.5</v>
      </c>
      <c r="XW4" s="1">
        <v>59.5</v>
      </c>
      <c r="XX4" s="1">
        <v>59.5</v>
      </c>
      <c r="XY4" s="1">
        <v>59.5</v>
      </c>
      <c r="XZ4" s="1">
        <v>45</v>
      </c>
      <c r="YA4" s="1">
        <v>45</v>
      </c>
      <c r="YB4" s="1">
        <v>45</v>
      </c>
      <c r="YC4" s="1">
        <v>45</v>
      </c>
      <c r="YD4" s="1">
        <v>45</v>
      </c>
      <c r="YE4" s="1">
        <v>25</v>
      </c>
      <c r="YF4" s="1">
        <v>25</v>
      </c>
      <c r="YG4" s="1">
        <v>25</v>
      </c>
      <c r="YH4" s="1">
        <v>25</v>
      </c>
      <c r="YI4" s="1">
        <v>25</v>
      </c>
      <c r="YJ4" s="1">
        <v>29</v>
      </c>
      <c r="YK4" s="1">
        <v>29</v>
      </c>
      <c r="YL4" s="1">
        <v>29</v>
      </c>
      <c r="YM4" s="1">
        <v>29</v>
      </c>
      <c r="YN4" s="1">
        <v>29</v>
      </c>
      <c r="YO4" s="1">
        <v>20.6301956176757</v>
      </c>
      <c r="YP4" s="1">
        <v>20.6301956176757</v>
      </c>
      <c r="YQ4" s="1">
        <v>20.6301956176757</v>
      </c>
      <c r="YR4" s="1">
        <v>20.6301956176757</v>
      </c>
      <c r="YS4" s="1">
        <v>20.6301956176757</v>
      </c>
      <c r="YT4" s="1">
        <v>46</v>
      </c>
      <c r="YU4" s="1">
        <v>46</v>
      </c>
      <c r="YV4" s="1">
        <v>46</v>
      </c>
      <c r="YW4" s="1">
        <v>46</v>
      </c>
      <c r="YX4" s="1">
        <v>46</v>
      </c>
      <c r="YY4" s="1">
        <v>6.6666666666666599</v>
      </c>
      <c r="YZ4" s="1">
        <v>6.6666666666666599</v>
      </c>
      <c r="ZA4" s="1">
        <v>6.6666666666666599</v>
      </c>
      <c r="ZB4" s="1">
        <v>6.6666666666666599</v>
      </c>
      <c r="ZC4" s="1">
        <v>6.6666666666666599</v>
      </c>
      <c r="ZD4" s="1">
        <v>20.6301956176757</v>
      </c>
      <c r="ZE4" s="1">
        <v>20.6301956176757</v>
      </c>
      <c r="ZF4" s="1">
        <v>20.6301956176757</v>
      </c>
      <c r="ZG4" s="1">
        <v>20.6301956176757</v>
      </c>
      <c r="ZH4" s="1">
        <v>20.6301956176757</v>
      </c>
      <c r="ZI4" s="1">
        <v>1</v>
      </c>
      <c r="ZJ4" s="1">
        <v>1</v>
      </c>
      <c r="ZK4" s="1">
        <v>1</v>
      </c>
      <c r="ZL4" s="1">
        <v>1</v>
      </c>
      <c r="ZM4" s="1">
        <v>1</v>
      </c>
      <c r="ZN4" s="1">
        <v>4.9567809104919398</v>
      </c>
      <c r="ZO4" s="1">
        <v>4.9567809104919398</v>
      </c>
      <c r="ZP4" s="1">
        <v>4.9567809104919398</v>
      </c>
      <c r="ZQ4" s="1">
        <v>4.9567809104919398</v>
      </c>
      <c r="ZR4" s="1">
        <v>4.9567809104919398</v>
      </c>
      <c r="ZS4" s="1">
        <v>44.7572021484375</v>
      </c>
      <c r="ZT4" s="1">
        <v>44.7572021484375</v>
      </c>
      <c r="ZU4" s="1">
        <v>44.7572021484375</v>
      </c>
      <c r="ZV4" s="1">
        <v>44.7572021484375</v>
      </c>
      <c r="ZW4" s="1">
        <v>44.7572021484375</v>
      </c>
      <c r="ZX4" s="1">
        <v>8</v>
      </c>
      <c r="ZY4" s="1">
        <v>8</v>
      </c>
      <c r="ZZ4" s="1">
        <v>8</v>
      </c>
      <c r="AAA4" s="1">
        <v>8</v>
      </c>
      <c r="AAB4" s="1">
        <v>8</v>
      </c>
      <c r="AAC4" s="1">
        <v>74.779998779296804</v>
      </c>
      <c r="AAD4" s="1">
        <v>74.779998779296804</v>
      </c>
      <c r="AAE4" s="1">
        <v>74.779998779296804</v>
      </c>
      <c r="AAF4" s="1">
        <v>74.779998779296804</v>
      </c>
      <c r="AAG4" s="1">
        <v>74.779998779296804</v>
      </c>
      <c r="AAH4" s="1">
        <v>33</v>
      </c>
      <c r="AAI4" s="1">
        <v>33</v>
      </c>
      <c r="AAJ4" s="1">
        <v>33</v>
      </c>
      <c r="AAK4" s="1">
        <v>33</v>
      </c>
      <c r="AAL4" s="1">
        <v>33</v>
      </c>
      <c r="AAM4" s="1">
        <v>33</v>
      </c>
      <c r="AAN4" s="1">
        <v>33</v>
      </c>
      <c r="AAO4" s="1">
        <v>33</v>
      </c>
      <c r="AAP4" s="1">
        <v>33</v>
      </c>
      <c r="AAQ4" s="1">
        <v>33</v>
      </c>
      <c r="AAR4" s="1">
        <v>16.045707702636701</v>
      </c>
      <c r="AAS4" s="1">
        <v>16.045707702636701</v>
      </c>
      <c r="AAT4" s="1">
        <v>16.045707702636701</v>
      </c>
      <c r="AAU4" s="1">
        <v>16.045707702636701</v>
      </c>
      <c r="AAV4" s="1">
        <v>16.045707702636701</v>
      </c>
      <c r="AAW4" s="1">
        <v>46</v>
      </c>
      <c r="AAX4" s="1">
        <v>46</v>
      </c>
      <c r="AAY4" s="1">
        <v>46</v>
      </c>
      <c r="AAZ4" s="1">
        <v>46</v>
      </c>
      <c r="ABA4" s="1">
        <v>46</v>
      </c>
      <c r="ABB4" s="1">
        <v>13.168941497802701</v>
      </c>
    </row>
    <row r="5" spans="1:730" x14ac:dyDescent="0.15">
      <c r="A5" s="2">
        <v>44805</v>
      </c>
      <c r="B5" s="1" t="s">
        <v>10</v>
      </c>
      <c r="C5" s="1" t="s">
        <v>11</v>
      </c>
      <c r="D5" s="1">
        <v>29</v>
      </c>
      <c r="E5" s="1">
        <v>216.48793162963401</v>
      </c>
      <c r="F5" s="1">
        <v>973.200927734375</v>
      </c>
      <c r="G5" s="1" t="s">
        <v>4</v>
      </c>
      <c r="H5" s="1">
        <v>547.52577971592802</v>
      </c>
      <c r="I5" s="1">
        <v>812.49295312482695</v>
      </c>
      <c r="J5" s="1">
        <v>428.890569284153</v>
      </c>
      <c r="K5" s="1">
        <v>216.48793162963401</v>
      </c>
      <c r="L5" s="1">
        <v>216.48793162963401</v>
      </c>
      <c r="M5" s="1">
        <v>216.48793162963401</v>
      </c>
      <c r="N5" s="1">
        <v>216.48793162963401</v>
      </c>
      <c r="O5" s="1">
        <v>216.48793162963401</v>
      </c>
      <c r="P5" s="1">
        <v>174.198605196925</v>
      </c>
      <c r="Q5" s="1">
        <v>174.198605196925</v>
      </c>
      <c r="R5" s="1">
        <v>174.198605196925</v>
      </c>
      <c r="S5" s="1">
        <v>174.198605196925</v>
      </c>
      <c r="T5" s="1">
        <v>174.198605196925</v>
      </c>
      <c r="U5" s="1">
        <v>194.38031713026399</v>
      </c>
      <c r="V5" s="1">
        <v>194.38031713026399</v>
      </c>
      <c r="W5" s="1">
        <v>194.38031713026399</v>
      </c>
      <c r="X5" s="1">
        <v>194.38031713026399</v>
      </c>
      <c r="Y5" s="1">
        <v>194.38031713026399</v>
      </c>
      <c r="Z5" s="1">
        <v>80.622654574438599</v>
      </c>
      <c r="AA5" s="1">
        <v>80.622654574438599</v>
      </c>
      <c r="AB5" s="1">
        <v>80.622654574438599</v>
      </c>
      <c r="AC5" s="1">
        <v>80.622654574438599</v>
      </c>
      <c r="AD5" s="1">
        <v>80.622654574438599</v>
      </c>
      <c r="AE5" s="1">
        <v>544.87181109786002</v>
      </c>
      <c r="AF5" s="1">
        <v>544.87181109786002</v>
      </c>
      <c r="AG5" s="1">
        <v>544.87181109786002</v>
      </c>
      <c r="AH5" s="1">
        <v>544.87181109786002</v>
      </c>
      <c r="AI5" s="1">
        <v>544.87181109786002</v>
      </c>
      <c r="AJ5" s="1">
        <v>247.05766860419101</v>
      </c>
      <c r="AK5" s="1">
        <v>247.05766860419101</v>
      </c>
      <c r="AL5" s="1">
        <v>247.05766860419101</v>
      </c>
      <c r="AM5" s="1">
        <v>247.05766860419101</v>
      </c>
      <c r="AN5" s="1">
        <v>247.05766860419101</v>
      </c>
      <c r="AO5" s="1">
        <v>381.44976043361299</v>
      </c>
      <c r="AP5" s="1">
        <v>381.44976043361299</v>
      </c>
      <c r="AQ5" s="1">
        <v>381.44976043361299</v>
      </c>
      <c r="AR5" s="1">
        <v>381.44976043361299</v>
      </c>
      <c r="AS5" s="1">
        <v>381.44976043361299</v>
      </c>
      <c r="AT5" s="1">
        <v>389.51733800494901</v>
      </c>
      <c r="AU5" s="1">
        <v>516.69228013723705</v>
      </c>
      <c r="AV5" s="1">
        <v>516.69228013723705</v>
      </c>
      <c r="AW5" s="1">
        <v>516.69228013723705</v>
      </c>
      <c r="AX5" s="1">
        <v>516.69228013723705</v>
      </c>
      <c r="AY5" s="1">
        <v>516.69228013723705</v>
      </c>
      <c r="AZ5" s="1">
        <v>157.407186864366</v>
      </c>
      <c r="BA5" s="1">
        <v>157.407186864366</v>
      </c>
      <c r="BB5" s="1">
        <v>157.407186864366</v>
      </c>
      <c r="BC5" s="1">
        <v>157.407186864366</v>
      </c>
      <c r="BD5" s="1">
        <v>157.407186864366</v>
      </c>
      <c r="BE5" s="1">
        <v>607.88058614859403</v>
      </c>
      <c r="BF5" s="1">
        <v>607.88058614859403</v>
      </c>
      <c r="BG5" s="1">
        <v>607.88058614859403</v>
      </c>
      <c r="BH5" s="1">
        <v>607.88058614859403</v>
      </c>
      <c r="BI5" s="1">
        <v>607.88058614859403</v>
      </c>
      <c r="BJ5" s="1">
        <v>156.18415945218001</v>
      </c>
      <c r="BK5" s="1">
        <v>156.18415945218001</v>
      </c>
      <c r="BL5" s="1">
        <v>156.18415945218001</v>
      </c>
      <c r="BM5" s="1">
        <v>156.18415945218001</v>
      </c>
      <c r="BN5" s="1">
        <v>156.18415945218001</v>
      </c>
      <c r="BO5" s="1">
        <v>150.74422729516101</v>
      </c>
      <c r="BP5" s="1">
        <v>150.74422729516101</v>
      </c>
      <c r="BQ5" s="1">
        <v>150.74422729516101</v>
      </c>
      <c r="BR5" s="1">
        <v>150.74422729516101</v>
      </c>
      <c r="BS5" s="1">
        <v>150.74422729516101</v>
      </c>
      <c r="BT5" s="1">
        <v>215.266524428515</v>
      </c>
      <c r="BU5" s="1">
        <v>215.266524428515</v>
      </c>
      <c r="BV5" s="1">
        <v>215.266524428515</v>
      </c>
      <c r="BW5" s="1">
        <v>215.266524428515</v>
      </c>
      <c r="BX5" s="1">
        <v>215.266524428515</v>
      </c>
      <c r="BY5" s="1">
        <v>103.130635270556</v>
      </c>
      <c r="BZ5" s="1">
        <v>103.130635270556</v>
      </c>
      <c r="CA5" s="1">
        <v>103.130635270556</v>
      </c>
      <c r="CB5" s="1">
        <v>103.130635270556</v>
      </c>
      <c r="CC5" s="1">
        <v>103.130635270556</v>
      </c>
      <c r="CD5" s="1">
        <v>780.81449823100797</v>
      </c>
      <c r="CE5" s="1">
        <v>780.81449823100797</v>
      </c>
      <c r="CF5" s="1">
        <v>780.81449823100797</v>
      </c>
      <c r="CG5" s="1">
        <v>780.81449823100797</v>
      </c>
      <c r="CH5" s="1">
        <v>780.81449823100797</v>
      </c>
      <c r="CI5" s="1">
        <v>118.62173176469101</v>
      </c>
      <c r="CJ5" s="1">
        <v>118.62173176469101</v>
      </c>
      <c r="CK5" s="1">
        <v>118.62173176469101</v>
      </c>
      <c r="CL5" s="1">
        <v>118.62173176469101</v>
      </c>
      <c r="CM5" s="1">
        <v>118.62173176469101</v>
      </c>
      <c r="CN5" s="1">
        <v>466.35683522453098</v>
      </c>
      <c r="CO5" s="1">
        <v>466.35683522453098</v>
      </c>
      <c r="CP5" s="1">
        <v>466.35683522453098</v>
      </c>
      <c r="CQ5" s="1">
        <v>466.35683522453098</v>
      </c>
      <c r="CR5" s="1">
        <v>466.35683522453098</v>
      </c>
      <c r="CS5" s="1">
        <v>588.81133427065402</v>
      </c>
      <c r="CT5" s="1">
        <v>588.81133427065402</v>
      </c>
      <c r="CU5" s="1">
        <v>588.81133427065402</v>
      </c>
      <c r="CV5" s="1">
        <v>588.81133427065402</v>
      </c>
      <c r="CW5" s="1">
        <v>588.81133427065402</v>
      </c>
      <c r="CX5" s="1">
        <v>243.69845021218799</v>
      </c>
      <c r="CY5" s="1">
        <v>243.69845021218799</v>
      </c>
      <c r="CZ5" s="1">
        <v>243.69845021218799</v>
      </c>
      <c r="DA5" s="1">
        <v>243.69845021218799</v>
      </c>
      <c r="DB5" s="1">
        <v>243.69845021218799</v>
      </c>
      <c r="DC5" s="1">
        <v>84.742477777688705</v>
      </c>
      <c r="DD5" s="1">
        <v>84.742477777688705</v>
      </c>
      <c r="DE5" s="1">
        <v>84.742477777688705</v>
      </c>
      <c r="DF5" s="1">
        <v>84.742477777688705</v>
      </c>
      <c r="DG5" s="1">
        <v>84.742477777688705</v>
      </c>
      <c r="DH5" s="1">
        <v>388.33786990491097</v>
      </c>
      <c r="DI5" s="1">
        <v>388.33786990491097</v>
      </c>
      <c r="DJ5" s="1">
        <v>388.33786990491097</v>
      </c>
      <c r="DK5" s="1">
        <v>388.33786990491097</v>
      </c>
      <c r="DL5" s="1">
        <v>388.33786990491097</v>
      </c>
      <c r="DM5" s="1">
        <v>193.942563919023</v>
      </c>
      <c r="DN5" s="1">
        <v>193.942563919023</v>
      </c>
      <c r="DO5" s="1">
        <v>193.942563919023</v>
      </c>
      <c r="DP5" s="1">
        <v>193.942563919023</v>
      </c>
      <c r="DQ5" s="1">
        <v>193.942563919023</v>
      </c>
      <c r="DR5" s="1">
        <v>75.906196455876398</v>
      </c>
      <c r="DS5" s="1">
        <v>75.906196455876398</v>
      </c>
      <c r="DT5" s="1">
        <v>75.906196455876398</v>
      </c>
      <c r="DU5" s="1">
        <v>75.906196455876398</v>
      </c>
      <c r="DV5" s="1">
        <v>75.906196455876398</v>
      </c>
      <c r="DW5" s="1">
        <v>89.076176927241704</v>
      </c>
      <c r="DX5" s="1">
        <v>89.076176927241704</v>
      </c>
      <c r="DY5" s="1">
        <v>89.076176927241704</v>
      </c>
      <c r="DZ5" s="1">
        <v>89.076176927241704</v>
      </c>
      <c r="EA5" s="1">
        <v>89.076176927241704</v>
      </c>
      <c r="EB5" s="1">
        <v>174.79286917086301</v>
      </c>
      <c r="EC5" s="1">
        <v>174.79286917086301</v>
      </c>
      <c r="ED5" s="1">
        <v>174.79286917086301</v>
      </c>
      <c r="EE5" s="1">
        <v>174.79286917086301</v>
      </c>
      <c r="EF5" s="1">
        <v>174.79286917086301</v>
      </c>
      <c r="EG5" s="1">
        <v>557.30108303629004</v>
      </c>
      <c r="EH5" s="1">
        <v>557.30108303629004</v>
      </c>
      <c r="EI5" s="1">
        <v>557.30108303629004</v>
      </c>
      <c r="EJ5" s="1">
        <v>557.30108303629004</v>
      </c>
      <c r="EK5" s="1">
        <v>557.30108303629004</v>
      </c>
      <c r="EL5" s="1">
        <v>211.49162812994399</v>
      </c>
      <c r="EM5" s="1">
        <v>211.49162812994399</v>
      </c>
      <c r="EN5" s="1">
        <v>211.49162812994399</v>
      </c>
      <c r="EO5" s="1">
        <v>211.49162812994399</v>
      </c>
      <c r="EP5" s="1">
        <v>211.49162812994399</v>
      </c>
      <c r="EQ5" s="1">
        <v>527.881311823592</v>
      </c>
      <c r="ER5" s="1">
        <v>527.881311823592</v>
      </c>
      <c r="ES5" s="1">
        <v>527.881311823592</v>
      </c>
      <c r="ET5" s="1">
        <v>527.881311823592</v>
      </c>
      <c r="EU5" s="1">
        <v>527.881311823592</v>
      </c>
      <c r="EV5" s="1">
        <v>228.65575292549599</v>
      </c>
      <c r="EW5" s="1">
        <v>228.65575292549599</v>
      </c>
      <c r="EX5" s="1">
        <v>228.65575292549599</v>
      </c>
      <c r="EY5" s="1">
        <v>228.65575292549599</v>
      </c>
      <c r="EZ5" s="1">
        <v>228.65575292549599</v>
      </c>
      <c r="FA5" s="1">
        <v>352.78548805864301</v>
      </c>
      <c r="FB5" s="1">
        <v>352.78548805864301</v>
      </c>
      <c r="FC5" s="1">
        <v>352.78548805864301</v>
      </c>
      <c r="FD5" s="1">
        <v>352.78548805864301</v>
      </c>
      <c r="FE5" s="1">
        <v>352.78548805864301</v>
      </c>
      <c r="FF5" s="1">
        <v>180.734986536527</v>
      </c>
      <c r="FG5" s="1">
        <v>180.734986536527</v>
      </c>
      <c r="FH5" s="1">
        <v>180.734986536527</v>
      </c>
      <c r="FI5" s="1">
        <v>180.734986536527</v>
      </c>
      <c r="FJ5" s="1">
        <v>180.734986536527</v>
      </c>
      <c r="FK5" s="1">
        <v>157.21747193799899</v>
      </c>
      <c r="FL5" s="1">
        <v>157.21747193799899</v>
      </c>
      <c r="FM5" s="1">
        <v>157.21747193799899</v>
      </c>
      <c r="FN5" s="1">
        <v>157.21747193799899</v>
      </c>
      <c r="FO5" s="1">
        <v>157.21747193799899</v>
      </c>
      <c r="FP5" s="1">
        <v>162.34834946079599</v>
      </c>
      <c r="FQ5" s="1">
        <v>162.34834946079599</v>
      </c>
      <c r="FR5" s="1">
        <v>162.34834946079599</v>
      </c>
      <c r="FS5" s="1">
        <v>162.34834946079599</v>
      </c>
      <c r="FT5" s="1">
        <v>162.34834946079599</v>
      </c>
      <c r="FU5" s="1">
        <v>588.46032726745398</v>
      </c>
      <c r="FV5" s="1">
        <v>588.46032726745398</v>
      </c>
      <c r="FW5" s="1">
        <v>588.46032726745398</v>
      </c>
      <c r="FX5" s="1">
        <v>588.46032726745398</v>
      </c>
      <c r="FY5" s="1">
        <v>588.46032726745398</v>
      </c>
      <c r="FZ5" s="1">
        <v>304.60094109584998</v>
      </c>
      <c r="GA5" s="1">
        <v>304.60094109584998</v>
      </c>
      <c r="GB5" s="1">
        <v>304.60094109584998</v>
      </c>
      <c r="GC5" s="1">
        <v>304.60094109584998</v>
      </c>
      <c r="GD5" s="1">
        <v>304.60094109584998</v>
      </c>
      <c r="GE5" s="1">
        <v>462.55554496444699</v>
      </c>
      <c r="GF5" s="1">
        <v>280.77753396956803</v>
      </c>
      <c r="GG5" s="1">
        <v>280.77753396956803</v>
      </c>
      <c r="GH5" s="1">
        <v>280.77753396956803</v>
      </c>
      <c r="GI5" s="1">
        <v>280.77753396956803</v>
      </c>
      <c r="GJ5" s="1">
        <v>280.77753396956803</v>
      </c>
      <c r="GK5" s="1">
        <v>698.03355963271201</v>
      </c>
      <c r="GL5" s="1">
        <v>698.03355963271201</v>
      </c>
      <c r="GM5" s="1">
        <v>698.03355963271201</v>
      </c>
      <c r="GN5" s="1">
        <v>698.03355963271201</v>
      </c>
      <c r="GO5" s="1">
        <v>698.03355963271201</v>
      </c>
      <c r="GP5" s="1">
        <v>159.216042944674</v>
      </c>
      <c r="GQ5" s="1">
        <v>159.216042944674</v>
      </c>
      <c r="GR5" s="1">
        <v>159.216042944674</v>
      </c>
      <c r="GS5" s="1">
        <v>159.216042944674</v>
      </c>
      <c r="GT5" s="1">
        <v>159.216042944674</v>
      </c>
      <c r="GU5" s="1">
        <v>821.15446214271196</v>
      </c>
      <c r="GV5" s="1">
        <v>821.15446214271196</v>
      </c>
      <c r="GW5" s="1">
        <v>821.15446214271196</v>
      </c>
      <c r="GX5" s="1">
        <v>821.15446214271196</v>
      </c>
      <c r="GY5" s="1">
        <v>821.15446214271196</v>
      </c>
      <c r="GZ5" s="1">
        <v>170.578919526807</v>
      </c>
      <c r="HA5" s="1">
        <v>170.578919526807</v>
      </c>
      <c r="HB5" s="1">
        <v>170.578919526807</v>
      </c>
      <c r="HC5" s="1">
        <v>170.578919526807</v>
      </c>
      <c r="HD5" s="1">
        <v>170.578919526807</v>
      </c>
      <c r="HE5" s="1">
        <v>75.095710935733194</v>
      </c>
      <c r="HF5" s="1">
        <v>75.095710935733194</v>
      </c>
      <c r="HG5" s="1">
        <v>75.095710935733194</v>
      </c>
      <c r="HH5" s="1">
        <v>75.095710935733194</v>
      </c>
      <c r="HI5" s="1">
        <v>75.095710935733194</v>
      </c>
      <c r="HJ5" s="1">
        <v>83.089599197719593</v>
      </c>
      <c r="HK5" s="1">
        <v>83.089599197719593</v>
      </c>
      <c r="HL5" s="1">
        <v>83.089599197719593</v>
      </c>
      <c r="HM5" s="1">
        <v>83.089599197719593</v>
      </c>
      <c r="HN5" s="1">
        <v>83.089599197719593</v>
      </c>
      <c r="HO5" s="1">
        <v>486.08189006899102</v>
      </c>
      <c r="HP5" s="1">
        <v>486.08189006899102</v>
      </c>
      <c r="HQ5" s="1">
        <v>486.08189006899102</v>
      </c>
      <c r="HR5" s="1">
        <v>486.08189006899102</v>
      </c>
      <c r="HS5" s="1">
        <v>486.08189006899102</v>
      </c>
      <c r="HT5" s="1">
        <v>786.16203179380602</v>
      </c>
      <c r="HU5" s="1">
        <v>786.16203179380602</v>
      </c>
      <c r="HV5" s="1">
        <v>786.16203179380602</v>
      </c>
      <c r="HW5" s="1">
        <v>786.16203179380602</v>
      </c>
      <c r="HX5" s="1">
        <v>786.16203179380602</v>
      </c>
      <c r="HY5" s="1">
        <v>175.16751093871099</v>
      </c>
      <c r="HZ5" s="1">
        <v>175.16751093871099</v>
      </c>
      <c r="IA5" s="1">
        <v>175.16751093871099</v>
      </c>
      <c r="IB5" s="1">
        <v>175.16751093871099</v>
      </c>
      <c r="IC5" s="1">
        <v>175.16751093871099</v>
      </c>
      <c r="ID5" s="1">
        <v>245.531769078389</v>
      </c>
      <c r="IE5" s="1">
        <v>245.531769078389</v>
      </c>
      <c r="IF5" s="1">
        <v>245.531769078389</v>
      </c>
      <c r="IG5" s="1">
        <v>245.531769078389</v>
      </c>
      <c r="IH5" s="1">
        <v>245.531769078389</v>
      </c>
      <c r="II5" s="1">
        <v>322.06384346956298</v>
      </c>
      <c r="IJ5" s="1">
        <v>322.06384346956298</v>
      </c>
      <c r="IK5" s="1">
        <v>322.06384346956298</v>
      </c>
      <c r="IL5" s="1">
        <v>322.06384346956298</v>
      </c>
      <c r="IM5" s="1">
        <v>322.06384346956298</v>
      </c>
      <c r="IN5" s="1">
        <v>96.869516284826304</v>
      </c>
      <c r="IO5" s="1">
        <v>96.869516284826304</v>
      </c>
      <c r="IP5" s="1">
        <v>96.869516284826304</v>
      </c>
      <c r="IQ5" s="1">
        <v>96.869516284826304</v>
      </c>
      <c r="IR5" s="1">
        <v>96.869516284826304</v>
      </c>
      <c r="IS5" s="1">
        <v>598.40872625146801</v>
      </c>
      <c r="IT5" s="1">
        <v>598.40872625146801</v>
      </c>
      <c r="IU5" s="1">
        <v>598.40872625146801</v>
      </c>
      <c r="IV5" s="1">
        <v>598.40872625146801</v>
      </c>
      <c r="IW5" s="1">
        <v>598.40872625146801</v>
      </c>
      <c r="IX5" s="1">
        <v>197.417486086612</v>
      </c>
      <c r="IY5" s="1">
        <v>197.417486086612</v>
      </c>
      <c r="IZ5" s="1">
        <v>197.417486086612</v>
      </c>
      <c r="JA5" s="1">
        <v>197.417486086612</v>
      </c>
      <c r="JB5" s="1">
        <v>197.417486086612</v>
      </c>
      <c r="JC5" s="1">
        <v>179.39246368145601</v>
      </c>
      <c r="JD5" s="1">
        <v>179.39246368145601</v>
      </c>
      <c r="JE5" s="1">
        <v>179.39246368145601</v>
      </c>
      <c r="JF5" s="1">
        <v>179.39246368145601</v>
      </c>
      <c r="JG5" s="1">
        <v>179.39246368145601</v>
      </c>
      <c r="JH5" s="1">
        <v>200.01835251521601</v>
      </c>
      <c r="JI5" s="1">
        <v>200.01835251521601</v>
      </c>
      <c r="JJ5" s="1">
        <v>200.01835251521601</v>
      </c>
      <c r="JK5" s="1">
        <v>200.01835251521601</v>
      </c>
      <c r="JL5" s="1">
        <v>200.01835251521601</v>
      </c>
      <c r="JM5" s="1">
        <v>784.17792567844106</v>
      </c>
      <c r="JN5" s="1">
        <v>784.17792567844106</v>
      </c>
      <c r="JO5" s="1">
        <v>784.17792567844106</v>
      </c>
      <c r="JP5" s="1">
        <v>784.17792567844106</v>
      </c>
      <c r="JQ5" s="1">
        <v>784.17792567844106</v>
      </c>
      <c r="JR5" s="1">
        <v>311.709751163097</v>
      </c>
      <c r="JS5" s="1">
        <v>220.625016733135</v>
      </c>
      <c r="JT5" s="1">
        <v>220.625016733135</v>
      </c>
      <c r="JU5" s="1">
        <v>220.625016733135</v>
      </c>
      <c r="JV5" s="1">
        <v>220.625016733135</v>
      </c>
      <c r="JW5" s="1">
        <v>220.625016733135</v>
      </c>
      <c r="JX5" s="1">
        <v>350.80601629449302</v>
      </c>
      <c r="JY5" s="1">
        <v>350.80601629449302</v>
      </c>
      <c r="JZ5" s="1">
        <v>350.80601629449302</v>
      </c>
      <c r="KA5" s="1">
        <v>350.80601629449302</v>
      </c>
      <c r="KB5" s="1">
        <v>350.80601629449302</v>
      </c>
      <c r="KC5" s="1">
        <v>319.28687939417603</v>
      </c>
      <c r="KD5" s="1">
        <v>319.28687939417603</v>
      </c>
      <c r="KE5" s="1">
        <v>319.28687939417603</v>
      </c>
      <c r="KF5" s="1">
        <v>319.28687939417603</v>
      </c>
      <c r="KG5" s="1">
        <v>319.28687939417603</v>
      </c>
      <c r="KH5" s="1">
        <v>109.91060072033</v>
      </c>
      <c r="KI5" s="1">
        <v>109.91060072033</v>
      </c>
      <c r="KJ5" s="1">
        <v>109.91060072033</v>
      </c>
      <c r="KK5" s="1">
        <v>109.91060072033</v>
      </c>
      <c r="KL5" s="1">
        <v>109.91060072033</v>
      </c>
      <c r="KM5" s="1">
        <v>313.28424053660098</v>
      </c>
      <c r="KN5" s="1">
        <v>313.28424053660098</v>
      </c>
      <c r="KO5" s="1">
        <v>313.28424053660098</v>
      </c>
      <c r="KP5" s="1">
        <v>313.28424053660098</v>
      </c>
      <c r="KQ5" s="1">
        <v>313.28424053660098</v>
      </c>
      <c r="KR5" s="1">
        <v>246.055843186023</v>
      </c>
      <c r="KS5" s="1">
        <v>246.055843186023</v>
      </c>
      <c r="KT5" s="1">
        <v>246.055843186023</v>
      </c>
      <c r="KU5" s="1">
        <v>246.055843186023</v>
      </c>
      <c r="KV5" s="1">
        <v>246.055843186023</v>
      </c>
      <c r="KW5" s="1">
        <v>464.40075954990402</v>
      </c>
      <c r="KX5" s="1">
        <v>464.40075954990402</v>
      </c>
      <c r="KY5" s="1">
        <v>464.40075954990402</v>
      </c>
      <c r="KZ5" s="1">
        <v>464.40075954990402</v>
      </c>
      <c r="LA5" s="1">
        <v>464.40075954990402</v>
      </c>
      <c r="LB5" s="1">
        <v>325.85729168814601</v>
      </c>
      <c r="LC5" s="1">
        <v>325.85729168814601</v>
      </c>
      <c r="LD5" s="1">
        <v>325.85729168814601</v>
      </c>
      <c r="LE5" s="1">
        <v>325.85729168814601</v>
      </c>
      <c r="LF5" s="1">
        <v>325.85729168814601</v>
      </c>
      <c r="LG5" s="1">
        <v>227.57572933089401</v>
      </c>
      <c r="LH5" s="1">
        <v>227.57572933089401</v>
      </c>
      <c r="LI5" s="1">
        <v>227.57572933089401</v>
      </c>
      <c r="LJ5" s="1">
        <v>227.57572933089401</v>
      </c>
      <c r="LK5" s="1">
        <v>227.57572933089401</v>
      </c>
      <c r="LL5" s="1">
        <v>77.598852266513603</v>
      </c>
      <c r="LM5" s="1">
        <v>77.598852266513603</v>
      </c>
      <c r="LN5" s="1">
        <v>77.598852266513603</v>
      </c>
      <c r="LO5" s="1">
        <v>77.598852266513603</v>
      </c>
      <c r="LP5" s="1">
        <v>77.598852266513603</v>
      </c>
      <c r="LQ5" s="1">
        <v>593.41155534060101</v>
      </c>
      <c r="LR5" s="1">
        <v>593.41155534060101</v>
      </c>
      <c r="LS5" s="1">
        <v>593.41155534060101</v>
      </c>
      <c r="LT5" s="1">
        <v>593.41155534060101</v>
      </c>
      <c r="LU5" s="1">
        <v>593.41155534060101</v>
      </c>
      <c r="LV5" s="1">
        <v>191.68260371895599</v>
      </c>
      <c r="LW5" s="1">
        <v>191.68260371895599</v>
      </c>
      <c r="LX5" s="1">
        <v>191.68260371895599</v>
      </c>
      <c r="LY5" s="1">
        <v>191.68260371895599</v>
      </c>
      <c r="LZ5" s="1">
        <v>191.68260371895599</v>
      </c>
      <c r="MA5" s="1">
        <v>61.382259017974597</v>
      </c>
      <c r="MB5" s="1">
        <v>61.382259017974597</v>
      </c>
      <c r="MC5" s="1">
        <v>61.382259017974597</v>
      </c>
      <c r="MD5" s="1">
        <v>61.382259017974597</v>
      </c>
      <c r="ME5" s="1">
        <v>61.382259017974597</v>
      </c>
      <c r="MF5" s="1">
        <v>108.568714154684</v>
      </c>
      <c r="MG5" s="1">
        <v>108.568714154684</v>
      </c>
      <c r="MH5" s="1">
        <v>108.568714154684</v>
      </c>
      <c r="MI5" s="1">
        <v>108.568714154684</v>
      </c>
      <c r="MJ5" s="1">
        <v>108.568714154684</v>
      </c>
      <c r="MK5" s="1">
        <v>303.97195562621198</v>
      </c>
      <c r="ML5" s="1">
        <v>303.97195562621198</v>
      </c>
      <c r="MM5" s="1">
        <v>303.97195562621198</v>
      </c>
      <c r="MN5" s="1">
        <v>303.97195562621198</v>
      </c>
      <c r="MO5" s="1">
        <v>303.97195562621198</v>
      </c>
      <c r="MP5" s="1">
        <v>107.6703614483</v>
      </c>
      <c r="MQ5" s="1">
        <v>107.6703614483</v>
      </c>
      <c r="MR5" s="1">
        <v>107.6703614483</v>
      </c>
      <c r="MS5" s="1">
        <v>107.6703614483</v>
      </c>
      <c r="MT5" s="1">
        <v>107.6703614483</v>
      </c>
      <c r="MU5" s="1">
        <v>143.88338968446101</v>
      </c>
      <c r="MV5" s="1">
        <v>143.88338968446101</v>
      </c>
      <c r="MW5" s="1">
        <v>143.88338968446101</v>
      </c>
      <c r="MX5" s="1">
        <v>143.88338968446101</v>
      </c>
      <c r="MY5" s="1">
        <v>143.88338968446101</v>
      </c>
      <c r="MZ5" s="1">
        <v>255.22311342675999</v>
      </c>
      <c r="NA5" s="1">
        <v>255.22311342675999</v>
      </c>
      <c r="NB5" s="1">
        <v>255.22311342675999</v>
      </c>
      <c r="NC5" s="1">
        <v>255.22311342675999</v>
      </c>
      <c r="ND5" s="1">
        <v>255.22311342675999</v>
      </c>
      <c r="NE5" s="1">
        <v>218.13960382753299</v>
      </c>
      <c r="NF5" s="1">
        <v>218.13960382753299</v>
      </c>
      <c r="NG5" s="1">
        <v>218.13960382753299</v>
      </c>
      <c r="NH5" s="1">
        <v>218.13960382753299</v>
      </c>
      <c r="NI5" s="1">
        <v>218.13960382753299</v>
      </c>
      <c r="NJ5" s="1">
        <v>591.44352256288198</v>
      </c>
      <c r="NK5" s="1">
        <v>591.44352256288198</v>
      </c>
      <c r="NL5" s="1">
        <v>591.44352256288198</v>
      </c>
      <c r="NM5" s="1">
        <v>591.44352256288198</v>
      </c>
      <c r="NN5" s="1">
        <v>591.44352256288198</v>
      </c>
      <c r="NO5" s="1">
        <v>330.00684920484002</v>
      </c>
      <c r="NP5" s="1">
        <v>330.00684920484002</v>
      </c>
      <c r="NQ5" s="1">
        <v>330.00684920484002</v>
      </c>
      <c r="NR5" s="1">
        <v>330.00684920484002</v>
      </c>
      <c r="NS5" s="1">
        <v>330.00684920484002</v>
      </c>
      <c r="NT5" s="1">
        <v>420.85933472027801</v>
      </c>
      <c r="NU5" s="1">
        <v>420.85933472027801</v>
      </c>
      <c r="NV5" s="1">
        <v>420.85933472027801</v>
      </c>
      <c r="NW5" s="1">
        <v>420.85933472027801</v>
      </c>
      <c r="NX5" s="1">
        <v>420.85933472027801</v>
      </c>
      <c r="NY5" s="1">
        <v>82.441619359259306</v>
      </c>
      <c r="NZ5" s="1">
        <v>82.441619359259306</v>
      </c>
      <c r="OA5" s="1">
        <v>82.441619359259306</v>
      </c>
      <c r="OB5" s="1">
        <v>82.441619359259306</v>
      </c>
      <c r="OC5" s="1">
        <v>82.441619359259306</v>
      </c>
      <c r="OD5" s="1">
        <v>156.58611877041599</v>
      </c>
      <c r="OE5" s="1">
        <v>156.58611877041599</v>
      </c>
      <c r="OF5" s="1">
        <v>156.58611877041599</v>
      </c>
      <c r="OG5" s="1">
        <v>156.58611877041599</v>
      </c>
      <c r="OH5" s="1">
        <v>156.58611877041599</v>
      </c>
      <c r="OI5" s="1">
        <v>95.622567687908301</v>
      </c>
      <c r="OJ5" s="1">
        <v>95.622567687908301</v>
      </c>
      <c r="OK5" s="1">
        <v>95.622567687908301</v>
      </c>
      <c r="OL5" s="1">
        <v>95.622567687908301</v>
      </c>
      <c r="OM5" s="1">
        <v>95.622567687908301</v>
      </c>
      <c r="ON5" s="1">
        <v>219.431937918823</v>
      </c>
      <c r="OO5" s="1">
        <v>219.431937918823</v>
      </c>
      <c r="OP5" s="1">
        <v>219.431937918823</v>
      </c>
      <c r="OQ5" s="1">
        <v>219.431937918823</v>
      </c>
      <c r="OR5" s="1">
        <v>219.431937918823</v>
      </c>
      <c r="OS5" s="1">
        <v>277.557165158185</v>
      </c>
      <c r="OT5" s="1">
        <v>277.557165158185</v>
      </c>
      <c r="OU5" s="1">
        <v>277.557165158185</v>
      </c>
      <c r="OV5" s="1">
        <v>277.557165158185</v>
      </c>
      <c r="OW5" s="1">
        <v>277.557165158185</v>
      </c>
      <c r="OX5" s="1">
        <v>469.98980034848603</v>
      </c>
      <c r="OY5" s="1">
        <v>469.98980034848603</v>
      </c>
      <c r="OZ5" s="1">
        <v>469.98980034848603</v>
      </c>
      <c r="PA5" s="1">
        <v>469.98980034848603</v>
      </c>
      <c r="PB5" s="1">
        <v>469.98980034848603</v>
      </c>
      <c r="PC5" s="1">
        <v>99.796261462590707</v>
      </c>
      <c r="PD5" s="1">
        <v>99.796261462590707</v>
      </c>
      <c r="PE5" s="1">
        <v>99.796261462590707</v>
      </c>
      <c r="PF5" s="1">
        <v>99.796261462590707</v>
      </c>
      <c r="PG5" s="1">
        <v>99.796261462590707</v>
      </c>
      <c r="PH5" s="1">
        <v>369.53725910721698</v>
      </c>
      <c r="PI5" s="1">
        <v>369.53725910721698</v>
      </c>
      <c r="PJ5" s="1">
        <v>369.53725910721698</v>
      </c>
      <c r="PK5" s="1">
        <v>369.53725910721698</v>
      </c>
      <c r="PL5" s="1">
        <v>369.53725910721698</v>
      </c>
      <c r="PM5" s="1">
        <v>215.36690876782501</v>
      </c>
      <c r="PN5" s="1">
        <v>215.36690876782501</v>
      </c>
      <c r="PO5" s="1">
        <v>215.36690876782501</v>
      </c>
      <c r="PP5" s="1">
        <v>215.36690876782501</v>
      </c>
      <c r="PQ5" s="1">
        <v>215.36690876782501</v>
      </c>
      <c r="PR5" s="1">
        <v>432.41368559216602</v>
      </c>
      <c r="PS5" s="1">
        <v>432.41368559216602</v>
      </c>
      <c r="PT5" s="1">
        <v>432.41368559216602</v>
      </c>
      <c r="PU5" s="1">
        <v>432.41368559216602</v>
      </c>
      <c r="PV5" s="1">
        <v>432.41368559216602</v>
      </c>
      <c r="PW5" s="1">
        <v>191.23856853464301</v>
      </c>
      <c r="PX5" s="1">
        <v>191.23856853464301</v>
      </c>
      <c r="PY5" s="1">
        <v>191.23856853464301</v>
      </c>
      <c r="PZ5" s="1">
        <v>191.23856853464301</v>
      </c>
      <c r="QA5" s="1">
        <v>191.23856853464301</v>
      </c>
      <c r="QB5" s="1">
        <v>444.51927250867101</v>
      </c>
      <c r="QC5" s="1">
        <v>444.51927250867101</v>
      </c>
      <c r="QD5" s="1">
        <v>444.51927250867101</v>
      </c>
      <c r="QE5" s="1">
        <v>444.51927250867101</v>
      </c>
      <c r="QF5" s="1">
        <v>444.51927250867101</v>
      </c>
      <c r="QG5" s="1">
        <v>405.827649143869</v>
      </c>
      <c r="QH5" s="1">
        <v>405.827649143869</v>
      </c>
      <c r="QI5" s="1">
        <v>405.827649143869</v>
      </c>
      <c r="QJ5" s="1">
        <v>405.827649143869</v>
      </c>
      <c r="QK5" s="1">
        <v>405.827649143869</v>
      </c>
      <c r="QL5" s="1">
        <v>196.097834361087</v>
      </c>
      <c r="QM5" s="1">
        <v>196.097834361087</v>
      </c>
      <c r="QN5" s="1">
        <v>196.097834361087</v>
      </c>
      <c r="QO5" s="1">
        <v>196.097834361087</v>
      </c>
      <c r="QP5" s="1">
        <v>196.097834361087</v>
      </c>
      <c r="QQ5" s="1">
        <v>327.01211970590401</v>
      </c>
      <c r="QR5" s="1">
        <v>327.01211970590401</v>
      </c>
      <c r="QS5" s="1">
        <v>327.01211970590401</v>
      </c>
      <c r="QT5" s="1">
        <v>327.01211970590401</v>
      </c>
      <c r="QU5" s="1">
        <v>327.01211970590401</v>
      </c>
      <c r="QV5" s="1">
        <v>579.73955840953204</v>
      </c>
      <c r="QW5" s="1">
        <v>579.73955840953204</v>
      </c>
      <c r="QX5" s="1">
        <v>579.73955840953204</v>
      </c>
      <c r="QY5" s="1">
        <v>579.73955840953204</v>
      </c>
      <c r="QZ5" s="1">
        <v>579.73955840953204</v>
      </c>
      <c r="RA5" s="1">
        <v>189.14462465609199</v>
      </c>
      <c r="RB5" s="1">
        <v>189.14462465609199</v>
      </c>
      <c r="RC5" s="1">
        <v>189.14462465609199</v>
      </c>
      <c r="RD5" s="1">
        <v>189.14462465609199</v>
      </c>
      <c r="RE5" s="1">
        <v>189.14462465609199</v>
      </c>
      <c r="RF5" s="1">
        <v>390.89905913348599</v>
      </c>
      <c r="RG5" s="1">
        <v>390.89905913348599</v>
      </c>
      <c r="RH5" s="1">
        <v>390.89905913348599</v>
      </c>
      <c r="RI5" s="1">
        <v>390.89905913348599</v>
      </c>
      <c r="RJ5" s="1">
        <v>390.89905913348599</v>
      </c>
      <c r="RK5" s="1">
        <v>488.59369590184798</v>
      </c>
      <c r="RL5" s="1">
        <v>488.59369590184798</v>
      </c>
      <c r="RM5" s="1">
        <v>488.59369590184798</v>
      </c>
      <c r="RN5" s="1">
        <v>488.59369590184798</v>
      </c>
      <c r="RO5" s="1">
        <v>488.59369590184798</v>
      </c>
      <c r="RP5" s="1">
        <v>387.611845909659</v>
      </c>
      <c r="RQ5" s="1">
        <v>387.611845909659</v>
      </c>
      <c r="RR5" s="1">
        <v>387.611845909659</v>
      </c>
      <c r="RS5" s="1">
        <v>387.611845909659</v>
      </c>
      <c r="RT5" s="1">
        <v>387.611845909659</v>
      </c>
      <c r="RU5" s="1">
        <v>183.64712885544901</v>
      </c>
      <c r="RV5" s="1">
        <v>183.64712885544901</v>
      </c>
      <c r="RW5" s="1">
        <v>183.64712885544901</v>
      </c>
      <c r="RX5" s="1">
        <v>183.64712885544901</v>
      </c>
      <c r="RY5" s="1">
        <v>183.64712885544901</v>
      </c>
      <c r="RZ5" s="1">
        <v>236.11987090641</v>
      </c>
      <c r="SA5" s="1">
        <v>236.11987090641</v>
      </c>
      <c r="SB5" s="1">
        <v>236.11987090641</v>
      </c>
      <c r="SC5" s="1">
        <v>236.11987090641</v>
      </c>
      <c r="SD5" s="1">
        <v>236.11987090641</v>
      </c>
      <c r="SE5" s="1">
        <v>294.610507146028</v>
      </c>
      <c r="SF5" s="1">
        <v>294.610507146028</v>
      </c>
      <c r="SG5" s="1">
        <v>294.610507146028</v>
      </c>
      <c r="SH5" s="1">
        <v>294.610507146028</v>
      </c>
      <c r="SI5" s="1">
        <v>294.610507146028</v>
      </c>
      <c r="SJ5" s="1">
        <v>114.481683331882</v>
      </c>
      <c r="SK5" s="1">
        <v>114.481683331882</v>
      </c>
      <c r="SL5" s="1">
        <v>114.481683331882</v>
      </c>
      <c r="SM5" s="1">
        <v>114.481683331882</v>
      </c>
      <c r="SN5" s="1">
        <v>114.481683331882</v>
      </c>
      <c r="SO5" s="1">
        <v>72.104488620378405</v>
      </c>
      <c r="SP5" s="1">
        <v>72.104488620378405</v>
      </c>
      <c r="SQ5" s="1">
        <v>72.104488620378405</v>
      </c>
      <c r="SR5" s="1">
        <v>72.104488620378405</v>
      </c>
      <c r="SS5" s="1">
        <v>72.104488620378405</v>
      </c>
      <c r="ST5" s="1">
        <v>246.663170791287</v>
      </c>
      <c r="SU5" s="1">
        <v>246.663170791287</v>
      </c>
      <c r="SV5" s="1">
        <v>246.663170791287</v>
      </c>
      <c r="SW5" s="1">
        <v>246.663170791287</v>
      </c>
      <c r="SX5" s="1">
        <v>246.663170791287</v>
      </c>
      <c r="SY5" s="1">
        <v>217.05306705400099</v>
      </c>
      <c r="SZ5" s="1">
        <v>217.05306705400099</v>
      </c>
      <c r="TA5" s="1">
        <v>217.05306705400099</v>
      </c>
      <c r="TB5" s="1">
        <v>217.05306705400099</v>
      </c>
      <c r="TC5" s="1">
        <v>217.05306705400099</v>
      </c>
      <c r="TD5" s="1">
        <v>175.148190329805</v>
      </c>
      <c r="TE5" s="1">
        <v>175.148190329805</v>
      </c>
      <c r="TF5" s="1">
        <v>175.148190329805</v>
      </c>
      <c r="TG5" s="1">
        <v>175.148190329805</v>
      </c>
      <c r="TH5" s="1">
        <v>175.148190329805</v>
      </c>
      <c r="TI5" s="1">
        <v>360.45678907277102</v>
      </c>
      <c r="TJ5" s="1">
        <v>360.45678907277102</v>
      </c>
      <c r="TK5" s="1">
        <v>360.45678907277102</v>
      </c>
      <c r="TL5" s="1">
        <v>360.45678907277102</v>
      </c>
      <c r="TM5" s="1">
        <v>360.45678907277102</v>
      </c>
      <c r="TN5" s="1">
        <v>117.55215446944599</v>
      </c>
      <c r="TO5" s="1">
        <v>117.55215446944599</v>
      </c>
      <c r="TP5" s="1">
        <v>117.55215446944599</v>
      </c>
      <c r="TQ5" s="1">
        <v>117.55215446944599</v>
      </c>
      <c r="TR5" s="1">
        <v>117.55215446944599</v>
      </c>
      <c r="TS5" s="1">
        <v>197.900212835508</v>
      </c>
      <c r="TT5" s="1">
        <v>197.900212835508</v>
      </c>
      <c r="TU5" s="1">
        <v>197.900212835508</v>
      </c>
      <c r="TV5" s="1">
        <v>197.900212835508</v>
      </c>
      <c r="TW5" s="1">
        <v>197.900212835508</v>
      </c>
      <c r="TX5" s="1">
        <v>833.76816607819899</v>
      </c>
      <c r="TY5" s="1">
        <v>833.76816607819899</v>
      </c>
      <c r="TZ5" s="1">
        <v>833.76816607819899</v>
      </c>
      <c r="UA5" s="1">
        <v>833.76816607819899</v>
      </c>
      <c r="UB5" s="1">
        <v>833.76816607819899</v>
      </c>
      <c r="UC5" s="1">
        <v>171.413219024695</v>
      </c>
      <c r="UD5" s="1">
        <v>171.413219024695</v>
      </c>
      <c r="UE5" s="1">
        <v>171.413219024695</v>
      </c>
      <c r="UF5" s="1">
        <v>171.413219024695</v>
      </c>
      <c r="UG5" s="1">
        <v>171.413219024695</v>
      </c>
      <c r="UH5" s="1">
        <v>206.11037495672301</v>
      </c>
      <c r="UI5" s="1">
        <v>206.11037495672301</v>
      </c>
      <c r="UJ5" s="1">
        <v>206.11037495672301</v>
      </c>
      <c r="UK5" s="1">
        <v>206.11037495672301</v>
      </c>
      <c r="UL5" s="1">
        <v>206.11037495672301</v>
      </c>
      <c r="UM5" s="1">
        <v>260.97519017019999</v>
      </c>
      <c r="UN5" s="1">
        <v>260.97519017019999</v>
      </c>
      <c r="UO5" s="1">
        <v>260.97519017019999</v>
      </c>
      <c r="UP5" s="1">
        <v>260.97519017019999</v>
      </c>
      <c r="UQ5" s="1">
        <v>260.97519017019999</v>
      </c>
      <c r="UR5" s="1">
        <v>180.40723950854701</v>
      </c>
      <c r="US5" s="1">
        <v>180.40723950854701</v>
      </c>
      <c r="UT5" s="1">
        <v>180.40723950854701</v>
      </c>
      <c r="UU5" s="1">
        <v>180.40723950854701</v>
      </c>
      <c r="UV5" s="1">
        <v>180.40723950854701</v>
      </c>
      <c r="UW5" s="1">
        <v>344.68717840331999</v>
      </c>
      <c r="UX5" s="1">
        <v>172.36877358276999</v>
      </c>
      <c r="UY5" s="1">
        <v>172.36877358276999</v>
      </c>
      <c r="UZ5" s="1">
        <v>172.36877358276999</v>
      </c>
      <c r="VA5" s="1">
        <v>172.36877358276999</v>
      </c>
      <c r="VB5" s="1">
        <v>172.36877358276999</v>
      </c>
      <c r="VC5" s="1">
        <v>327.66284999558599</v>
      </c>
      <c r="VD5" s="1">
        <v>327.66284999558599</v>
      </c>
      <c r="VE5" s="1">
        <v>327.66284999558599</v>
      </c>
      <c r="VF5" s="1">
        <v>327.66284999558599</v>
      </c>
      <c r="VG5" s="1">
        <v>327.66284999558599</v>
      </c>
      <c r="VH5" s="1">
        <v>698.83867205545505</v>
      </c>
      <c r="VI5" s="1">
        <v>698.83867205545505</v>
      </c>
      <c r="VJ5" s="1">
        <v>698.83867205545505</v>
      </c>
      <c r="VK5" s="1">
        <v>698.83867205545505</v>
      </c>
      <c r="VL5" s="1">
        <v>698.83867205545505</v>
      </c>
      <c r="VM5" s="1">
        <v>278.23531186371599</v>
      </c>
      <c r="VN5" s="1">
        <v>278.23531186371599</v>
      </c>
      <c r="VO5" s="1">
        <v>278.23531186371599</v>
      </c>
      <c r="VP5" s="1">
        <v>278.23531186371599</v>
      </c>
      <c r="VQ5" s="1">
        <v>278.23531186371599</v>
      </c>
      <c r="VR5" s="1">
        <v>458.00773657230002</v>
      </c>
      <c r="VS5" s="1">
        <v>458.00773657230002</v>
      </c>
      <c r="VT5" s="1">
        <v>458.00773657230002</v>
      </c>
      <c r="VU5" s="1">
        <v>458.00773657230002</v>
      </c>
      <c r="VV5" s="1">
        <v>458.00773657230002</v>
      </c>
      <c r="VW5" s="1">
        <v>347.564984658448</v>
      </c>
      <c r="VX5" s="1">
        <v>347.564984658448</v>
      </c>
      <c r="VY5" s="1">
        <v>347.564984658448</v>
      </c>
      <c r="VZ5" s="1">
        <v>347.564984658448</v>
      </c>
      <c r="WA5" s="1">
        <v>347.564984658448</v>
      </c>
      <c r="WB5" s="1">
        <v>187.46318050491101</v>
      </c>
      <c r="WC5" s="1">
        <v>187.46318050491101</v>
      </c>
      <c r="WD5" s="1">
        <v>187.46318050491101</v>
      </c>
      <c r="WE5" s="1">
        <v>187.46318050491101</v>
      </c>
      <c r="WF5" s="1">
        <v>187.46318050491101</v>
      </c>
      <c r="WG5" s="1">
        <v>422.10263430159102</v>
      </c>
      <c r="WH5" s="1">
        <v>422.10263430159102</v>
      </c>
      <c r="WI5" s="1">
        <v>422.10263430159102</v>
      </c>
      <c r="WJ5" s="1">
        <v>422.10263430159102</v>
      </c>
      <c r="WK5" s="1">
        <v>422.10263430159102</v>
      </c>
      <c r="WL5" s="1">
        <v>107.678133871488</v>
      </c>
      <c r="WM5" s="1">
        <v>107.678133871488</v>
      </c>
      <c r="WN5" s="1">
        <v>107.678133871488</v>
      </c>
      <c r="WO5" s="1">
        <v>107.678133871488</v>
      </c>
      <c r="WP5" s="1">
        <v>107.678133871488</v>
      </c>
      <c r="WQ5" s="1">
        <v>103.436478069293</v>
      </c>
      <c r="WR5" s="1">
        <v>103.436478069293</v>
      </c>
      <c r="WS5" s="1">
        <v>103.436478069293</v>
      </c>
      <c r="WT5" s="1">
        <v>103.436478069293</v>
      </c>
      <c r="WU5" s="1">
        <v>103.436478069293</v>
      </c>
      <c r="WV5" s="1">
        <v>131.22857443211601</v>
      </c>
      <c r="WW5" s="1">
        <v>131.22857443211601</v>
      </c>
      <c r="WX5" s="1">
        <v>131.22857443211601</v>
      </c>
      <c r="WY5" s="1">
        <v>131.22857443211601</v>
      </c>
      <c r="WZ5" s="1">
        <v>131.22857443211601</v>
      </c>
      <c r="XA5" s="1">
        <v>281.690124021381</v>
      </c>
      <c r="XB5" s="1">
        <v>281.690124021381</v>
      </c>
      <c r="XC5" s="1">
        <v>281.690124021381</v>
      </c>
      <c r="XD5" s="1">
        <v>281.690124021381</v>
      </c>
      <c r="XE5" s="1">
        <v>281.690124021381</v>
      </c>
      <c r="XF5" s="1">
        <v>93.268768655354293</v>
      </c>
      <c r="XG5" s="1">
        <v>93.268768655354293</v>
      </c>
      <c r="XH5" s="1">
        <v>93.268768655354293</v>
      </c>
      <c r="XI5" s="1">
        <v>93.268768655354293</v>
      </c>
      <c r="XJ5" s="1">
        <v>93.268768655354293</v>
      </c>
      <c r="XK5" s="1">
        <v>214.05714025198</v>
      </c>
      <c r="XL5" s="1">
        <v>214.05714025198</v>
      </c>
      <c r="XM5" s="1">
        <v>214.05714025198</v>
      </c>
      <c r="XN5" s="1">
        <v>214.05714025198</v>
      </c>
      <c r="XO5" s="1">
        <v>214.05714025198</v>
      </c>
      <c r="XP5" s="1">
        <v>368.491174756536</v>
      </c>
      <c r="XQ5" s="1">
        <v>368.491174756536</v>
      </c>
      <c r="XR5" s="1">
        <v>368.491174756536</v>
      </c>
      <c r="XS5" s="1">
        <v>368.491174756536</v>
      </c>
      <c r="XT5" s="1">
        <v>368.491174756536</v>
      </c>
      <c r="XU5" s="1">
        <v>770.91225334540604</v>
      </c>
      <c r="XV5" s="1">
        <v>770.91225334540604</v>
      </c>
      <c r="XW5" s="1">
        <v>770.91225334540604</v>
      </c>
      <c r="XX5" s="1">
        <v>770.91225334540604</v>
      </c>
      <c r="XY5" s="1">
        <v>770.91225334540604</v>
      </c>
      <c r="XZ5" s="1">
        <v>272.25635728157999</v>
      </c>
      <c r="YA5" s="1">
        <v>272.25635728157999</v>
      </c>
      <c r="YB5" s="1">
        <v>272.25635728157999</v>
      </c>
      <c r="YC5" s="1">
        <v>272.25635728157999</v>
      </c>
      <c r="YD5" s="1">
        <v>272.25635728157999</v>
      </c>
      <c r="YE5" s="1">
        <v>193.557483343294</v>
      </c>
      <c r="YF5" s="1">
        <v>193.557483343294</v>
      </c>
      <c r="YG5" s="1">
        <v>193.557483343294</v>
      </c>
      <c r="YH5" s="1">
        <v>193.557483343294</v>
      </c>
      <c r="YI5" s="1">
        <v>193.557483343294</v>
      </c>
      <c r="YJ5" s="1">
        <v>230.291718822299</v>
      </c>
      <c r="YK5" s="1">
        <v>230.291718822299</v>
      </c>
      <c r="YL5" s="1">
        <v>230.291718822299</v>
      </c>
      <c r="YM5" s="1">
        <v>230.291718822299</v>
      </c>
      <c r="YN5" s="1">
        <v>230.291718822299</v>
      </c>
      <c r="YO5" s="1">
        <v>160.770080908186</v>
      </c>
      <c r="YP5" s="1">
        <v>160.770080908186</v>
      </c>
      <c r="YQ5" s="1">
        <v>160.770080908186</v>
      </c>
      <c r="YR5" s="1">
        <v>160.770080908186</v>
      </c>
      <c r="YS5" s="1">
        <v>160.770080908186</v>
      </c>
      <c r="YT5" s="1">
        <v>386.43882700420301</v>
      </c>
      <c r="YU5" s="1">
        <v>386.43882700420301</v>
      </c>
      <c r="YV5" s="1">
        <v>386.43882700420301</v>
      </c>
      <c r="YW5" s="1">
        <v>386.43882700420301</v>
      </c>
      <c r="YX5" s="1">
        <v>386.43882700420301</v>
      </c>
      <c r="YY5" s="1">
        <v>72.692728913508603</v>
      </c>
      <c r="YZ5" s="1">
        <v>72.692728913508603</v>
      </c>
      <c r="ZA5" s="1">
        <v>72.692728913508603</v>
      </c>
      <c r="ZB5" s="1">
        <v>72.692728913508603</v>
      </c>
      <c r="ZC5" s="1">
        <v>72.692728913508603</v>
      </c>
      <c r="ZD5" s="1">
        <v>178.89032031202501</v>
      </c>
      <c r="ZE5" s="1">
        <v>178.89032031202501</v>
      </c>
      <c r="ZF5" s="1">
        <v>178.89032031202501</v>
      </c>
      <c r="ZG5" s="1">
        <v>178.89032031202501</v>
      </c>
      <c r="ZH5" s="1">
        <v>178.89032031202501</v>
      </c>
      <c r="ZI5" s="1">
        <v>101.06040040875</v>
      </c>
      <c r="ZJ5" s="1">
        <v>101.06040040875</v>
      </c>
      <c r="ZK5" s="1">
        <v>101.06040040875</v>
      </c>
      <c r="ZL5" s="1">
        <v>101.06040040875</v>
      </c>
      <c r="ZM5" s="1">
        <v>101.06040040875</v>
      </c>
      <c r="ZN5" s="1">
        <v>92.720529280742895</v>
      </c>
      <c r="ZO5" s="1">
        <v>92.720529280742895</v>
      </c>
      <c r="ZP5" s="1">
        <v>92.720529280742895</v>
      </c>
      <c r="ZQ5" s="1">
        <v>92.720529280742895</v>
      </c>
      <c r="ZR5" s="1">
        <v>92.720529280742895</v>
      </c>
      <c r="ZS5" s="1">
        <v>318.76071629454901</v>
      </c>
      <c r="ZT5" s="1">
        <v>318.76071629454901</v>
      </c>
      <c r="ZU5" s="1">
        <v>318.76071629454901</v>
      </c>
      <c r="ZV5" s="1">
        <v>318.76071629454901</v>
      </c>
      <c r="ZW5" s="1">
        <v>318.76071629454901</v>
      </c>
      <c r="ZX5" s="1">
        <v>103.796670971092</v>
      </c>
      <c r="ZY5" s="1">
        <v>103.796670971092</v>
      </c>
      <c r="ZZ5" s="1">
        <v>103.796670971092</v>
      </c>
      <c r="AAA5" s="1">
        <v>103.796670971092</v>
      </c>
      <c r="AAB5" s="1">
        <v>103.796670971092</v>
      </c>
      <c r="AAC5" s="1">
        <v>642.79243865175602</v>
      </c>
      <c r="AAD5" s="1">
        <v>642.79243865175602</v>
      </c>
      <c r="AAE5" s="1">
        <v>642.79243865175602</v>
      </c>
      <c r="AAF5" s="1">
        <v>642.79243865175602</v>
      </c>
      <c r="AAG5" s="1">
        <v>642.79243865175602</v>
      </c>
      <c r="AAH5" s="1">
        <v>271.44564672107902</v>
      </c>
      <c r="AAI5" s="1">
        <v>271.44564672107902</v>
      </c>
      <c r="AAJ5" s="1">
        <v>271.44564672107902</v>
      </c>
      <c r="AAK5" s="1">
        <v>271.44564672107902</v>
      </c>
      <c r="AAL5" s="1">
        <v>271.44564672107902</v>
      </c>
      <c r="AAM5" s="1">
        <v>250.41501863753399</v>
      </c>
      <c r="AAN5" s="1">
        <v>250.41501863753399</v>
      </c>
      <c r="AAO5" s="1">
        <v>250.41501863753399</v>
      </c>
      <c r="AAP5" s="1">
        <v>250.41501863753399</v>
      </c>
      <c r="AAQ5" s="1">
        <v>250.41501863753399</v>
      </c>
      <c r="AAR5" s="1">
        <v>172.403719469636</v>
      </c>
      <c r="AAS5" s="1">
        <v>172.403719469636</v>
      </c>
      <c r="AAT5" s="1">
        <v>172.403719469636</v>
      </c>
      <c r="AAU5" s="1">
        <v>172.403719469636</v>
      </c>
      <c r="AAV5" s="1">
        <v>172.403719469636</v>
      </c>
      <c r="AAW5" s="1">
        <v>394.82709553680399</v>
      </c>
      <c r="AAX5" s="1">
        <v>394.82709553680399</v>
      </c>
      <c r="AAY5" s="1">
        <v>394.82709553680399</v>
      </c>
      <c r="AAZ5" s="1">
        <v>394.82709553680399</v>
      </c>
      <c r="ABA5" s="1">
        <v>394.82709553680399</v>
      </c>
      <c r="ABB5" s="1">
        <v>112.801981189901</v>
      </c>
    </row>
    <row r="6" spans="1:730" x14ac:dyDescent="0.15">
      <c r="A6" s="2">
        <v>44805</v>
      </c>
      <c r="B6" s="1" t="s">
        <v>6</v>
      </c>
      <c r="C6" s="1" t="s">
        <v>11</v>
      </c>
      <c r="D6" s="1">
        <v>29</v>
      </c>
      <c r="E6" s="1">
        <v>216.48793162963401</v>
      </c>
      <c r="F6" s="1">
        <v>973.200927734375</v>
      </c>
      <c r="G6" s="1" t="s">
        <v>5</v>
      </c>
      <c r="H6" s="1">
        <v>1072.81567382812</v>
      </c>
      <c r="I6" s="1">
        <v>1374.87341308593</v>
      </c>
      <c r="J6" s="1">
        <v>817.90411376953102</v>
      </c>
      <c r="K6" s="1">
        <v>973.200927734375</v>
      </c>
      <c r="L6" s="1">
        <v>973.200927734375</v>
      </c>
      <c r="M6" s="1">
        <v>973.200927734375</v>
      </c>
      <c r="N6" s="1">
        <v>973.200927734375</v>
      </c>
      <c r="O6" s="1">
        <v>973.200927734375</v>
      </c>
      <c r="P6" s="1">
        <v>1577.64282226562</v>
      </c>
      <c r="Q6" s="1">
        <v>1577.64282226562</v>
      </c>
      <c r="R6" s="1">
        <v>1577.64282226562</v>
      </c>
      <c r="S6" s="1">
        <v>1577.64282226562</v>
      </c>
      <c r="T6" s="1">
        <v>1577.64282226562</v>
      </c>
      <c r="U6" s="1">
        <v>1756.73498535156</v>
      </c>
      <c r="V6" s="1">
        <v>1756.73498535156</v>
      </c>
      <c r="W6" s="1">
        <v>1756.73498535156</v>
      </c>
      <c r="X6" s="1">
        <v>1756.73498535156</v>
      </c>
      <c r="Y6" s="1">
        <v>1756.73498535156</v>
      </c>
      <c r="Z6" s="1">
        <v>925</v>
      </c>
      <c r="AA6" s="1">
        <v>925</v>
      </c>
      <c r="AB6" s="1">
        <v>925</v>
      </c>
      <c r="AC6" s="1">
        <v>925</v>
      </c>
      <c r="AD6" s="1">
        <v>925</v>
      </c>
      <c r="AE6" s="1">
        <v>2299</v>
      </c>
      <c r="AF6" s="1">
        <v>2299</v>
      </c>
      <c r="AG6" s="1">
        <v>2299</v>
      </c>
      <c r="AH6" s="1">
        <v>2299</v>
      </c>
      <c r="AI6" s="1">
        <v>2299</v>
      </c>
      <c r="AJ6" s="1">
        <v>2194.56420898437</v>
      </c>
      <c r="AK6" s="1">
        <v>2194.56420898437</v>
      </c>
      <c r="AL6" s="1">
        <v>2194.56420898437</v>
      </c>
      <c r="AM6" s="1">
        <v>2194.56420898437</v>
      </c>
      <c r="AN6" s="1">
        <v>2194.56420898437</v>
      </c>
      <c r="AO6" s="1">
        <v>3018.64916992187</v>
      </c>
      <c r="AP6" s="1">
        <v>3018.64916992187</v>
      </c>
      <c r="AQ6" s="1">
        <v>3018.64916992187</v>
      </c>
      <c r="AR6" s="1">
        <v>3018.64916992187</v>
      </c>
      <c r="AS6" s="1">
        <v>3018.64916992187</v>
      </c>
      <c r="AT6" s="1">
        <v>730.419677734375</v>
      </c>
      <c r="AU6" s="1">
        <v>3760</v>
      </c>
      <c r="AV6" s="1">
        <v>3760</v>
      </c>
      <c r="AW6" s="1">
        <v>3760</v>
      </c>
      <c r="AX6" s="1">
        <v>3760</v>
      </c>
      <c r="AY6" s="1">
        <v>3760</v>
      </c>
      <c r="AZ6" s="1">
        <v>900</v>
      </c>
      <c r="BA6" s="1">
        <v>900</v>
      </c>
      <c r="BB6" s="1">
        <v>900</v>
      </c>
      <c r="BC6" s="1">
        <v>900</v>
      </c>
      <c r="BD6" s="1">
        <v>900</v>
      </c>
      <c r="BE6" s="1">
        <v>2699</v>
      </c>
      <c r="BF6" s="1">
        <v>2699</v>
      </c>
      <c r="BG6" s="1">
        <v>2699</v>
      </c>
      <c r="BH6" s="1">
        <v>2699</v>
      </c>
      <c r="BI6" s="1">
        <v>2699</v>
      </c>
      <c r="BJ6" s="1">
        <v>1183.7857142857099</v>
      </c>
      <c r="BK6" s="1">
        <v>1183.7857142857099</v>
      </c>
      <c r="BL6" s="1">
        <v>1183.7857142857099</v>
      </c>
      <c r="BM6" s="1">
        <v>1183.7857142857099</v>
      </c>
      <c r="BN6" s="1">
        <v>1183.7857142857099</v>
      </c>
      <c r="BO6" s="1">
        <v>1215</v>
      </c>
      <c r="BP6" s="1">
        <v>1215</v>
      </c>
      <c r="BQ6" s="1">
        <v>1215</v>
      </c>
      <c r="BR6" s="1">
        <v>1215</v>
      </c>
      <c r="BS6" s="1">
        <v>1215</v>
      </c>
      <c r="BT6" s="1">
        <v>1756.73498535156</v>
      </c>
      <c r="BU6" s="1">
        <v>1756.73498535156</v>
      </c>
      <c r="BV6" s="1">
        <v>1756.73498535156</v>
      </c>
      <c r="BW6" s="1">
        <v>1756.73498535156</v>
      </c>
      <c r="BX6" s="1">
        <v>1756.73498535156</v>
      </c>
      <c r="BY6" s="1">
        <v>895</v>
      </c>
      <c r="BZ6" s="1">
        <v>895</v>
      </c>
      <c r="CA6" s="1">
        <v>895</v>
      </c>
      <c r="CB6" s="1">
        <v>895</v>
      </c>
      <c r="CC6" s="1">
        <v>895</v>
      </c>
      <c r="CD6" s="1">
        <v>4503</v>
      </c>
      <c r="CE6" s="1">
        <v>4503</v>
      </c>
      <c r="CF6" s="1">
        <v>4503</v>
      </c>
      <c r="CG6" s="1">
        <v>4503</v>
      </c>
      <c r="CH6" s="1">
        <v>4503</v>
      </c>
      <c r="CI6" s="1">
        <v>1175</v>
      </c>
      <c r="CJ6" s="1">
        <v>1175</v>
      </c>
      <c r="CK6" s="1">
        <v>1175</v>
      </c>
      <c r="CL6" s="1">
        <v>1175</v>
      </c>
      <c r="CM6" s="1">
        <v>1175</v>
      </c>
      <c r="CN6" s="1">
        <v>1846.5</v>
      </c>
      <c r="CO6" s="1">
        <v>1846.5</v>
      </c>
      <c r="CP6" s="1">
        <v>1846.5</v>
      </c>
      <c r="CQ6" s="1">
        <v>1846.5</v>
      </c>
      <c r="CR6" s="1">
        <v>1846.5</v>
      </c>
      <c r="CS6" s="1">
        <v>2540</v>
      </c>
      <c r="CT6" s="1">
        <v>2540</v>
      </c>
      <c r="CU6" s="1">
        <v>2540</v>
      </c>
      <c r="CV6" s="1">
        <v>2540</v>
      </c>
      <c r="CW6" s="1">
        <v>2540</v>
      </c>
      <c r="CX6" s="1">
        <v>2181.83984375</v>
      </c>
      <c r="CY6" s="1">
        <v>2181.83984375</v>
      </c>
      <c r="CZ6" s="1">
        <v>2181.83984375</v>
      </c>
      <c r="DA6" s="1">
        <v>2181.83984375</v>
      </c>
      <c r="DB6" s="1">
        <v>2181.83984375</v>
      </c>
      <c r="DC6" s="1">
        <v>838.27273559570301</v>
      </c>
      <c r="DD6" s="1">
        <v>838.27273559570301</v>
      </c>
      <c r="DE6" s="1">
        <v>838.27273559570301</v>
      </c>
      <c r="DF6" s="1">
        <v>838.27273559570301</v>
      </c>
      <c r="DG6" s="1">
        <v>838.27273559570301</v>
      </c>
      <c r="DH6" s="1">
        <v>1697.5</v>
      </c>
      <c r="DI6" s="1">
        <v>1697.5</v>
      </c>
      <c r="DJ6" s="1">
        <v>1697.5</v>
      </c>
      <c r="DK6" s="1">
        <v>1697.5</v>
      </c>
      <c r="DL6" s="1">
        <v>1697.5</v>
      </c>
      <c r="DM6" s="1">
        <v>887.48645019531205</v>
      </c>
      <c r="DN6" s="1">
        <v>887.48645019531205</v>
      </c>
      <c r="DO6" s="1">
        <v>887.48645019531205</v>
      </c>
      <c r="DP6" s="1">
        <v>887.48645019531205</v>
      </c>
      <c r="DQ6" s="1">
        <v>887.48645019531205</v>
      </c>
      <c r="DR6" s="1">
        <v>991</v>
      </c>
      <c r="DS6" s="1">
        <v>991</v>
      </c>
      <c r="DT6" s="1">
        <v>991</v>
      </c>
      <c r="DU6" s="1">
        <v>991</v>
      </c>
      <c r="DV6" s="1">
        <v>991</v>
      </c>
      <c r="DW6" s="1">
        <v>895</v>
      </c>
      <c r="DX6" s="1">
        <v>895</v>
      </c>
      <c r="DY6" s="1">
        <v>895</v>
      </c>
      <c r="DZ6" s="1">
        <v>895</v>
      </c>
      <c r="EA6" s="1">
        <v>895</v>
      </c>
      <c r="EB6" s="1">
        <v>1577.64282226562</v>
      </c>
      <c r="EC6" s="1">
        <v>1577.64282226562</v>
      </c>
      <c r="ED6" s="1">
        <v>1577.64282226562</v>
      </c>
      <c r="EE6" s="1">
        <v>1577.64282226562</v>
      </c>
      <c r="EF6" s="1">
        <v>1577.64282226562</v>
      </c>
      <c r="EG6" s="1">
        <v>2444.5</v>
      </c>
      <c r="EH6" s="1">
        <v>2444.5</v>
      </c>
      <c r="EI6" s="1">
        <v>2444.5</v>
      </c>
      <c r="EJ6" s="1">
        <v>2444.5</v>
      </c>
      <c r="EK6" s="1">
        <v>2444.5</v>
      </c>
      <c r="EL6" s="1">
        <v>1339.9375</v>
      </c>
      <c r="EM6" s="1">
        <v>1339.9375</v>
      </c>
      <c r="EN6" s="1">
        <v>1339.9375</v>
      </c>
      <c r="EO6" s="1">
        <v>1339.9375</v>
      </c>
      <c r="EP6" s="1">
        <v>1339.9375</v>
      </c>
      <c r="EQ6" s="1">
        <v>2299</v>
      </c>
      <c r="ER6" s="1">
        <v>2299</v>
      </c>
      <c r="ES6" s="1">
        <v>2299</v>
      </c>
      <c r="ET6" s="1">
        <v>2299</v>
      </c>
      <c r="EU6" s="1">
        <v>2299</v>
      </c>
      <c r="EV6" s="1">
        <v>2009.12426757812</v>
      </c>
      <c r="EW6" s="1">
        <v>2009.12426757812</v>
      </c>
      <c r="EX6" s="1">
        <v>2009.12426757812</v>
      </c>
      <c r="EY6" s="1">
        <v>2009.12426757812</v>
      </c>
      <c r="EZ6" s="1">
        <v>2009.12426757812</v>
      </c>
      <c r="FA6" s="1">
        <v>1429</v>
      </c>
      <c r="FB6" s="1">
        <v>1429</v>
      </c>
      <c r="FC6" s="1">
        <v>1429</v>
      </c>
      <c r="FD6" s="1">
        <v>1429</v>
      </c>
      <c r="FE6" s="1">
        <v>1429</v>
      </c>
      <c r="FF6" s="1">
        <v>1164</v>
      </c>
      <c r="FG6" s="1">
        <v>1164</v>
      </c>
      <c r="FH6" s="1">
        <v>1164</v>
      </c>
      <c r="FI6" s="1">
        <v>1164</v>
      </c>
      <c r="FJ6" s="1">
        <v>1164</v>
      </c>
      <c r="FK6" s="1">
        <v>1604</v>
      </c>
      <c r="FL6" s="1">
        <v>1604</v>
      </c>
      <c r="FM6" s="1">
        <v>1604</v>
      </c>
      <c r="FN6" s="1">
        <v>1604</v>
      </c>
      <c r="FO6" s="1">
        <v>1604</v>
      </c>
      <c r="FP6" s="1">
        <v>1164</v>
      </c>
      <c r="FQ6" s="1">
        <v>1164</v>
      </c>
      <c r="FR6" s="1">
        <v>1164</v>
      </c>
      <c r="FS6" s="1">
        <v>1164</v>
      </c>
      <c r="FT6" s="1">
        <v>1164</v>
      </c>
      <c r="FU6" s="1">
        <v>2299</v>
      </c>
      <c r="FV6" s="1">
        <v>2299</v>
      </c>
      <c r="FW6" s="1">
        <v>2299</v>
      </c>
      <c r="FX6" s="1">
        <v>2299</v>
      </c>
      <c r="FY6" s="1">
        <v>2299</v>
      </c>
      <c r="FZ6" s="1">
        <v>1420</v>
      </c>
      <c r="GA6" s="1">
        <v>1420</v>
      </c>
      <c r="GB6" s="1">
        <v>1420</v>
      </c>
      <c r="GC6" s="1">
        <v>1420</v>
      </c>
      <c r="GD6" s="1">
        <v>1420</v>
      </c>
      <c r="GE6" s="1">
        <v>905.011474609375</v>
      </c>
      <c r="GF6" s="1">
        <v>1143.4921875</v>
      </c>
      <c r="GG6" s="1">
        <v>1143.4921875</v>
      </c>
      <c r="GH6" s="1">
        <v>1143.4921875</v>
      </c>
      <c r="GI6" s="1">
        <v>1143.4921875</v>
      </c>
      <c r="GJ6" s="1">
        <v>1143.4921875</v>
      </c>
      <c r="GK6" s="1">
        <v>3078</v>
      </c>
      <c r="GL6" s="1">
        <v>3078</v>
      </c>
      <c r="GM6" s="1">
        <v>3078</v>
      </c>
      <c r="GN6" s="1">
        <v>3078</v>
      </c>
      <c r="GO6" s="1">
        <v>3078</v>
      </c>
      <c r="GP6" s="1">
        <v>765</v>
      </c>
      <c r="GQ6" s="1">
        <v>765</v>
      </c>
      <c r="GR6" s="1">
        <v>765</v>
      </c>
      <c r="GS6" s="1">
        <v>765</v>
      </c>
      <c r="GT6" s="1">
        <v>765</v>
      </c>
      <c r="GU6" s="1">
        <v>4568</v>
      </c>
      <c r="GV6" s="1">
        <v>4568</v>
      </c>
      <c r="GW6" s="1">
        <v>4568</v>
      </c>
      <c r="GX6" s="1">
        <v>4568</v>
      </c>
      <c r="GY6" s="1">
        <v>4568</v>
      </c>
      <c r="GZ6" s="1">
        <v>1255</v>
      </c>
      <c r="HA6" s="1">
        <v>1255</v>
      </c>
      <c r="HB6" s="1">
        <v>1255</v>
      </c>
      <c r="HC6" s="1">
        <v>1255</v>
      </c>
      <c r="HD6" s="1">
        <v>1255</v>
      </c>
      <c r="HE6" s="1">
        <v>925</v>
      </c>
      <c r="HF6" s="1">
        <v>925</v>
      </c>
      <c r="HG6" s="1">
        <v>925</v>
      </c>
      <c r="HH6" s="1">
        <v>925</v>
      </c>
      <c r="HI6" s="1">
        <v>925</v>
      </c>
      <c r="HJ6" s="1">
        <v>1025</v>
      </c>
      <c r="HK6" s="1">
        <v>1025</v>
      </c>
      <c r="HL6" s="1">
        <v>1025</v>
      </c>
      <c r="HM6" s="1">
        <v>1025</v>
      </c>
      <c r="HN6" s="1">
        <v>1025</v>
      </c>
      <c r="HO6" s="1">
        <v>2080</v>
      </c>
      <c r="HP6" s="1">
        <v>2080</v>
      </c>
      <c r="HQ6" s="1">
        <v>2080</v>
      </c>
      <c r="HR6" s="1">
        <v>2080</v>
      </c>
      <c r="HS6" s="1">
        <v>2080</v>
      </c>
      <c r="HT6" s="1">
        <v>4568</v>
      </c>
      <c r="HU6" s="1">
        <v>4568</v>
      </c>
      <c r="HV6" s="1">
        <v>4568</v>
      </c>
      <c r="HW6" s="1">
        <v>4568</v>
      </c>
      <c r="HX6" s="1">
        <v>4568</v>
      </c>
      <c r="HY6" s="1">
        <v>1604</v>
      </c>
      <c r="HZ6" s="1">
        <v>1604</v>
      </c>
      <c r="IA6" s="1">
        <v>1604</v>
      </c>
      <c r="IB6" s="1">
        <v>1604</v>
      </c>
      <c r="IC6" s="1">
        <v>1604</v>
      </c>
      <c r="ID6" s="1">
        <v>1820</v>
      </c>
      <c r="IE6" s="1">
        <v>1820</v>
      </c>
      <c r="IF6" s="1">
        <v>1820</v>
      </c>
      <c r="IG6" s="1">
        <v>1820</v>
      </c>
      <c r="IH6" s="1">
        <v>1820</v>
      </c>
      <c r="II6" s="1">
        <v>2713.99658203125</v>
      </c>
      <c r="IJ6" s="1">
        <v>2713.99658203125</v>
      </c>
      <c r="IK6" s="1">
        <v>2713.99658203125</v>
      </c>
      <c r="IL6" s="1">
        <v>2713.99658203125</v>
      </c>
      <c r="IM6" s="1">
        <v>2713.99658203125</v>
      </c>
      <c r="IN6" s="1">
        <v>895</v>
      </c>
      <c r="IO6" s="1">
        <v>895</v>
      </c>
      <c r="IP6" s="1">
        <v>895</v>
      </c>
      <c r="IQ6" s="1">
        <v>895</v>
      </c>
      <c r="IR6" s="1">
        <v>895</v>
      </c>
      <c r="IS6" s="1">
        <v>2617</v>
      </c>
      <c r="IT6" s="1">
        <v>2617</v>
      </c>
      <c r="IU6" s="1">
        <v>2617</v>
      </c>
      <c r="IV6" s="1">
        <v>2617</v>
      </c>
      <c r="IW6" s="1">
        <v>2617</v>
      </c>
      <c r="IX6" s="1">
        <v>1756.73498535156</v>
      </c>
      <c r="IY6" s="1">
        <v>1756.73498535156</v>
      </c>
      <c r="IZ6" s="1">
        <v>1756.73498535156</v>
      </c>
      <c r="JA6" s="1">
        <v>1756.73498535156</v>
      </c>
      <c r="JB6" s="1">
        <v>1756.73498535156</v>
      </c>
      <c r="JC6" s="1">
        <v>1295</v>
      </c>
      <c r="JD6" s="1">
        <v>1295</v>
      </c>
      <c r="JE6" s="1">
        <v>1295</v>
      </c>
      <c r="JF6" s="1">
        <v>1295</v>
      </c>
      <c r="JG6" s="1">
        <v>1295</v>
      </c>
      <c r="JH6" s="1">
        <v>1784.912109375</v>
      </c>
      <c r="JI6" s="1">
        <v>1784.912109375</v>
      </c>
      <c r="JJ6" s="1">
        <v>1784.912109375</v>
      </c>
      <c r="JK6" s="1">
        <v>1784.912109375</v>
      </c>
      <c r="JL6" s="1">
        <v>1784.912109375</v>
      </c>
      <c r="JM6" s="1">
        <v>4503</v>
      </c>
      <c r="JN6" s="1">
        <v>4503</v>
      </c>
      <c r="JO6" s="1">
        <v>4503</v>
      </c>
      <c r="JP6" s="1">
        <v>4503</v>
      </c>
      <c r="JQ6" s="1">
        <v>4503</v>
      </c>
      <c r="JR6" s="1">
        <v>528.14813232421795</v>
      </c>
      <c r="JS6" s="1">
        <v>3760</v>
      </c>
      <c r="JT6" s="1">
        <v>3760</v>
      </c>
      <c r="JU6" s="1">
        <v>3760</v>
      </c>
      <c r="JV6" s="1">
        <v>3760</v>
      </c>
      <c r="JW6" s="1">
        <v>3760</v>
      </c>
      <c r="JX6" s="1">
        <v>1563.5</v>
      </c>
      <c r="JY6" s="1">
        <v>1563.5</v>
      </c>
      <c r="JZ6" s="1">
        <v>1563.5</v>
      </c>
      <c r="KA6" s="1">
        <v>1563.5</v>
      </c>
      <c r="KB6" s="1">
        <v>1563.5</v>
      </c>
      <c r="KC6" s="1">
        <v>3760</v>
      </c>
      <c r="KD6" s="1">
        <v>3760</v>
      </c>
      <c r="KE6" s="1">
        <v>3760</v>
      </c>
      <c r="KF6" s="1">
        <v>3760</v>
      </c>
      <c r="KG6" s="1">
        <v>3760</v>
      </c>
      <c r="KH6" s="1">
        <v>1175</v>
      </c>
      <c r="KI6" s="1">
        <v>1175</v>
      </c>
      <c r="KJ6" s="1">
        <v>1175</v>
      </c>
      <c r="KK6" s="1">
        <v>1175</v>
      </c>
      <c r="KL6" s="1">
        <v>1175</v>
      </c>
      <c r="KM6" s="1">
        <v>1410</v>
      </c>
      <c r="KN6" s="1">
        <v>1410</v>
      </c>
      <c r="KO6" s="1">
        <v>1410</v>
      </c>
      <c r="KP6" s="1">
        <v>1410</v>
      </c>
      <c r="KQ6" s="1">
        <v>1410</v>
      </c>
      <c r="KR6" s="1">
        <v>3760</v>
      </c>
      <c r="KS6" s="1">
        <v>3760</v>
      </c>
      <c r="KT6" s="1">
        <v>3760</v>
      </c>
      <c r="KU6" s="1">
        <v>3760</v>
      </c>
      <c r="KV6" s="1">
        <v>3760</v>
      </c>
      <c r="KW6" s="1">
        <v>3129.58837890625</v>
      </c>
      <c r="KX6" s="1">
        <v>3129.58837890625</v>
      </c>
      <c r="KY6" s="1">
        <v>3129.58837890625</v>
      </c>
      <c r="KZ6" s="1">
        <v>3129.58837890625</v>
      </c>
      <c r="LA6" s="1">
        <v>3129.58837890625</v>
      </c>
      <c r="LB6" s="1">
        <v>2698.20166015625</v>
      </c>
      <c r="LC6" s="1">
        <v>2698.20166015625</v>
      </c>
      <c r="LD6" s="1">
        <v>2698.20166015625</v>
      </c>
      <c r="LE6" s="1">
        <v>2698.20166015625</v>
      </c>
      <c r="LF6" s="1">
        <v>2698.20166015625</v>
      </c>
      <c r="LG6" s="1">
        <v>1357.75</v>
      </c>
      <c r="LH6" s="1">
        <v>1357.75</v>
      </c>
      <c r="LI6" s="1">
        <v>1357.75</v>
      </c>
      <c r="LJ6" s="1">
        <v>1357.75</v>
      </c>
      <c r="LK6" s="1">
        <v>1357.75</v>
      </c>
      <c r="LL6" s="1">
        <v>1137.0909118652301</v>
      </c>
      <c r="LM6" s="1">
        <v>1137.0909118652301</v>
      </c>
      <c r="LN6" s="1">
        <v>1137.0909118652301</v>
      </c>
      <c r="LO6" s="1">
        <v>1137.0909118652301</v>
      </c>
      <c r="LP6" s="1">
        <v>1137.0909118652301</v>
      </c>
      <c r="LQ6" s="1">
        <v>2617</v>
      </c>
      <c r="LR6" s="1">
        <v>2617</v>
      </c>
      <c r="LS6" s="1">
        <v>2617</v>
      </c>
      <c r="LT6" s="1">
        <v>2617</v>
      </c>
      <c r="LU6" s="1">
        <v>2617</v>
      </c>
      <c r="LV6" s="1">
        <v>1756.73498535156</v>
      </c>
      <c r="LW6" s="1">
        <v>1756.73498535156</v>
      </c>
      <c r="LX6" s="1">
        <v>1756.73498535156</v>
      </c>
      <c r="LY6" s="1">
        <v>1756.73498535156</v>
      </c>
      <c r="LZ6" s="1">
        <v>1756.73498535156</v>
      </c>
      <c r="MA6" s="1">
        <v>2039.04309082031</v>
      </c>
      <c r="MB6" s="1">
        <v>2039.04309082031</v>
      </c>
      <c r="MC6" s="1">
        <v>2039.04309082031</v>
      </c>
      <c r="MD6" s="1">
        <v>2039.04309082031</v>
      </c>
      <c r="ME6" s="1">
        <v>2039.04309082031</v>
      </c>
      <c r="MF6" s="1">
        <v>838.5</v>
      </c>
      <c r="MG6" s="1">
        <v>838.5</v>
      </c>
      <c r="MH6" s="1">
        <v>838.5</v>
      </c>
      <c r="MI6" s="1">
        <v>838.5</v>
      </c>
      <c r="MJ6" s="1">
        <v>838.5</v>
      </c>
      <c r="MK6" s="1">
        <v>2629.4423828125</v>
      </c>
      <c r="ML6" s="1">
        <v>2629.4423828125</v>
      </c>
      <c r="MM6" s="1">
        <v>2629.4423828125</v>
      </c>
      <c r="MN6" s="1">
        <v>2629.4423828125</v>
      </c>
      <c r="MO6" s="1">
        <v>2629.4423828125</v>
      </c>
      <c r="MP6" s="1">
        <v>1175</v>
      </c>
      <c r="MQ6" s="1">
        <v>1175</v>
      </c>
      <c r="MR6" s="1">
        <v>1175</v>
      </c>
      <c r="MS6" s="1">
        <v>1175</v>
      </c>
      <c r="MT6" s="1">
        <v>1175</v>
      </c>
      <c r="MU6" s="1">
        <v>1215</v>
      </c>
      <c r="MV6" s="1">
        <v>1215</v>
      </c>
      <c r="MW6" s="1">
        <v>1215</v>
      </c>
      <c r="MX6" s="1">
        <v>1215</v>
      </c>
      <c r="MY6" s="1">
        <v>1215</v>
      </c>
      <c r="MZ6" s="1">
        <v>1375.5625</v>
      </c>
      <c r="NA6" s="1">
        <v>1375.5625</v>
      </c>
      <c r="NB6" s="1">
        <v>1375.5625</v>
      </c>
      <c r="NC6" s="1">
        <v>1375.5625</v>
      </c>
      <c r="ND6" s="1">
        <v>1375.5625</v>
      </c>
      <c r="NE6" s="1">
        <v>1820</v>
      </c>
      <c r="NF6" s="1">
        <v>1820</v>
      </c>
      <c r="NG6" s="1">
        <v>1820</v>
      </c>
      <c r="NH6" s="1">
        <v>1820</v>
      </c>
      <c r="NI6" s="1">
        <v>1820</v>
      </c>
      <c r="NJ6" s="1">
        <v>2550.5</v>
      </c>
      <c r="NK6" s="1">
        <v>2550.5</v>
      </c>
      <c r="NL6" s="1">
        <v>2550.5</v>
      </c>
      <c r="NM6" s="1">
        <v>2550.5</v>
      </c>
      <c r="NN6" s="1">
        <v>2550.5</v>
      </c>
      <c r="NO6" s="1">
        <v>1403.5</v>
      </c>
      <c r="NP6" s="1">
        <v>1403.5</v>
      </c>
      <c r="NQ6" s="1">
        <v>1403.5</v>
      </c>
      <c r="NR6" s="1">
        <v>1403.5</v>
      </c>
      <c r="NS6" s="1">
        <v>1403.5</v>
      </c>
      <c r="NT6" s="1">
        <v>1736.5</v>
      </c>
      <c r="NU6" s="1">
        <v>1736.5</v>
      </c>
      <c r="NV6" s="1">
        <v>1736.5</v>
      </c>
      <c r="NW6" s="1">
        <v>1736.5</v>
      </c>
      <c r="NX6" s="1">
        <v>1736.5</v>
      </c>
      <c r="NY6" s="1">
        <v>1820</v>
      </c>
      <c r="NZ6" s="1">
        <v>1820</v>
      </c>
      <c r="OA6" s="1">
        <v>1820</v>
      </c>
      <c r="OB6" s="1">
        <v>1820</v>
      </c>
      <c r="OC6" s="1">
        <v>1820</v>
      </c>
      <c r="OD6" s="1">
        <v>765</v>
      </c>
      <c r="OE6" s="1">
        <v>765</v>
      </c>
      <c r="OF6" s="1">
        <v>765</v>
      </c>
      <c r="OG6" s="1">
        <v>765</v>
      </c>
      <c r="OH6" s="1">
        <v>765</v>
      </c>
      <c r="OI6" s="1">
        <v>1164</v>
      </c>
      <c r="OJ6" s="1">
        <v>1164</v>
      </c>
      <c r="OK6" s="1">
        <v>1164</v>
      </c>
      <c r="OL6" s="1">
        <v>1164</v>
      </c>
      <c r="OM6" s="1">
        <v>1164</v>
      </c>
      <c r="ON6" s="1">
        <v>1972.16784667968</v>
      </c>
      <c r="OO6" s="1">
        <v>1972.16784667968</v>
      </c>
      <c r="OP6" s="1">
        <v>1972.16784667968</v>
      </c>
      <c r="OQ6" s="1">
        <v>1972.16784667968</v>
      </c>
      <c r="OR6" s="1">
        <v>1972.16784667968</v>
      </c>
      <c r="OS6" s="1">
        <v>2440.46215820312</v>
      </c>
      <c r="OT6" s="1">
        <v>2440.46215820312</v>
      </c>
      <c r="OU6" s="1">
        <v>2440.46215820312</v>
      </c>
      <c r="OV6" s="1">
        <v>2440.46215820312</v>
      </c>
      <c r="OW6" s="1">
        <v>2440.46215820312</v>
      </c>
      <c r="OX6" s="1">
        <v>2080</v>
      </c>
      <c r="OY6" s="1">
        <v>2080</v>
      </c>
      <c r="OZ6" s="1">
        <v>2080</v>
      </c>
      <c r="PA6" s="1">
        <v>2080</v>
      </c>
      <c r="PB6" s="1">
        <v>2080</v>
      </c>
      <c r="PC6" s="1">
        <v>3760</v>
      </c>
      <c r="PD6" s="1">
        <v>3760</v>
      </c>
      <c r="PE6" s="1">
        <v>3760</v>
      </c>
      <c r="PF6" s="1">
        <v>3760</v>
      </c>
      <c r="PG6" s="1">
        <v>3760</v>
      </c>
      <c r="PH6" s="1">
        <v>3760</v>
      </c>
      <c r="PI6" s="1">
        <v>3760</v>
      </c>
      <c r="PJ6" s="1">
        <v>3760</v>
      </c>
      <c r="PK6" s="1">
        <v>3760</v>
      </c>
      <c r="PL6" s="1">
        <v>3760</v>
      </c>
      <c r="PM6" s="1">
        <v>1972.16784667968</v>
      </c>
      <c r="PN6" s="1">
        <v>1972.16784667968</v>
      </c>
      <c r="PO6" s="1">
        <v>1972.16784667968</v>
      </c>
      <c r="PP6" s="1">
        <v>1972.16784667968</v>
      </c>
      <c r="PQ6" s="1">
        <v>1972.16784667968</v>
      </c>
      <c r="PR6" s="1">
        <v>2626</v>
      </c>
      <c r="PS6" s="1">
        <v>2626</v>
      </c>
      <c r="PT6" s="1">
        <v>2626</v>
      </c>
      <c r="PU6" s="1">
        <v>2626</v>
      </c>
      <c r="PV6" s="1">
        <v>2626</v>
      </c>
      <c r="PW6" s="1">
        <v>887.48645019531205</v>
      </c>
      <c r="PX6" s="1">
        <v>887.48645019531205</v>
      </c>
      <c r="PY6" s="1">
        <v>887.48645019531205</v>
      </c>
      <c r="PZ6" s="1">
        <v>887.48645019531205</v>
      </c>
      <c r="QA6" s="1">
        <v>887.48645019531205</v>
      </c>
      <c r="QB6" s="1">
        <v>1954.5</v>
      </c>
      <c r="QC6" s="1">
        <v>1954.5</v>
      </c>
      <c r="QD6" s="1">
        <v>1954.5</v>
      </c>
      <c r="QE6" s="1">
        <v>1954.5</v>
      </c>
      <c r="QF6" s="1">
        <v>1954.5</v>
      </c>
      <c r="QG6" s="1">
        <v>1697.5</v>
      </c>
      <c r="QH6" s="1">
        <v>1697.5</v>
      </c>
      <c r="QI6" s="1">
        <v>1697.5</v>
      </c>
      <c r="QJ6" s="1">
        <v>1697.5</v>
      </c>
      <c r="QK6" s="1">
        <v>1697.5</v>
      </c>
      <c r="QL6" s="1">
        <v>1577.64282226562</v>
      </c>
      <c r="QM6" s="1">
        <v>1577.64282226562</v>
      </c>
      <c r="QN6" s="1">
        <v>1577.64282226562</v>
      </c>
      <c r="QO6" s="1">
        <v>1577.64282226562</v>
      </c>
      <c r="QP6" s="1">
        <v>1577.64282226562</v>
      </c>
      <c r="QQ6" s="1">
        <v>1295.5</v>
      </c>
      <c r="QR6" s="1">
        <v>1295.5</v>
      </c>
      <c r="QS6" s="1">
        <v>1295.5</v>
      </c>
      <c r="QT6" s="1">
        <v>1295.5</v>
      </c>
      <c r="QU6" s="1">
        <v>1295.5</v>
      </c>
      <c r="QV6" s="1">
        <v>2540</v>
      </c>
      <c r="QW6" s="1">
        <v>2540</v>
      </c>
      <c r="QX6" s="1">
        <v>2540</v>
      </c>
      <c r="QY6" s="1">
        <v>2540</v>
      </c>
      <c r="QZ6" s="1">
        <v>2540</v>
      </c>
      <c r="RA6" s="1">
        <v>1295</v>
      </c>
      <c r="RB6" s="1">
        <v>1295</v>
      </c>
      <c r="RC6" s="1">
        <v>1295</v>
      </c>
      <c r="RD6" s="1">
        <v>1295</v>
      </c>
      <c r="RE6" s="1">
        <v>1295</v>
      </c>
      <c r="RF6" s="1">
        <v>1697.5</v>
      </c>
      <c r="RG6" s="1">
        <v>1697.5</v>
      </c>
      <c r="RH6" s="1">
        <v>1697.5</v>
      </c>
      <c r="RI6" s="1">
        <v>1697.5</v>
      </c>
      <c r="RJ6" s="1">
        <v>1697.5</v>
      </c>
      <c r="RK6" s="1">
        <v>2302.5</v>
      </c>
      <c r="RL6" s="1">
        <v>2302.5</v>
      </c>
      <c r="RM6" s="1">
        <v>2302.5</v>
      </c>
      <c r="RN6" s="1">
        <v>2302.5</v>
      </c>
      <c r="RO6" s="1">
        <v>2302.5</v>
      </c>
      <c r="RP6" s="1">
        <v>1521</v>
      </c>
      <c r="RQ6" s="1">
        <v>1521</v>
      </c>
      <c r="RR6" s="1">
        <v>1521</v>
      </c>
      <c r="RS6" s="1">
        <v>1521</v>
      </c>
      <c r="RT6" s="1">
        <v>1521</v>
      </c>
      <c r="RU6" s="1">
        <v>3760</v>
      </c>
      <c r="RV6" s="1">
        <v>3760</v>
      </c>
      <c r="RW6" s="1">
        <v>3760</v>
      </c>
      <c r="RX6" s="1">
        <v>3760</v>
      </c>
      <c r="RY6" s="1">
        <v>3760</v>
      </c>
      <c r="RZ6" s="1">
        <v>1375</v>
      </c>
      <c r="SA6" s="1">
        <v>1375</v>
      </c>
      <c r="SB6" s="1">
        <v>1375</v>
      </c>
      <c r="SC6" s="1">
        <v>1375</v>
      </c>
      <c r="SD6" s="1">
        <v>1375</v>
      </c>
      <c r="SE6" s="1">
        <v>1604</v>
      </c>
      <c r="SF6" s="1">
        <v>1604</v>
      </c>
      <c r="SG6" s="1">
        <v>1604</v>
      </c>
      <c r="SH6" s="1">
        <v>1604</v>
      </c>
      <c r="SI6" s="1">
        <v>1604</v>
      </c>
      <c r="SJ6" s="1">
        <v>1820</v>
      </c>
      <c r="SK6" s="1">
        <v>1820</v>
      </c>
      <c r="SL6" s="1">
        <v>1820</v>
      </c>
      <c r="SM6" s="1">
        <v>1820</v>
      </c>
      <c r="SN6" s="1">
        <v>1820</v>
      </c>
      <c r="SO6" s="1">
        <v>925</v>
      </c>
      <c r="SP6" s="1">
        <v>925</v>
      </c>
      <c r="SQ6" s="1">
        <v>925</v>
      </c>
      <c r="SR6" s="1">
        <v>925</v>
      </c>
      <c r="SS6" s="1">
        <v>925</v>
      </c>
      <c r="ST6" s="1">
        <v>1056.26062011718</v>
      </c>
      <c r="SU6" s="1">
        <v>1056.26062011718</v>
      </c>
      <c r="SV6" s="1">
        <v>1056.26062011718</v>
      </c>
      <c r="SW6" s="1">
        <v>1056.26062011718</v>
      </c>
      <c r="SX6" s="1">
        <v>1056.26062011718</v>
      </c>
      <c r="SY6" s="1">
        <v>1972.16784667968</v>
      </c>
      <c r="SZ6" s="1">
        <v>1972.16784667968</v>
      </c>
      <c r="TA6" s="1">
        <v>1972.16784667968</v>
      </c>
      <c r="TB6" s="1">
        <v>1972.16784667968</v>
      </c>
      <c r="TC6" s="1">
        <v>1972.16784667968</v>
      </c>
      <c r="TD6" s="1">
        <v>799.87561035156205</v>
      </c>
      <c r="TE6" s="1">
        <v>799.87561035156205</v>
      </c>
      <c r="TF6" s="1">
        <v>799.87561035156205</v>
      </c>
      <c r="TG6" s="1">
        <v>799.87561035156205</v>
      </c>
      <c r="TH6" s="1">
        <v>799.87561035156205</v>
      </c>
      <c r="TI6" s="1">
        <v>2927.54931640625</v>
      </c>
      <c r="TJ6" s="1">
        <v>2927.54931640625</v>
      </c>
      <c r="TK6" s="1">
        <v>2927.54931640625</v>
      </c>
      <c r="TL6" s="1">
        <v>2927.54931640625</v>
      </c>
      <c r="TM6" s="1">
        <v>2927.54931640625</v>
      </c>
      <c r="TN6" s="1">
        <v>1020.5640258789</v>
      </c>
      <c r="TO6" s="1">
        <v>1020.5640258789</v>
      </c>
      <c r="TP6" s="1">
        <v>1020.5640258789</v>
      </c>
      <c r="TQ6" s="1">
        <v>1020.5640258789</v>
      </c>
      <c r="TR6" s="1">
        <v>1020.5640258789</v>
      </c>
      <c r="TS6" s="1">
        <v>1820</v>
      </c>
      <c r="TT6" s="1">
        <v>1820</v>
      </c>
      <c r="TU6" s="1">
        <v>1820</v>
      </c>
      <c r="TV6" s="1">
        <v>1820</v>
      </c>
      <c r="TW6" s="1">
        <v>1820</v>
      </c>
      <c r="TX6" s="1">
        <v>4568</v>
      </c>
      <c r="TY6" s="1">
        <v>4568</v>
      </c>
      <c r="TZ6" s="1">
        <v>4568</v>
      </c>
      <c r="UA6" s="1">
        <v>4568</v>
      </c>
      <c r="UB6" s="1">
        <v>4568</v>
      </c>
      <c r="UC6" s="1">
        <v>2039.04309082031</v>
      </c>
      <c r="UD6" s="1">
        <v>2039.04309082031</v>
      </c>
      <c r="UE6" s="1">
        <v>2039.04309082031</v>
      </c>
      <c r="UF6" s="1">
        <v>2039.04309082031</v>
      </c>
      <c r="UG6" s="1">
        <v>2039.04309082031</v>
      </c>
      <c r="UH6" s="1">
        <v>2039.04309082031</v>
      </c>
      <c r="UI6" s="1">
        <v>2039.04309082031</v>
      </c>
      <c r="UJ6" s="1">
        <v>2039.04309082031</v>
      </c>
      <c r="UK6" s="1">
        <v>2039.04309082031</v>
      </c>
      <c r="UL6" s="1">
        <v>2039.04309082031</v>
      </c>
      <c r="UM6" s="1">
        <v>2039.04309082031</v>
      </c>
      <c r="UN6" s="1">
        <v>2039.04309082031</v>
      </c>
      <c r="UO6" s="1">
        <v>2039.04309082031</v>
      </c>
      <c r="UP6" s="1">
        <v>2039.04309082031</v>
      </c>
      <c r="UQ6" s="1">
        <v>2039.04309082031</v>
      </c>
      <c r="UR6" s="1">
        <v>1820</v>
      </c>
      <c r="US6" s="1">
        <v>1820</v>
      </c>
      <c r="UT6" s="1">
        <v>1820</v>
      </c>
      <c r="UU6" s="1">
        <v>1820</v>
      </c>
      <c r="UV6" s="1">
        <v>1820</v>
      </c>
      <c r="UW6" s="1">
        <v>639.11721801757801</v>
      </c>
      <c r="UX6" s="1">
        <v>799.87561035156205</v>
      </c>
      <c r="UY6" s="1">
        <v>799.87561035156205</v>
      </c>
      <c r="UZ6" s="1">
        <v>799.87561035156205</v>
      </c>
      <c r="VA6" s="1">
        <v>799.87561035156205</v>
      </c>
      <c r="VB6" s="1">
        <v>799.87561035156205</v>
      </c>
      <c r="VC6" s="1">
        <v>1488.5</v>
      </c>
      <c r="VD6" s="1">
        <v>1488.5</v>
      </c>
      <c r="VE6" s="1">
        <v>1488.5</v>
      </c>
      <c r="VF6" s="1">
        <v>1488.5</v>
      </c>
      <c r="VG6" s="1">
        <v>1488.5</v>
      </c>
      <c r="VH6" s="1">
        <v>3112.5</v>
      </c>
      <c r="VI6" s="1">
        <v>3112.5</v>
      </c>
      <c r="VJ6" s="1">
        <v>3112.5</v>
      </c>
      <c r="VK6" s="1">
        <v>3112.5</v>
      </c>
      <c r="VL6" s="1">
        <v>3112.5</v>
      </c>
      <c r="VM6" s="1">
        <v>3760</v>
      </c>
      <c r="VN6" s="1">
        <v>3760</v>
      </c>
      <c r="VO6" s="1">
        <v>3760</v>
      </c>
      <c r="VP6" s="1">
        <v>3760</v>
      </c>
      <c r="VQ6" s="1">
        <v>3760</v>
      </c>
      <c r="VR6" s="1">
        <v>3147.90869140625</v>
      </c>
      <c r="VS6" s="1">
        <v>3147.90869140625</v>
      </c>
      <c r="VT6" s="1">
        <v>3147.90869140625</v>
      </c>
      <c r="VU6" s="1">
        <v>3147.90869140625</v>
      </c>
      <c r="VV6" s="1">
        <v>3147.90869140625</v>
      </c>
      <c r="VW6" s="1">
        <v>2039.04309082031</v>
      </c>
      <c r="VX6" s="1">
        <v>2039.04309082031</v>
      </c>
      <c r="VY6" s="1">
        <v>2039.04309082031</v>
      </c>
      <c r="VZ6" s="1">
        <v>2039.04309082031</v>
      </c>
      <c r="WA6" s="1">
        <v>2039.04309082031</v>
      </c>
      <c r="WB6" s="1">
        <v>2039.04309082031</v>
      </c>
      <c r="WC6" s="1">
        <v>2039.04309082031</v>
      </c>
      <c r="WD6" s="1">
        <v>2039.04309082031</v>
      </c>
      <c r="WE6" s="1">
        <v>2039.04309082031</v>
      </c>
      <c r="WF6" s="1">
        <v>2039.04309082031</v>
      </c>
      <c r="WG6" s="1">
        <v>1879.5</v>
      </c>
      <c r="WH6" s="1">
        <v>1879.5</v>
      </c>
      <c r="WI6" s="1">
        <v>1879.5</v>
      </c>
      <c r="WJ6" s="1">
        <v>1879.5</v>
      </c>
      <c r="WK6" s="1">
        <v>1879.5</v>
      </c>
      <c r="WL6" s="1">
        <v>838.5</v>
      </c>
      <c r="WM6" s="1">
        <v>838.5</v>
      </c>
      <c r="WN6" s="1">
        <v>838.5</v>
      </c>
      <c r="WO6" s="1">
        <v>838.5</v>
      </c>
      <c r="WP6" s="1">
        <v>838.5</v>
      </c>
      <c r="WQ6" s="1">
        <v>1604</v>
      </c>
      <c r="WR6" s="1">
        <v>1604</v>
      </c>
      <c r="WS6" s="1">
        <v>1604</v>
      </c>
      <c r="WT6" s="1">
        <v>1604</v>
      </c>
      <c r="WU6" s="1">
        <v>1604</v>
      </c>
      <c r="WV6" s="1">
        <v>1820</v>
      </c>
      <c r="WW6" s="1">
        <v>1820</v>
      </c>
      <c r="WX6" s="1">
        <v>1820</v>
      </c>
      <c r="WY6" s="1">
        <v>1820</v>
      </c>
      <c r="WZ6" s="1">
        <v>1820</v>
      </c>
      <c r="XA6" s="1">
        <v>1352.5</v>
      </c>
      <c r="XB6" s="1">
        <v>1352.5</v>
      </c>
      <c r="XC6" s="1">
        <v>1352.5</v>
      </c>
      <c r="XD6" s="1">
        <v>1352.5</v>
      </c>
      <c r="XE6" s="1">
        <v>1352.5</v>
      </c>
      <c r="XF6" s="1">
        <v>895</v>
      </c>
      <c r="XG6" s="1">
        <v>895</v>
      </c>
      <c r="XH6" s="1">
        <v>895</v>
      </c>
      <c r="XI6" s="1">
        <v>895</v>
      </c>
      <c r="XJ6" s="1">
        <v>895</v>
      </c>
      <c r="XK6" s="1">
        <v>1972.16784667968</v>
      </c>
      <c r="XL6" s="1">
        <v>1972.16784667968</v>
      </c>
      <c r="XM6" s="1">
        <v>1972.16784667968</v>
      </c>
      <c r="XN6" s="1">
        <v>1972.16784667968</v>
      </c>
      <c r="XO6" s="1">
        <v>1972.16784667968</v>
      </c>
      <c r="XP6" s="1">
        <v>1982.21118164062</v>
      </c>
      <c r="XQ6" s="1">
        <v>1982.21118164062</v>
      </c>
      <c r="XR6" s="1">
        <v>1982.21118164062</v>
      </c>
      <c r="XS6" s="1">
        <v>1982.21118164062</v>
      </c>
      <c r="XT6" s="1">
        <v>1982.21118164062</v>
      </c>
      <c r="XU6" s="1">
        <v>4503</v>
      </c>
      <c r="XV6" s="1">
        <v>4503</v>
      </c>
      <c r="XW6" s="1">
        <v>4503</v>
      </c>
      <c r="XX6" s="1">
        <v>4503</v>
      </c>
      <c r="XY6" s="1">
        <v>4503</v>
      </c>
      <c r="XZ6" s="1">
        <v>1393.375</v>
      </c>
      <c r="YA6" s="1">
        <v>1393.375</v>
      </c>
      <c r="YB6" s="1">
        <v>1393.375</v>
      </c>
      <c r="YC6" s="1">
        <v>1393.375</v>
      </c>
      <c r="YD6" s="1">
        <v>1393.375</v>
      </c>
      <c r="YE6" s="1">
        <v>1756.73498535156</v>
      </c>
      <c r="YF6" s="1">
        <v>1756.73498535156</v>
      </c>
      <c r="YG6" s="1">
        <v>1756.73498535156</v>
      </c>
      <c r="YH6" s="1">
        <v>1756.73498535156</v>
      </c>
      <c r="YI6" s="1">
        <v>1756.73498535156</v>
      </c>
      <c r="YJ6" s="1">
        <v>2039.04309082031</v>
      </c>
      <c r="YK6" s="1">
        <v>2039.04309082031</v>
      </c>
      <c r="YL6" s="1">
        <v>2039.04309082031</v>
      </c>
      <c r="YM6" s="1">
        <v>2039.04309082031</v>
      </c>
      <c r="YN6" s="1">
        <v>2039.04309082031</v>
      </c>
      <c r="YO6" s="1">
        <v>1255</v>
      </c>
      <c r="YP6" s="1">
        <v>1255</v>
      </c>
      <c r="YQ6" s="1">
        <v>1255</v>
      </c>
      <c r="YR6" s="1">
        <v>1255</v>
      </c>
      <c r="YS6" s="1">
        <v>1255</v>
      </c>
      <c r="YT6" s="1">
        <v>3001.0810546875</v>
      </c>
      <c r="YU6" s="1">
        <v>3001.0810546875</v>
      </c>
      <c r="YV6" s="1">
        <v>3001.0810546875</v>
      </c>
      <c r="YW6" s="1">
        <v>3001.0810546875</v>
      </c>
      <c r="YX6" s="1">
        <v>3001.0810546875</v>
      </c>
      <c r="YY6" s="1">
        <v>925</v>
      </c>
      <c r="YZ6" s="1">
        <v>925</v>
      </c>
      <c r="ZA6" s="1">
        <v>925</v>
      </c>
      <c r="ZB6" s="1">
        <v>925</v>
      </c>
      <c r="ZC6" s="1">
        <v>925</v>
      </c>
      <c r="ZD6" s="1">
        <v>1577.64282226562</v>
      </c>
      <c r="ZE6" s="1">
        <v>1577.64282226562</v>
      </c>
      <c r="ZF6" s="1">
        <v>1577.64282226562</v>
      </c>
      <c r="ZG6" s="1">
        <v>1577.64282226562</v>
      </c>
      <c r="ZH6" s="1">
        <v>1577.64282226562</v>
      </c>
      <c r="ZI6" s="1">
        <v>895</v>
      </c>
      <c r="ZJ6" s="1">
        <v>895</v>
      </c>
      <c r="ZK6" s="1">
        <v>895</v>
      </c>
      <c r="ZL6" s="1">
        <v>895</v>
      </c>
      <c r="ZM6" s="1">
        <v>895</v>
      </c>
      <c r="ZN6" s="1">
        <v>1164</v>
      </c>
      <c r="ZO6" s="1">
        <v>1164</v>
      </c>
      <c r="ZP6" s="1">
        <v>1164</v>
      </c>
      <c r="ZQ6" s="1">
        <v>1164</v>
      </c>
      <c r="ZR6" s="1">
        <v>1164</v>
      </c>
      <c r="ZS6" s="1">
        <v>1820</v>
      </c>
      <c r="ZT6" s="1">
        <v>1820</v>
      </c>
      <c r="ZU6" s="1">
        <v>1820</v>
      </c>
      <c r="ZV6" s="1">
        <v>1820</v>
      </c>
      <c r="ZW6" s="1">
        <v>1820</v>
      </c>
      <c r="ZX6" s="1">
        <v>991</v>
      </c>
      <c r="ZY6" s="1">
        <v>991</v>
      </c>
      <c r="ZZ6" s="1">
        <v>991</v>
      </c>
      <c r="AAA6" s="1">
        <v>991</v>
      </c>
      <c r="AAB6" s="1">
        <v>991</v>
      </c>
      <c r="AAC6" s="1">
        <v>2699.12036132812</v>
      </c>
      <c r="AAD6" s="1">
        <v>2699.12036132812</v>
      </c>
      <c r="AAE6" s="1">
        <v>2699.12036132812</v>
      </c>
      <c r="AAF6" s="1">
        <v>2699.12036132812</v>
      </c>
      <c r="AAG6" s="1">
        <v>2699.12036132812</v>
      </c>
      <c r="AAH6" s="1">
        <v>2194.56420898437</v>
      </c>
      <c r="AAI6" s="1">
        <v>2194.56420898437</v>
      </c>
      <c r="AAJ6" s="1">
        <v>2194.56420898437</v>
      </c>
      <c r="AAK6" s="1">
        <v>2194.56420898437</v>
      </c>
      <c r="AAL6" s="1">
        <v>2194.56420898437</v>
      </c>
      <c r="AAM6" s="1">
        <v>2194.56420898437</v>
      </c>
      <c r="AAN6" s="1">
        <v>2194.56420898437</v>
      </c>
      <c r="AAO6" s="1">
        <v>2194.56420898437</v>
      </c>
      <c r="AAP6" s="1">
        <v>2194.56420898437</v>
      </c>
      <c r="AAQ6" s="1">
        <v>2194.56420898437</v>
      </c>
      <c r="AAR6" s="1">
        <v>1304.3125</v>
      </c>
      <c r="AAS6" s="1">
        <v>1304.3125</v>
      </c>
      <c r="AAT6" s="1">
        <v>1304.3125</v>
      </c>
      <c r="AAU6" s="1">
        <v>1304.3125</v>
      </c>
      <c r="AAV6" s="1">
        <v>1304.3125</v>
      </c>
      <c r="AAW6" s="1">
        <v>1697.5</v>
      </c>
      <c r="AAX6" s="1">
        <v>1697.5</v>
      </c>
      <c r="AAY6" s="1">
        <v>1697.5</v>
      </c>
      <c r="AAZ6" s="1">
        <v>1697.5</v>
      </c>
      <c r="ABA6" s="1">
        <v>1697.5</v>
      </c>
      <c r="ABB6" s="1">
        <v>1286.5</v>
      </c>
    </row>
    <row r="7" spans="1:730" x14ac:dyDescent="0.15">
      <c r="A7" s="2">
        <v>44805</v>
      </c>
      <c r="B7" s="1" t="s">
        <v>12</v>
      </c>
      <c r="C7" s="1" t="s">
        <v>11</v>
      </c>
      <c r="D7" s="1">
        <v>29</v>
      </c>
      <c r="E7" s="1">
        <v>216.48793162963401</v>
      </c>
      <c r="F7" s="1">
        <v>973.200927734375</v>
      </c>
    </row>
    <row r="8" spans="1:730" x14ac:dyDescent="0.15">
      <c r="A8" s="2">
        <v>44805</v>
      </c>
      <c r="B8" s="1" t="s">
        <v>13</v>
      </c>
      <c r="C8" s="1" t="s">
        <v>11</v>
      </c>
      <c r="D8" s="1">
        <v>29</v>
      </c>
      <c r="E8" s="1">
        <v>216.48793162963401</v>
      </c>
      <c r="F8" s="1">
        <v>973.200927734375</v>
      </c>
    </row>
    <row r="9" spans="1:730" x14ac:dyDescent="0.15">
      <c r="A9" s="2">
        <v>44805</v>
      </c>
      <c r="B9" s="1" t="s">
        <v>14</v>
      </c>
      <c r="C9" s="1" t="s">
        <v>11</v>
      </c>
      <c r="D9" s="1">
        <v>29</v>
      </c>
      <c r="E9" s="1">
        <v>216.48793162963401</v>
      </c>
      <c r="F9" s="1">
        <v>973.200927734375</v>
      </c>
    </row>
    <row r="10" spans="1:730" x14ac:dyDescent="0.15">
      <c r="A10" s="2">
        <v>44652</v>
      </c>
      <c r="B10" s="1" t="s">
        <v>13</v>
      </c>
      <c r="C10" s="1" t="s">
        <v>9</v>
      </c>
      <c r="D10" s="1">
        <v>20.6301956176757</v>
      </c>
      <c r="E10" s="1">
        <v>174.198605196925</v>
      </c>
      <c r="F10" s="1">
        <v>1577.64282226562</v>
      </c>
    </row>
    <row r="11" spans="1:730" x14ac:dyDescent="0.15">
      <c r="A11" s="2">
        <v>44652</v>
      </c>
      <c r="B11" s="1" t="s">
        <v>6</v>
      </c>
      <c r="C11" s="1" t="s">
        <v>9</v>
      </c>
      <c r="D11" s="1">
        <v>20.6301956176757</v>
      </c>
      <c r="E11" s="1">
        <v>174.198605196925</v>
      </c>
      <c r="F11" s="1">
        <v>1577.64282226562</v>
      </c>
    </row>
    <row r="12" spans="1:730" x14ac:dyDescent="0.15">
      <c r="A12" s="2">
        <v>44652</v>
      </c>
      <c r="B12" s="1" t="s">
        <v>12</v>
      </c>
      <c r="C12" s="1" t="s">
        <v>9</v>
      </c>
      <c r="D12" s="1">
        <v>20.6301956176757</v>
      </c>
      <c r="E12" s="1">
        <v>174.198605196925</v>
      </c>
      <c r="F12" s="1">
        <v>1577.64282226562</v>
      </c>
    </row>
    <row r="13" spans="1:730" x14ac:dyDescent="0.15">
      <c r="A13" s="2">
        <v>44652</v>
      </c>
      <c r="B13" s="1" t="s">
        <v>10</v>
      </c>
      <c r="C13" s="1" t="s">
        <v>9</v>
      </c>
      <c r="D13" s="1">
        <v>20.6301956176757</v>
      </c>
      <c r="E13" s="1">
        <v>174.198605196925</v>
      </c>
      <c r="F13" s="1">
        <v>1577.64282226562</v>
      </c>
    </row>
    <row r="14" spans="1:730" x14ac:dyDescent="0.15">
      <c r="A14" s="2">
        <v>44652</v>
      </c>
      <c r="B14" s="1" t="s">
        <v>14</v>
      </c>
      <c r="C14" s="1" t="s">
        <v>9</v>
      </c>
      <c r="D14" s="1">
        <v>20.6301956176757</v>
      </c>
      <c r="E14" s="1">
        <v>174.198605196925</v>
      </c>
      <c r="F14" s="1">
        <v>1577.64282226562</v>
      </c>
      <c r="G14" s="1" t="s">
        <v>27</v>
      </c>
      <c r="H14" s="2">
        <v>44986</v>
      </c>
      <c r="I14" s="2">
        <v>44986</v>
      </c>
      <c r="J14" s="2">
        <v>44986</v>
      </c>
      <c r="K14" s="2">
        <v>44805</v>
      </c>
      <c r="L14" s="2">
        <v>44805</v>
      </c>
      <c r="M14" s="2">
        <v>44805</v>
      </c>
      <c r="N14" s="2">
        <v>44805</v>
      </c>
      <c r="O14" s="2">
        <v>44805</v>
      </c>
      <c r="P14" s="2">
        <v>44652</v>
      </c>
      <c r="Q14" s="2">
        <v>44652</v>
      </c>
      <c r="R14" s="2">
        <v>44652</v>
      </c>
      <c r="S14" s="2">
        <v>44652</v>
      </c>
      <c r="T14" s="2">
        <v>44652</v>
      </c>
      <c r="U14" s="2">
        <v>44713</v>
      </c>
      <c r="V14" s="2">
        <v>44713</v>
      </c>
      <c r="W14" s="2">
        <v>44713</v>
      </c>
      <c r="X14" s="2">
        <v>44713</v>
      </c>
      <c r="Y14" s="2">
        <v>44713</v>
      </c>
      <c r="Z14" s="2">
        <v>44682</v>
      </c>
      <c r="AA14" s="2">
        <v>44682</v>
      </c>
      <c r="AB14" s="2">
        <v>44682</v>
      </c>
      <c r="AC14" s="2">
        <v>44682</v>
      </c>
      <c r="AD14" s="2">
        <v>44682</v>
      </c>
      <c r="AE14" s="2">
        <v>44621</v>
      </c>
      <c r="AF14" s="2">
        <v>44621</v>
      </c>
      <c r="AG14" s="2">
        <v>44621</v>
      </c>
      <c r="AH14" s="2">
        <v>44621</v>
      </c>
      <c r="AI14" s="2">
        <v>44621</v>
      </c>
      <c r="AJ14" s="2">
        <v>44713</v>
      </c>
      <c r="AK14" s="2">
        <v>44713</v>
      </c>
      <c r="AL14" s="2">
        <v>44713</v>
      </c>
      <c r="AM14" s="2">
        <v>44713</v>
      </c>
      <c r="AN14" s="2">
        <v>44713</v>
      </c>
    </row>
    <row r="15" spans="1:730" x14ac:dyDescent="0.15">
      <c r="A15" s="2">
        <v>44713</v>
      </c>
      <c r="B15" s="1" t="s">
        <v>6</v>
      </c>
      <c r="C15" s="1" t="s">
        <v>15</v>
      </c>
      <c r="D15" s="1">
        <v>25</v>
      </c>
      <c r="E15" s="1">
        <v>194.38031713026399</v>
      </c>
      <c r="F15" s="1">
        <v>1756.73498535156</v>
      </c>
      <c r="G15" s="1" t="s">
        <v>1</v>
      </c>
      <c r="H15" s="1" t="s">
        <v>6</v>
      </c>
      <c r="I15" s="1" t="s">
        <v>6</v>
      </c>
      <c r="J15" s="1" t="s">
        <v>6</v>
      </c>
      <c r="K15" s="1" t="s">
        <v>10</v>
      </c>
      <c r="L15" s="1" t="s">
        <v>6</v>
      </c>
      <c r="M15" s="1" t="s">
        <v>12</v>
      </c>
      <c r="N15" s="1" t="s">
        <v>13</v>
      </c>
      <c r="O15" s="1" t="s">
        <v>14</v>
      </c>
      <c r="P15" s="1" t="s">
        <v>13</v>
      </c>
      <c r="Q15" s="1" t="s">
        <v>6</v>
      </c>
      <c r="R15" s="1" t="s">
        <v>12</v>
      </c>
      <c r="S15" s="1" t="s">
        <v>10</v>
      </c>
      <c r="T15" s="1" t="s">
        <v>14</v>
      </c>
      <c r="U15" s="1" t="s">
        <v>6</v>
      </c>
      <c r="V15" s="1" t="s">
        <v>12</v>
      </c>
      <c r="W15" s="1" t="s">
        <v>14</v>
      </c>
      <c r="X15" s="1" t="s">
        <v>13</v>
      </c>
      <c r="Y15" s="1" t="s">
        <v>10</v>
      </c>
      <c r="Z15" s="1" t="s">
        <v>12</v>
      </c>
      <c r="AA15" s="1" t="s">
        <v>14</v>
      </c>
      <c r="AB15" s="1" t="s">
        <v>6</v>
      </c>
      <c r="AC15" s="1" t="s">
        <v>13</v>
      </c>
      <c r="AD15" s="1" t="s">
        <v>10</v>
      </c>
      <c r="AE15" s="1" t="s">
        <v>12</v>
      </c>
      <c r="AF15" s="1" t="s">
        <v>6</v>
      </c>
      <c r="AG15" s="1" t="s">
        <v>10</v>
      </c>
      <c r="AH15" s="1" t="s">
        <v>13</v>
      </c>
      <c r="AI15" s="1" t="s">
        <v>14</v>
      </c>
      <c r="AJ15" s="1" t="s">
        <v>6</v>
      </c>
      <c r="AK15" s="1" t="s">
        <v>12</v>
      </c>
      <c r="AL15" s="1" t="s">
        <v>14</v>
      </c>
      <c r="AM15" s="1" t="s">
        <v>13</v>
      </c>
      <c r="AN15" s="1" t="s">
        <v>10</v>
      </c>
    </row>
    <row r="16" spans="1:730" x14ac:dyDescent="0.15">
      <c r="A16" s="2">
        <v>44713</v>
      </c>
      <c r="B16" s="1" t="s">
        <v>12</v>
      </c>
      <c r="C16" s="1" t="s">
        <v>15</v>
      </c>
      <c r="D16" s="1">
        <v>25</v>
      </c>
      <c r="E16" s="1">
        <v>194.38031713026399</v>
      </c>
      <c r="F16" s="1">
        <v>1756.73498535156</v>
      </c>
      <c r="G16" s="1" t="s">
        <v>2</v>
      </c>
      <c r="H16" s="1" t="s">
        <v>7</v>
      </c>
      <c r="I16" s="1" t="s">
        <v>8</v>
      </c>
      <c r="J16" s="1" t="s">
        <v>9</v>
      </c>
      <c r="K16" s="1" t="s">
        <v>11</v>
      </c>
      <c r="L16" s="1" t="s">
        <v>11</v>
      </c>
      <c r="M16" s="1" t="s">
        <v>11</v>
      </c>
      <c r="N16" s="1" t="s">
        <v>11</v>
      </c>
      <c r="O16" s="1" t="s">
        <v>11</v>
      </c>
      <c r="P16" s="1" t="s">
        <v>9</v>
      </c>
      <c r="Q16" s="1" t="s">
        <v>9</v>
      </c>
      <c r="R16" s="1" t="s">
        <v>9</v>
      </c>
      <c r="S16" s="1" t="s">
        <v>9</v>
      </c>
      <c r="T16" s="1" t="s">
        <v>9</v>
      </c>
      <c r="U16" s="1" t="s">
        <v>15</v>
      </c>
      <c r="V16" s="1" t="s">
        <v>15</v>
      </c>
      <c r="W16" s="1" t="s">
        <v>15</v>
      </c>
      <c r="X16" s="1" t="s">
        <v>15</v>
      </c>
      <c r="Y16" s="1" t="s">
        <v>15</v>
      </c>
      <c r="Z16" s="1" t="s">
        <v>16</v>
      </c>
      <c r="AA16" s="1" t="s">
        <v>16</v>
      </c>
      <c r="AB16" s="1" t="s">
        <v>16</v>
      </c>
      <c r="AC16" s="1" t="s">
        <v>16</v>
      </c>
      <c r="AD16" s="1" t="s">
        <v>16</v>
      </c>
      <c r="AE16" s="1" t="s">
        <v>17</v>
      </c>
      <c r="AF16" s="1" t="s">
        <v>17</v>
      </c>
      <c r="AG16" s="1" t="s">
        <v>17</v>
      </c>
      <c r="AH16" s="1" t="s">
        <v>17</v>
      </c>
      <c r="AI16" s="1" t="s">
        <v>17</v>
      </c>
      <c r="AJ16" s="1" t="s">
        <v>7</v>
      </c>
      <c r="AK16" s="1" t="s">
        <v>7</v>
      </c>
      <c r="AL16" s="1" t="s">
        <v>7</v>
      </c>
      <c r="AM16" s="1" t="s">
        <v>7</v>
      </c>
      <c r="AN16" s="1" t="s">
        <v>7</v>
      </c>
    </row>
    <row r="17" spans="1:40" x14ac:dyDescent="0.15">
      <c r="A17" s="2">
        <v>44713</v>
      </c>
      <c r="B17" s="1" t="s">
        <v>14</v>
      </c>
      <c r="C17" s="1" t="s">
        <v>15</v>
      </c>
      <c r="D17" s="1">
        <v>25</v>
      </c>
      <c r="E17" s="1">
        <v>194.38031713026399</v>
      </c>
      <c r="F17" s="1">
        <v>1756.73498535156</v>
      </c>
      <c r="G17" s="1" t="s">
        <v>3</v>
      </c>
      <c r="H17" s="1">
        <v>143.30439758300699</v>
      </c>
      <c r="I17" s="1">
        <v>216.24761962890599</v>
      </c>
      <c r="J17" s="1">
        <v>117.48377990722599</v>
      </c>
      <c r="K17" s="1">
        <v>29</v>
      </c>
      <c r="L17" s="1">
        <v>29</v>
      </c>
      <c r="M17" s="1">
        <v>29</v>
      </c>
      <c r="N17" s="1">
        <v>29</v>
      </c>
      <c r="O17" s="1">
        <v>29</v>
      </c>
      <c r="P17" s="1">
        <v>20.6301956176757</v>
      </c>
      <c r="Q17" s="1">
        <v>20.6301956176757</v>
      </c>
      <c r="R17" s="1">
        <v>20.6301956176757</v>
      </c>
      <c r="S17" s="1">
        <v>20.6301956176757</v>
      </c>
      <c r="T17" s="1">
        <v>20.6301956176757</v>
      </c>
      <c r="U17" s="1">
        <v>25</v>
      </c>
      <c r="V17" s="1">
        <v>25</v>
      </c>
      <c r="W17" s="1">
        <v>25</v>
      </c>
      <c r="X17" s="1">
        <v>25</v>
      </c>
      <c r="Y17" s="1">
        <v>25</v>
      </c>
      <c r="Z17" s="1">
        <v>6</v>
      </c>
      <c r="AA17" s="1">
        <v>6</v>
      </c>
      <c r="AB17" s="1">
        <v>6</v>
      </c>
      <c r="AC17" s="1">
        <v>6</v>
      </c>
      <c r="AD17" s="1">
        <v>6</v>
      </c>
      <c r="AE17" s="1">
        <v>58</v>
      </c>
      <c r="AF17" s="1">
        <v>58</v>
      </c>
      <c r="AG17" s="1">
        <v>58</v>
      </c>
      <c r="AH17" s="1">
        <v>58</v>
      </c>
      <c r="AI17" s="1">
        <v>58</v>
      </c>
      <c r="AJ17" s="1">
        <v>33</v>
      </c>
      <c r="AK17" s="1">
        <v>33</v>
      </c>
      <c r="AL17" s="1">
        <v>33</v>
      </c>
      <c r="AM17" s="1">
        <v>33</v>
      </c>
      <c r="AN17" s="1">
        <v>33</v>
      </c>
    </row>
    <row r="18" spans="1:40" x14ac:dyDescent="0.15">
      <c r="A18" s="2">
        <v>44713</v>
      </c>
      <c r="B18" s="1" t="s">
        <v>13</v>
      </c>
      <c r="C18" s="1" t="s">
        <v>15</v>
      </c>
      <c r="D18" s="1">
        <v>25</v>
      </c>
      <c r="E18" s="1">
        <v>194.38031713026399</v>
      </c>
      <c r="F18" s="1">
        <v>1756.73498535156</v>
      </c>
      <c r="G18" s="1" t="s">
        <v>4</v>
      </c>
      <c r="H18" s="1">
        <v>547.52577971592802</v>
      </c>
      <c r="I18" s="1">
        <v>812.49295312482695</v>
      </c>
      <c r="J18" s="1">
        <v>428.890569284153</v>
      </c>
      <c r="K18" s="1">
        <v>216.48793162963401</v>
      </c>
      <c r="L18" s="1">
        <v>216.48793162963401</v>
      </c>
      <c r="M18" s="1">
        <v>216.48793162963401</v>
      </c>
      <c r="N18" s="1">
        <v>216.48793162963401</v>
      </c>
      <c r="O18" s="1">
        <v>216.48793162963401</v>
      </c>
      <c r="P18" s="1">
        <v>174.198605196925</v>
      </c>
      <c r="Q18" s="1">
        <v>174.198605196925</v>
      </c>
      <c r="R18" s="1">
        <v>174.198605196925</v>
      </c>
      <c r="S18" s="1">
        <v>174.198605196925</v>
      </c>
      <c r="T18" s="1">
        <v>174.198605196925</v>
      </c>
      <c r="U18" s="1">
        <v>194.38031713026399</v>
      </c>
      <c r="V18" s="1">
        <v>194.38031713026399</v>
      </c>
      <c r="W18" s="1">
        <v>194.38031713026399</v>
      </c>
      <c r="X18" s="1">
        <v>194.38031713026399</v>
      </c>
      <c r="Y18" s="1">
        <v>194.38031713026399</v>
      </c>
      <c r="Z18" s="1">
        <v>80.622654574438599</v>
      </c>
      <c r="AA18" s="1">
        <v>80.622654574438599</v>
      </c>
      <c r="AB18" s="1">
        <v>80.622654574438599</v>
      </c>
      <c r="AC18" s="1">
        <v>80.622654574438599</v>
      </c>
      <c r="AD18" s="1">
        <v>80.622654574438599</v>
      </c>
      <c r="AE18" s="1">
        <v>544.87181109786002</v>
      </c>
      <c r="AF18" s="1">
        <v>544.87181109786002</v>
      </c>
      <c r="AG18" s="1">
        <v>544.87181109786002</v>
      </c>
      <c r="AH18" s="1">
        <v>544.87181109786002</v>
      </c>
      <c r="AI18" s="1">
        <v>544.87181109786002</v>
      </c>
      <c r="AJ18" s="1">
        <v>247.05766860419101</v>
      </c>
      <c r="AK18" s="1">
        <v>247.05766860419101</v>
      </c>
      <c r="AL18" s="1">
        <v>247.05766860419101</v>
      </c>
      <c r="AM18" s="1">
        <v>247.05766860419101</v>
      </c>
      <c r="AN18" s="1">
        <v>247.05766860419101</v>
      </c>
    </row>
    <row r="19" spans="1:40" x14ac:dyDescent="0.15">
      <c r="A19" s="2">
        <v>44713</v>
      </c>
      <c r="B19" s="1" t="s">
        <v>10</v>
      </c>
      <c r="C19" s="1" t="s">
        <v>15</v>
      </c>
      <c r="D19" s="1">
        <v>25</v>
      </c>
      <c r="E19" s="1">
        <v>194.38031713026399</v>
      </c>
      <c r="F19" s="1">
        <v>1756.73498535156</v>
      </c>
      <c r="G19" s="1" t="s">
        <v>5</v>
      </c>
      <c r="H19" s="1">
        <v>1072.81567382812</v>
      </c>
      <c r="I19" s="1">
        <v>1374.87341308593</v>
      </c>
      <c r="J19" s="1">
        <v>817.90411376953102</v>
      </c>
      <c r="K19" s="1">
        <v>973.200927734375</v>
      </c>
      <c r="L19" s="1">
        <v>973.200927734375</v>
      </c>
      <c r="M19" s="1">
        <v>973.200927734375</v>
      </c>
      <c r="N19" s="1">
        <v>973.200927734375</v>
      </c>
      <c r="O19" s="1">
        <v>973.200927734375</v>
      </c>
      <c r="P19" s="1">
        <v>1577.64282226562</v>
      </c>
      <c r="Q19" s="1">
        <v>1577.64282226562</v>
      </c>
      <c r="R19" s="1">
        <v>1577.64282226562</v>
      </c>
      <c r="S19" s="1">
        <v>1577.64282226562</v>
      </c>
      <c r="T19" s="1">
        <v>1577.64282226562</v>
      </c>
      <c r="U19" s="1">
        <v>1756.73498535156</v>
      </c>
      <c r="V19" s="1">
        <v>1756.73498535156</v>
      </c>
      <c r="W19" s="1">
        <v>1756.73498535156</v>
      </c>
      <c r="X19" s="1">
        <v>1756.73498535156</v>
      </c>
      <c r="Y19" s="1">
        <v>1756.73498535156</v>
      </c>
      <c r="Z19" s="1">
        <v>925</v>
      </c>
      <c r="AA19" s="1">
        <v>925</v>
      </c>
      <c r="AB19" s="1">
        <v>925</v>
      </c>
      <c r="AC19" s="1">
        <v>925</v>
      </c>
      <c r="AD19" s="1">
        <v>925</v>
      </c>
      <c r="AE19" s="1">
        <v>2299</v>
      </c>
      <c r="AF19" s="1">
        <v>2299</v>
      </c>
      <c r="AG19" s="1">
        <v>2299</v>
      </c>
      <c r="AH19" s="1">
        <v>2299</v>
      </c>
      <c r="AI19" s="1">
        <v>2299</v>
      </c>
      <c r="AJ19" s="1">
        <v>2194.56420898437</v>
      </c>
      <c r="AK19" s="1">
        <v>2194.56420898437</v>
      </c>
      <c r="AL19" s="1">
        <v>2194.56420898437</v>
      </c>
      <c r="AM19" s="1">
        <v>2194.56420898437</v>
      </c>
      <c r="AN19" s="1">
        <v>2194.56420898437</v>
      </c>
    </row>
    <row r="20" spans="1:40" x14ac:dyDescent="0.15">
      <c r="A20" s="2">
        <v>44682</v>
      </c>
      <c r="B20" s="1" t="s">
        <v>12</v>
      </c>
      <c r="C20" s="1" t="s">
        <v>16</v>
      </c>
      <c r="D20" s="1">
        <v>6</v>
      </c>
      <c r="E20" s="1">
        <v>80.622654574438599</v>
      </c>
      <c r="F20" s="1">
        <v>925</v>
      </c>
    </row>
    <row r="21" spans="1:40" x14ac:dyDescent="0.15">
      <c r="A21" s="2">
        <v>44682</v>
      </c>
      <c r="B21" s="1" t="s">
        <v>14</v>
      </c>
      <c r="C21" s="1" t="s">
        <v>16</v>
      </c>
      <c r="D21" s="1">
        <v>6</v>
      </c>
      <c r="E21" s="1">
        <v>80.622654574438599</v>
      </c>
      <c r="F21" s="1">
        <v>925</v>
      </c>
    </row>
    <row r="22" spans="1:40" x14ac:dyDescent="0.15">
      <c r="A22" s="2">
        <v>44682</v>
      </c>
      <c r="B22" s="1" t="s">
        <v>6</v>
      </c>
      <c r="C22" s="1" t="s">
        <v>16</v>
      </c>
      <c r="D22" s="1">
        <v>6</v>
      </c>
      <c r="E22" s="1">
        <v>80.622654574438599</v>
      </c>
      <c r="F22" s="1">
        <v>925</v>
      </c>
    </row>
    <row r="23" spans="1:40" x14ac:dyDescent="0.15">
      <c r="A23" s="2">
        <v>44682</v>
      </c>
      <c r="B23" s="1" t="s">
        <v>13</v>
      </c>
      <c r="C23" s="1" t="s">
        <v>16</v>
      </c>
      <c r="D23" s="1">
        <v>6</v>
      </c>
      <c r="E23" s="1">
        <v>80.622654574438599</v>
      </c>
      <c r="F23" s="1">
        <v>925</v>
      </c>
    </row>
    <row r="24" spans="1:40" x14ac:dyDescent="0.15">
      <c r="A24" s="2">
        <v>44682</v>
      </c>
      <c r="B24" s="1" t="s">
        <v>10</v>
      </c>
      <c r="C24" s="1" t="s">
        <v>16</v>
      </c>
      <c r="D24" s="1">
        <v>6</v>
      </c>
      <c r="E24" s="1">
        <v>80.622654574438599</v>
      </c>
      <c r="F24" s="1">
        <v>925</v>
      </c>
      <c r="G24" s="1" t="s">
        <v>27</v>
      </c>
      <c r="H24" s="2">
        <v>44986</v>
      </c>
      <c r="I24" s="2">
        <v>44986</v>
      </c>
      <c r="J24" s="2">
        <v>44986</v>
      </c>
      <c r="K24" s="2">
        <v>44805</v>
      </c>
      <c r="L24" s="2">
        <v>44805</v>
      </c>
      <c r="M24" s="2">
        <v>44805</v>
      </c>
      <c r="N24" s="2">
        <v>44805</v>
      </c>
      <c r="O24" s="2">
        <v>44805</v>
      </c>
      <c r="P24" s="2">
        <v>44652</v>
      </c>
      <c r="Q24" s="2">
        <v>44652</v>
      </c>
      <c r="R24" s="2">
        <v>44652</v>
      </c>
      <c r="S24" s="2">
        <v>44652</v>
      </c>
      <c r="T24" s="2">
        <v>44652</v>
      </c>
      <c r="U24" s="2">
        <v>44713</v>
      </c>
      <c r="V24" s="2">
        <v>44713</v>
      </c>
      <c r="W24" s="2">
        <v>44713</v>
      </c>
      <c r="X24" s="2">
        <v>44713</v>
      </c>
      <c r="Y24" s="2">
        <v>44713</v>
      </c>
      <c r="Z24" s="2">
        <v>44682</v>
      </c>
      <c r="AA24" s="2">
        <v>44682</v>
      </c>
      <c r="AB24" s="2">
        <v>44682</v>
      </c>
      <c r="AC24" s="2">
        <v>44682</v>
      </c>
      <c r="AD24" s="2">
        <v>44682</v>
      </c>
      <c r="AE24" s="2">
        <v>44621</v>
      </c>
      <c r="AF24" s="2">
        <v>44621</v>
      </c>
      <c r="AG24" s="2">
        <v>44621</v>
      </c>
      <c r="AH24" s="2">
        <v>44621</v>
      </c>
      <c r="AI24" s="2">
        <v>44621</v>
      </c>
      <c r="AJ24" s="2">
        <v>44713</v>
      </c>
      <c r="AK24" s="2">
        <v>44713</v>
      </c>
      <c r="AL24" s="2">
        <v>44713</v>
      </c>
      <c r="AM24" s="2">
        <v>44713</v>
      </c>
      <c r="AN24" s="2">
        <v>44713</v>
      </c>
    </row>
    <row r="25" spans="1:40" x14ac:dyDescent="0.15">
      <c r="A25" s="2">
        <v>44621</v>
      </c>
      <c r="B25" s="1" t="s">
        <v>12</v>
      </c>
      <c r="C25" s="1" t="s">
        <v>17</v>
      </c>
      <c r="D25" s="1">
        <v>58</v>
      </c>
      <c r="E25" s="1">
        <v>544.87181109786002</v>
      </c>
      <c r="F25" s="1">
        <v>2299</v>
      </c>
      <c r="G25" s="1" t="s">
        <v>1</v>
      </c>
      <c r="H25" s="1" t="s">
        <v>6</v>
      </c>
      <c r="I25" s="1" t="s">
        <v>6</v>
      </c>
      <c r="J25" s="1" t="s">
        <v>6</v>
      </c>
      <c r="K25" s="1" t="s">
        <v>10</v>
      </c>
      <c r="L25" s="1" t="s">
        <v>6</v>
      </c>
      <c r="M25" s="1" t="s">
        <v>12</v>
      </c>
      <c r="N25" s="1" t="s">
        <v>13</v>
      </c>
      <c r="O25" s="1" t="s">
        <v>14</v>
      </c>
      <c r="P25" s="1" t="s">
        <v>13</v>
      </c>
      <c r="Q25" s="1" t="s">
        <v>6</v>
      </c>
      <c r="R25" s="1" t="s">
        <v>12</v>
      </c>
      <c r="S25" s="1" t="s">
        <v>10</v>
      </c>
      <c r="T25" s="1" t="s">
        <v>14</v>
      </c>
      <c r="U25" s="1" t="s">
        <v>6</v>
      </c>
      <c r="V25" s="1" t="s">
        <v>12</v>
      </c>
      <c r="W25" s="1" t="s">
        <v>14</v>
      </c>
      <c r="X25" s="1" t="s">
        <v>13</v>
      </c>
      <c r="Y25" s="1" t="s">
        <v>10</v>
      </c>
      <c r="Z25" s="1" t="s">
        <v>12</v>
      </c>
      <c r="AA25" s="1" t="s">
        <v>14</v>
      </c>
      <c r="AB25" s="1" t="s">
        <v>6</v>
      </c>
      <c r="AC25" s="1" t="s">
        <v>13</v>
      </c>
      <c r="AD25" s="1" t="s">
        <v>10</v>
      </c>
      <c r="AE25" s="1" t="s">
        <v>12</v>
      </c>
      <c r="AF25" s="1" t="s">
        <v>6</v>
      </c>
      <c r="AG25" s="1" t="s">
        <v>10</v>
      </c>
      <c r="AH25" s="1" t="s">
        <v>13</v>
      </c>
      <c r="AI25" s="1" t="s">
        <v>14</v>
      </c>
      <c r="AJ25" s="1" t="s">
        <v>6</v>
      </c>
      <c r="AK25" s="1" t="s">
        <v>12</v>
      </c>
      <c r="AL25" s="1" t="s">
        <v>14</v>
      </c>
      <c r="AM25" s="1" t="s">
        <v>13</v>
      </c>
      <c r="AN25" s="1" t="s">
        <v>10</v>
      </c>
    </row>
    <row r="26" spans="1:40" x14ac:dyDescent="0.15">
      <c r="A26" s="2">
        <v>44621</v>
      </c>
      <c r="B26" s="1" t="s">
        <v>6</v>
      </c>
      <c r="C26" s="1" t="s">
        <v>17</v>
      </c>
      <c r="D26" s="1">
        <v>58</v>
      </c>
      <c r="E26" s="1">
        <v>544.87181109786002</v>
      </c>
      <c r="F26" s="1">
        <v>2299</v>
      </c>
      <c r="G26" s="1" t="s">
        <v>2</v>
      </c>
      <c r="H26" s="1" t="s">
        <v>7</v>
      </c>
      <c r="I26" s="1" t="s">
        <v>8</v>
      </c>
      <c r="J26" s="1" t="s">
        <v>9</v>
      </c>
      <c r="K26" s="1" t="s">
        <v>11</v>
      </c>
      <c r="L26" s="1" t="s">
        <v>11</v>
      </c>
      <c r="M26" s="1" t="s">
        <v>11</v>
      </c>
      <c r="N26" s="1" t="s">
        <v>11</v>
      </c>
      <c r="O26" s="1" t="s">
        <v>11</v>
      </c>
      <c r="P26" s="1" t="s">
        <v>9</v>
      </c>
      <c r="Q26" s="1" t="s">
        <v>9</v>
      </c>
      <c r="R26" s="1" t="s">
        <v>9</v>
      </c>
      <c r="S26" s="1" t="s">
        <v>9</v>
      </c>
      <c r="T26" s="1" t="s">
        <v>9</v>
      </c>
      <c r="U26" s="1" t="s">
        <v>15</v>
      </c>
      <c r="V26" s="1" t="s">
        <v>15</v>
      </c>
      <c r="W26" s="1" t="s">
        <v>15</v>
      </c>
      <c r="X26" s="1" t="s">
        <v>15</v>
      </c>
      <c r="Y26" s="1" t="s">
        <v>15</v>
      </c>
      <c r="Z26" s="1" t="s">
        <v>16</v>
      </c>
      <c r="AA26" s="1" t="s">
        <v>16</v>
      </c>
      <c r="AB26" s="1" t="s">
        <v>16</v>
      </c>
      <c r="AC26" s="1" t="s">
        <v>16</v>
      </c>
      <c r="AD26" s="1" t="s">
        <v>16</v>
      </c>
      <c r="AE26" s="1" t="s">
        <v>17</v>
      </c>
      <c r="AF26" s="1" t="s">
        <v>17</v>
      </c>
      <c r="AG26" s="1" t="s">
        <v>17</v>
      </c>
      <c r="AH26" s="1" t="s">
        <v>17</v>
      </c>
      <c r="AI26" s="1" t="s">
        <v>17</v>
      </c>
      <c r="AJ26" s="1" t="s">
        <v>7</v>
      </c>
      <c r="AK26" s="1" t="s">
        <v>7</v>
      </c>
      <c r="AL26" s="1" t="s">
        <v>7</v>
      </c>
      <c r="AM26" s="1" t="s">
        <v>7</v>
      </c>
      <c r="AN26" s="1" t="s">
        <v>7</v>
      </c>
    </row>
    <row r="27" spans="1:40" x14ac:dyDescent="0.15">
      <c r="A27" s="2">
        <v>44621</v>
      </c>
      <c r="B27" s="1" t="s">
        <v>10</v>
      </c>
      <c r="C27" s="1" t="s">
        <v>17</v>
      </c>
      <c r="D27" s="1">
        <v>58</v>
      </c>
      <c r="E27" s="1">
        <v>544.87181109786002</v>
      </c>
      <c r="F27" s="1">
        <v>2299</v>
      </c>
      <c r="G27" s="1" t="s">
        <v>3</v>
      </c>
      <c r="H27" s="1">
        <v>143.30439758300699</v>
      </c>
      <c r="I27" s="1">
        <v>216.24761962890599</v>
      </c>
      <c r="J27" s="1">
        <v>117.48377990722599</v>
      </c>
      <c r="K27" s="1">
        <v>29</v>
      </c>
      <c r="L27" s="1">
        <v>29</v>
      </c>
      <c r="M27" s="1">
        <v>29</v>
      </c>
      <c r="N27" s="1">
        <v>29</v>
      </c>
      <c r="O27" s="1">
        <v>29</v>
      </c>
      <c r="P27" s="1">
        <v>20.6301956176757</v>
      </c>
      <c r="Q27" s="1">
        <v>20.6301956176757</v>
      </c>
      <c r="R27" s="1">
        <v>20.6301956176757</v>
      </c>
      <c r="S27" s="1">
        <v>20.6301956176757</v>
      </c>
      <c r="T27" s="1">
        <v>20.6301956176757</v>
      </c>
      <c r="U27" s="1">
        <v>25</v>
      </c>
      <c r="V27" s="1">
        <v>25</v>
      </c>
      <c r="W27" s="1">
        <v>25</v>
      </c>
      <c r="X27" s="1">
        <v>25</v>
      </c>
      <c r="Y27" s="1">
        <v>25</v>
      </c>
      <c r="Z27" s="1">
        <v>6</v>
      </c>
      <c r="AA27" s="1">
        <v>6</v>
      </c>
      <c r="AB27" s="1">
        <v>6</v>
      </c>
      <c r="AC27" s="1">
        <v>6</v>
      </c>
      <c r="AD27" s="1">
        <v>6</v>
      </c>
      <c r="AE27" s="1">
        <v>58</v>
      </c>
      <c r="AF27" s="1">
        <v>58</v>
      </c>
      <c r="AG27" s="1">
        <v>58</v>
      </c>
      <c r="AH27" s="1">
        <v>58</v>
      </c>
      <c r="AI27" s="1">
        <v>58</v>
      </c>
      <c r="AJ27" s="1">
        <v>33</v>
      </c>
      <c r="AK27" s="1">
        <v>33</v>
      </c>
      <c r="AL27" s="1">
        <v>33</v>
      </c>
      <c r="AM27" s="1">
        <v>33</v>
      </c>
      <c r="AN27" s="1">
        <v>33</v>
      </c>
    </row>
    <row r="28" spans="1:40" x14ac:dyDescent="0.15">
      <c r="A28" s="2">
        <v>44621</v>
      </c>
      <c r="B28" s="1" t="s">
        <v>13</v>
      </c>
      <c r="C28" s="1" t="s">
        <v>17</v>
      </c>
      <c r="D28" s="1">
        <v>58</v>
      </c>
      <c r="E28" s="1">
        <v>544.87181109786002</v>
      </c>
      <c r="F28" s="1">
        <v>2299</v>
      </c>
      <c r="G28" s="1" t="s">
        <v>4</v>
      </c>
      <c r="H28" s="1">
        <v>547.52577971592802</v>
      </c>
      <c r="I28" s="1">
        <v>812.49295312482695</v>
      </c>
      <c r="J28" s="1">
        <v>428.890569284153</v>
      </c>
      <c r="K28" s="1">
        <v>216.48793162963401</v>
      </c>
      <c r="L28" s="1">
        <v>216.48793162963401</v>
      </c>
      <c r="M28" s="1">
        <v>216.48793162963401</v>
      </c>
      <c r="N28" s="1">
        <v>216.48793162963401</v>
      </c>
      <c r="O28" s="1">
        <v>216.48793162963401</v>
      </c>
      <c r="P28" s="1">
        <v>174.198605196925</v>
      </c>
      <c r="Q28" s="1">
        <v>174.198605196925</v>
      </c>
      <c r="R28" s="1">
        <v>174.198605196925</v>
      </c>
      <c r="S28" s="1">
        <v>174.198605196925</v>
      </c>
      <c r="T28" s="1">
        <v>174.198605196925</v>
      </c>
      <c r="U28" s="1">
        <v>194.38031713026399</v>
      </c>
      <c r="V28" s="1">
        <v>194.38031713026399</v>
      </c>
      <c r="W28" s="1">
        <v>194.38031713026399</v>
      </c>
      <c r="X28" s="1">
        <v>194.38031713026399</v>
      </c>
      <c r="Y28" s="1">
        <v>194.38031713026399</v>
      </c>
      <c r="Z28" s="1">
        <v>80.622654574438599</v>
      </c>
      <c r="AA28" s="1">
        <v>80.622654574438599</v>
      </c>
      <c r="AB28" s="1">
        <v>80.622654574438599</v>
      </c>
      <c r="AC28" s="1">
        <v>80.622654574438599</v>
      </c>
      <c r="AD28" s="1">
        <v>80.622654574438599</v>
      </c>
      <c r="AE28" s="1">
        <v>544.87181109786002</v>
      </c>
      <c r="AF28" s="1">
        <v>544.87181109786002</v>
      </c>
      <c r="AG28" s="1">
        <v>544.87181109786002</v>
      </c>
      <c r="AH28" s="1">
        <v>544.87181109786002</v>
      </c>
      <c r="AI28" s="1">
        <v>544.87181109786002</v>
      </c>
      <c r="AJ28" s="1">
        <v>247.05766860419101</v>
      </c>
      <c r="AK28" s="1">
        <v>247.05766860419101</v>
      </c>
      <c r="AL28" s="1">
        <v>247.05766860419101</v>
      </c>
      <c r="AM28" s="1">
        <v>247.05766860419101</v>
      </c>
      <c r="AN28" s="1">
        <v>247.05766860419101</v>
      </c>
    </row>
    <row r="29" spans="1:40" x14ac:dyDescent="0.15">
      <c r="A29" s="2">
        <v>44621</v>
      </c>
      <c r="B29" s="1" t="s">
        <v>14</v>
      </c>
      <c r="C29" s="1" t="s">
        <v>17</v>
      </c>
      <c r="D29" s="1">
        <v>58</v>
      </c>
      <c r="E29" s="1">
        <v>544.87181109786002</v>
      </c>
      <c r="F29" s="1">
        <v>2299</v>
      </c>
      <c r="G29" s="1" t="s">
        <v>5</v>
      </c>
      <c r="H29" s="1">
        <v>1072.81567382812</v>
      </c>
      <c r="I29" s="1">
        <v>1374.87341308593</v>
      </c>
      <c r="J29" s="1">
        <v>817.90411376953102</v>
      </c>
      <c r="K29" s="1">
        <v>973.200927734375</v>
      </c>
      <c r="L29" s="1">
        <v>973.200927734375</v>
      </c>
      <c r="M29" s="1">
        <v>973.200927734375</v>
      </c>
      <c r="N29" s="1">
        <v>973.200927734375</v>
      </c>
      <c r="O29" s="1">
        <v>973.200927734375</v>
      </c>
      <c r="P29" s="1">
        <v>1577.64282226562</v>
      </c>
      <c r="Q29" s="1">
        <v>1577.64282226562</v>
      </c>
      <c r="R29" s="1">
        <v>1577.64282226562</v>
      </c>
      <c r="S29" s="1">
        <v>1577.64282226562</v>
      </c>
      <c r="T29" s="1">
        <v>1577.64282226562</v>
      </c>
      <c r="U29" s="1">
        <v>1756.73498535156</v>
      </c>
      <c r="V29" s="1">
        <v>1756.73498535156</v>
      </c>
      <c r="W29" s="1">
        <v>1756.73498535156</v>
      </c>
      <c r="X29" s="1">
        <v>1756.73498535156</v>
      </c>
      <c r="Y29" s="1">
        <v>1756.73498535156</v>
      </c>
      <c r="Z29" s="1">
        <v>925</v>
      </c>
      <c r="AA29" s="1">
        <v>925</v>
      </c>
      <c r="AB29" s="1">
        <v>925</v>
      </c>
      <c r="AC29" s="1">
        <v>925</v>
      </c>
      <c r="AD29" s="1">
        <v>925</v>
      </c>
      <c r="AE29" s="1">
        <v>2299</v>
      </c>
      <c r="AF29" s="1">
        <v>2299</v>
      </c>
      <c r="AG29" s="1">
        <v>2299</v>
      </c>
      <c r="AH29" s="1">
        <v>2299</v>
      </c>
      <c r="AI29" s="1">
        <v>2299</v>
      </c>
      <c r="AJ29" s="1">
        <v>2194.56420898437</v>
      </c>
      <c r="AK29" s="1">
        <v>2194.56420898437</v>
      </c>
      <c r="AL29" s="1">
        <v>2194.56420898437</v>
      </c>
      <c r="AM29" s="1">
        <v>2194.56420898437</v>
      </c>
      <c r="AN29" s="1">
        <v>2194.56420898437</v>
      </c>
    </row>
    <row r="30" spans="1:40" x14ac:dyDescent="0.15">
      <c r="A30" s="2">
        <v>44713</v>
      </c>
      <c r="B30" s="1" t="s">
        <v>6</v>
      </c>
      <c r="C30" s="1" t="s">
        <v>7</v>
      </c>
      <c r="D30" s="1">
        <v>33</v>
      </c>
      <c r="E30" s="1">
        <v>247.05766860419101</v>
      </c>
      <c r="F30" s="1">
        <v>2194.56420898437</v>
      </c>
    </row>
    <row r="31" spans="1:40" x14ac:dyDescent="0.15">
      <c r="A31" s="2">
        <v>44713</v>
      </c>
      <c r="B31" s="1" t="s">
        <v>12</v>
      </c>
      <c r="C31" s="1" t="s">
        <v>7</v>
      </c>
      <c r="D31" s="1">
        <v>33</v>
      </c>
      <c r="E31" s="1">
        <v>247.05766860419101</v>
      </c>
      <c r="F31" s="1">
        <v>2194.56420898437</v>
      </c>
    </row>
    <row r="32" spans="1:40" x14ac:dyDescent="0.15">
      <c r="A32" s="2">
        <v>44713</v>
      </c>
      <c r="B32" s="1" t="s">
        <v>14</v>
      </c>
      <c r="C32" s="1" t="s">
        <v>7</v>
      </c>
      <c r="D32" s="1">
        <v>33</v>
      </c>
      <c r="E32" s="1">
        <v>247.05766860419101</v>
      </c>
      <c r="F32" s="1">
        <v>2194.56420898437</v>
      </c>
    </row>
    <row r="33" spans="1:6" x14ac:dyDescent="0.15">
      <c r="A33" s="2">
        <v>44713</v>
      </c>
      <c r="B33" s="1" t="s">
        <v>13</v>
      </c>
      <c r="C33" s="1" t="s">
        <v>7</v>
      </c>
      <c r="D33" s="1">
        <v>33</v>
      </c>
      <c r="E33" s="1">
        <v>247.05766860419101</v>
      </c>
      <c r="F33" s="1">
        <v>2194.56420898437</v>
      </c>
    </row>
    <row r="34" spans="1:6" x14ac:dyDescent="0.15">
      <c r="A34" s="2">
        <v>44713</v>
      </c>
      <c r="B34" s="1" t="s">
        <v>10</v>
      </c>
      <c r="C34" s="1" t="s">
        <v>7</v>
      </c>
      <c r="D34" s="1">
        <v>33</v>
      </c>
      <c r="E34" s="1">
        <v>247.05766860419101</v>
      </c>
      <c r="F34" s="1">
        <v>2194.56420898437</v>
      </c>
    </row>
    <row r="35" spans="1:6" x14ac:dyDescent="0.15">
      <c r="A35" s="2">
        <v>44652</v>
      </c>
      <c r="B35" s="1" t="s">
        <v>13</v>
      </c>
      <c r="C35" s="1" t="s">
        <v>8</v>
      </c>
      <c r="D35" s="1">
        <v>43.615669597278902</v>
      </c>
      <c r="E35" s="1">
        <v>381.44976043361299</v>
      </c>
      <c r="F35" s="1">
        <v>3018.64916992187</v>
      </c>
    </row>
    <row r="36" spans="1:6" x14ac:dyDescent="0.15">
      <c r="A36" s="2">
        <v>44652</v>
      </c>
      <c r="B36" s="1" t="s">
        <v>6</v>
      </c>
      <c r="C36" s="1" t="s">
        <v>8</v>
      </c>
      <c r="D36" s="1">
        <v>43.615669597278902</v>
      </c>
      <c r="E36" s="1">
        <v>381.44976043361299</v>
      </c>
      <c r="F36" s="1">
        <v>3018.64916992187</v>
      </c>
    </row>
    <row r="37" spans="1:6" x14ac:dyDescent="0.15">
      <c r="A37" s="2">
        <v>44652</v>
      </c>
      <c r="B37" s="1" t="s">
        <v>12</v>
      </c>
      <c r="C37" s="1" t="s">
        <v>8</v>
      </c>
      <c r="D37" s="1">
        <v>43.615669597278902</v>
      </c>
      <c r="E37" s="1">
        <v>381.44976043361299</v>
      </c>
      <c r="F37" s="1">
        <v>3018.64916992187</v>
      </c>
    </row>
    <row r="38" spans="1:6" x14ac:dyDescent="0.15">
      <c r="A38" s="2">
        <v>44652</v>
      </c>
      <c r="B38" s="1" t="s">
        <v>10</v>
      </c>
      <c r="C38" s="1" t="s">
        <v>8</v>
      </c>
      <c r="D38" s="1">
        <v>43.615669597278902</v>
      </c>
      <c r="E38" s="1">
        <v>381.44976043361299</v>
      </c>
      <c r="F38" s="1">
        <v>3018.64916992187</v>
      </c>
    </row>
    <row r="39" spans="1:6" x14ac:dyDescent="0.15">
      <c r="A39" s="2">
        <v>44652</v>
      </c>
      <c r="B39" s="1" t="s">
        <v>14</v>
      </c>
      <c r="C39" s="1" t="s">
        <v>8</v>
      </c>
      <c r="D39" s="1">
        <v>43.615669597278902</v>
      </c>
      <c r="E39" s="1">
        <v>381.44976043361299</v>
      </c>
      <c r="F39" s="1">
        <v>3018.64916992187</v>
      </c>
    </row>
    <row r="40" spans="1:6" x14ac:dyDescent="0.15">
      <c r="A40" s="2">
        <v>44986</v>
      </c>
      <c r="B40" s="1" t="s">
        <v>6</v>
      </c>
      <c r="C40" s="1" t="s">
        <v>18</v>
      </c>
      <c r="D40" s="1">
        <v>106.51002502441401</v>
      </c>
      <c r="E40" s="1">
        <v>389.51733800494901</v>
      </c>
      <c r="F40" s="1">
        <v>730.419677734375</v>
      </c>
    </row>
    <row r="41" spans="1:6" x14ac:dyDescent="0.15">
      <c r="A41" s="2">
        <v>44927</v>
      </c>
      <c r="B41" s="1" t="s">
        <v>13</v>
      </c>
      <c r="C41" s="1" t="s">
        <v>19</v>
      </c>
      <c r="D41" s="1">
        <v>52</v>
      </c>
      <c r="E41" s="1">
        <v>516.69228013723705</v>
      </c>
      <c r="F41" s="1">
        <v>3760</v>
      </c>
    </row>
    <row r="42" spans="1:6" x14ac:dyDescent="0.15">
      <c r="A42" s="2">
        <v>44927</v>
      </c>
      <c r="B42" s="1" t="s">
        <v>10</v>
      </c>
      <c r="C42" s="1" t="s">
        <v>19</v>
      </c>
      <c r="D42" s="1">
        <v>52</v>
      </c>
      <c r="E42" s="1">
        <v>516.69228013723705</v>
      </c>
      <c r="F42" s="1">
        <v>3760</v>
      </c>
    </row>
    <row r="43" spans="1:6" x14ac:dyDescent="0.15">
      <c r="A43" s="2">
        <v>44927</v>
      </c>
      <c r="B43" s="1" t="s">
        <v>6</v>
      </c>
      <c r="C43" s="1" t="s">
        <v>19</v>
      </c>
      <c r="D43" s="1">
        <v>52</v>
      </c>
      <c r="E43" s="1">
        <v>516.69228013723705</v>
      </c>
      <c r="F43" s="1">
        <v>3760</v>
      </c>
    </row>
    <row r="44" spans="1:6" x14ac:dyDescent="0.15">
      <c r="A44" s="2">
        <v>44927</v>
      </c>
      <c r="B44" s="1" t="s">
        <v>14</v>
      </c>
      <c r="C44" s="1" t="s">
        <v>19</v>
      </c>
      <c r="D44" s="1">
        <v>52</v>
      </c>
      <c r="E44" s="1">
        <v>516.69228013723705</v>
      </c>
      <c r="F44" s="1">
        <v>3760</v>
      </c>
    </row>
    <row r="45" spans="1:6" x14ac:dyDescent="0.15">
      <c r="A45" s="2">
        <v>44927</v>
      </c>
      <c r="B45" s="1" t="s">
        <v>12</v>
      </c>
      <c r="C45" s="1" t="s">
        <v>19</v>
      </c>
      <c r="D45" s="1">
        <v>52</v>
      </c>
      <c r="E45" s="1">
        <v>516.69228013723705</v>
      </c>
      <c r="F45" s="1">
        <v>3760</v>
      </c>
    </row>
    <row r="46" spans="1:6" x14ac:dyDescent="0.15">
      <c r="A46" s="2">
        <v>44713</v>
      </c>
      <c r="B46" s="1" t="s">
        <v>6</v>
      </c>
      <c r="C46" s="1" t="s">
        <v>18</v>
      </c>
      <c r="D46" s="1">
        <v>16.045707702636701</v>
      </c>
      <c r="E46" s="1">
        <v>157.407186864366</v>
      </c>
      <c r="F46" s="1">
        <v>900</v>
      </c>
    </row>
    <row r="47" spans="1:6" x14ac:dyDescent="0.15">
      <c r="A47" s="2">
        <v>44713</v>
      </c>
      <c r="B47" s="1" t="s">
        <v>12</v>
      </c>
      <c r="C47" s="1" t="s">
        <v>18</v>
      </c>
      <c r="D47" s="1">
        <v>16.045707702636701</v>
      </c>
      <c r="E47" s="1">
        <v>157.407186864366</v>
      </c>
      <c r="F47" s="1">
        <v>900</v>
      </c>
    </row>
    <row r="48" spans="1:6" x14ac:dyDescent="0.15">
      <c r="A48" s="2">
        <v>44713</v>
      </c>
      <c r="B48" s="1" t="s">
        <v>14</v>
      </c>
      <c r="C48" s="1" t="s">
        <v>18</v>
      </c>
      <c r="D48" s="1">
        <v>16.045707702636701</v>
      </c>
      <c r="E48" s="1">
        <v>157.407186864366</v>
      </c>
      <c r="F48" s="1">
        <v>900</v>
      </c>
    </row>
    <row r="49" spans="1:6" x14ac:dyDescent="0.15">
      <c r="A49" s="2">
        <v>44713</v>
      </c>
      <c r="B49" s="1" t="s">
        <v>13</v>
      </c>
      <c r="C49" s="1" t="s">
        <v>18</v>
      </c>
      <c r="D49" s="1">
        <v>16.045707702636701</v>
      </c>
      <c r="E49" s="1">
        <v>157.407186864366</v>
      </c>
      <c r="F49" s="1">
        <v>900</v>
      </c>
    </row>
    <row r="50" spans="1:6" x14ac:dyDescent="0.15">
      <c r="A50" s="2">
        <v>44713</v>
      </c>
      <c r="B50" s="1" t="s">
        <v>10</v>
      </c>
      <c r="C50" s="1" t="s">
        <v>18</v>
      </c>
      <c r="D50" s="1">
        <v>16.045707702636701</v>
      </c>
      <c r="E50" s="1">
        <v>157.407186864366</v>
      </c>
      <c r="F50" s="1">
        <v>900</v>
      </c>
    </row>
    <row r="51" spans="1:6" x14ac:dyDescent="0.15">
      <c r="A51" s="3">
        <v>44896</v>
      </c>
      <c r="B51" s="1" t="s">
        <v>10</v>
      </c>
      <c r="C51" s="1" t="s">
        <v>17</v>
      </c>
      <c r="D51" s="1">
        <v>58</v>
      </c>
      <c r="E51" s="1">
        <v>607.88058614859403</v>
      </c>
      <c r="F51" s="1">
        <v>2699</v>
      </c>
    </row>
    <row r="52" spans="1:6" x14ac:dyDescent="0.15">
      <c r="A52" s="3">
        <v>44896</v>
      </c>
      <c r="B52" s="1" t="s">
        <v>14</v>
      </c>
      <c r="C52" s="1" t="s">
        <v>17</v>
      </c>
      <c r="D52" s="1">
        <v>58</v>
      </c>
      <c r="E52" s="1">
        <v>607.88058614859403</v>
      </c>
      <c r="F52" s="1">
        <v>2699</v>
      </c>
    </row>
    <row r="53" spans="1:6" x14ac:dyDescent="0.15">
      <c r="A53" s="3">
        <v>44896</v>
      </c>
      <c r="B53" s="1" t="s">
        <v>6</v>
      </c>
      <c r="C53" s="1" t="s">
        <v>17</v>
      </c>
      <c r="D53" s="1">
        <v>58</v>
      </c>
      <c r="E53" s="1">
        <v>607.88058614859403</v>
      </c>
      <c r="F53" s="1">
        <v>2699</v>
      </c>
    </row>
    <row r="54" spans="1:6" x14ac:dyDescent="0.15">
      <c r="A54" s="3">
        <v>44896</v>
      </c>
      <c r="B54" s="1" t="s">
        <v>13</v>
      </c>
      <c r="C54" s="1" t="s">
        <v>17</v>
      </c>
      <c r="D54" s="1">
        <v>58</v>
      </c>
      <c r="E54" s="1">
        <v>607.88058614859403</v>
      </c>
      <c r="F54" s="1">
        <v>2699</v>
      </c>
    </row>
    <row r="55" spans="1:6" x14ac:dyDescent="0.15">
      <c r="A55" s="3">
        <v>44896</v>
      </c>
      <c r="B55" s="1" t="s">
        <v>12</v>
      </c>
      <c r="C55" s="1" t="s">
        <v>17</v>
      </c>
      <c r="D55" s="1">
        <v>58</v>
      </c>
      <c r="E55" s="1">
        <v>607.88058614859403</v>
      </c>
      <c r="F55" s="1">
        <v>2699</v>
      </c>
    </row>
    <row r="56" spans="1:6" x14ac:dyDescent="0.15">
      <c r="A56" s="2">
        <v>44652</v>
      </c>
      <c r="B56" s="1" t="s">
        <v>13</v>
      </c>
      <c r="C56" s="1" t="s">
        <v>18</v>
      </c>
      <c r="D56" s="1">
        <v>16.045707702636701</v>
      </c>
      <c r="E56" s="1">
        <v>156.18415945218001</v>
      </c>
      <c r="F56" s="1">
        <v>1183.7857142857099</v>
      </c>
    </row>
    <row r="57" spans="1:6" x14ac:dyDescent="0.15">
      <c r="A57" s="2">
        <v>44652</v>
      </c>
      <c r="B57" s="1" t="s">
        <v>6</v>
      </c>
      <c r="C57" s="1" t="s">
        <v>18</v>
      </c>
      <c r="D57" s="1">
        <v>16.045707702636701</v>
      </c>
      <c r="E57" s="1">
        <v>156.18415945218001</v>
      </c>
      <c r="F57" s="1">
        <v>1183.7857142857099</v>
      </c>
    </row>
    <row r="58" spans="1:6" x14ac:dyDescent="0.15">
      <c r="A58" s="2">
        <v>44652</v>
      </c>
      <c r="B58" s="1" t="s">
        <v>12</v>
      </c>
      <c r="C58" s="1" t="s">
        <v>18</v>
      </c>
      <c r="D58" s="1">
        <v>16.045707702636701</v>
      </c>
      <c r="E58" s="1">
        <v>156.18415945218001</v>
      </c>
      <c r="F58" s="1">
        <v>1183.7857142857099</v>
      </c>
    </row>
    <row r="59" spans="1:6" x14ac:dyDescent="0.15">
      <c r="A59" s="2">
        <v>44652</v>
      </c>
      <c r="B59" s="1" t="s">
        <v>10</v>
      </c>
      <c r="C59" s="1" t="s">
        <v>18</v>
      </c>
      <c r="D59" s="1">
        <v>16.045707702636701</v>
      </c>
      <c r="E59" s="1">
        <v>156.18415945218001</v>
      </c>
      <c r="F59" s="1">
        <v>1183.7857142857099</v>
      </c>
    </row>
    <row r="60" spans="1:6" x14ac:dyDescent="0.15">
      <c r="A60" s="2">
        <v>44652</v>
      </c>
      <c r="B60" s="1" t="s">
        <v>14</v>
      </c>
      <c r="C60" s="1" t="s">
        <v>18</v>
      </c>
      <c r="D60" s="1">
        <v>16.045707702636701</v>
      </c>
      <c r="E60" s="1">
        <v>156.18415945218001</v>
      </c>
      <c r="F60" s="1">
        <v>1183.7857142857099</v>
      </c>
    </row>
    <row r="61" spans="1:6" x14ac:dyDescent="0.15">
      <c r="A61" s="2">
        <v>44562</v>
      </c>
      <c r="B61" s="1" t="s">
        <v>14</v>
      </c>
      <c r="C61" s="1" t="s">
        <v>18</v>
      </c>
      <c r="D61" s="1">
        <v>16.045707702636701</v>
      </c>
      <c r="E61" s="1">
        <v>150.74422729516101</v>
      </c>
      <c r="F61" s="1">
        <v>1215</v>
      </c>
    </row>
    <row r="62" spans="1:6" x14ac:dyDescent="0.15">
      <c r="A62" s="2">
        <v>44562</v>
      </c>
      <c r="B62" s="1" t="s">
        <v>6</v>
      </c>
      <c r="C62" s="1" t="s">
        <v>18</v>
      </c>
      <c r="D62" s="1">
        <v>16.045707702636701</v>
      </c>
      <c r="E62" s="1">
        <v>150.74422729516101</v>
      </c>
      <c r="F62" s="1">
        <v>1215</v>
      </c>
    </row>
    <row r="63" spans="1:6" x14ac:dyDescent="0.15">
      <c r="A63" s="2">
        <v>44562</v>
      </c>
      <c r="B63" s="1" t="s">
        <v>13</v>
      </c>
      <c r="C63" s="1" t="s">
        <v>18</v>
      </c>
      <c r="D63" s="1">
        <v>16.045707702636701</v>
      </c>
      <c r="E63" s="1">
        <v>150.74422729516101</v>
      </c>
      <c r="F63" s="1">
        <v>1215</v>
      </c>
    </row>
    <row r="64" spans="1:6" x14ac:dyDescent="0.15">
      <c r="A64" s="2">
        <v>44562</v>
      </c>
      <c r="B64" s="1" t="s">
        <v>10</v>
      </c>
      <c r="C64" s="1" t="s">
        <v>18</v>
      </c>
      <c r="D64" s="1">
        <v>16.045707702636701</v>
      </c>
      <c r="E64" s="1">
        <v>150.74422729516101</v>
      </c>
      <c r="F64" s="1">
        <v>1215</v>
      </c>
    </row>
    <row r="65" spans="1:6" x14ac:dyDescent="0.15">
      <c r="A65" s="2">
        <v>44562</v>
      </c>
      <c r="B65" s="1" t="s">
        <v>12</v>
      </c>
      <c r="C65" s="1" t="s">
        <v>18</v>
      </c>
      <c r="D65" s="1">
        <v>16.045707702636701</v>
      </c>
      <c r="E65" s="1">
        <v>150.74422729516101</v>
      </c>
      <c r="F65" s="1">
        <v>1215</v>
      </c>
    </row>
    <row r="66" spans="1:6" x14ac:dyDescent="0.15">
      <c r="A66" s="2">
        <v>44743</v>
      </c>
      <c r="B66" s="1" t="s">
        <v>10</v>
      </c>
      <c r="C66" s="1" t="s">
        <v>15</v>
      </c>
      <c r="D66" s="1">
        <v>25</v>
      </c>
      <c r="E66" s="1">
        <v>215.266524428515</v>
      </c>
      <c r="F66" s="1">
        <v>1756.73498535156</v>
      </c>
    </row>
    <row r="67" spans="1:6" x14ac:dyDescent="0.15">
      <c r="A67" s="2">
        <v>44743</v>
      </c>
      <c r="B67" s="1" t="s">
        <v>14</v>
      </c>
      <c r="C67" s="1" t="s">
        <v>15</v>
      </c>
      <c r="D67" s="1">
        <v>25</v>
      </c>
      <c r="E67" s="1">
        <v>215.266524428515</v>
      </c>
      <c r="F67" s="1">
        <v>1756.73498535156</v>
      </c>
    </row>
    <row r="68" spans="1:6" x14ac:dyDescent="0.15">
      <c r="A68" s="2">
        <v>44743</v>
      </c>
      <c r="B68" s="1" t="s">
        <v>6</v>
      </c>
      <c r="C68" s="1" t="s">
        <v>15</v>
      </c>
      <c r="D68" s="1">
        <v>25</v>
      </c>
      <c r="E68" s="1">
        <v>215.266524428515</v>
      </c>
      <c r="F68" s="1">
        <v>1756.73498535156</v>
      </c>
    </row>
    <row r="69" spans="1:6" x14ac:dyDescent="0.15">
      <c r="A69" s="2">
        <v>44743</v>
      </c>
      <c r="B69" s="1" t="s">
        <v>13</v>
      </c>
      <c r="C69" s="1" t="s">
        <v>15</v>
      </c>
      <c r="D69" s="1">
        <v>25</v>
      </c>
      <c r="E69" s="1">
        <v>215.266524428515</v>
      </c>
      <c r="F69" s="1">
        <v>1756.73498535156</v>
      </c>
    </row>
    <row r="70" spans="1:6" x14ac:dyDescent="0.15">
      <c r="A70" s="2">
        <v>44743</v>
      </c>
      <c r="B70" s="1" t="s">
        <v>12</v>
      </c>
      <c r="C70" s="1" t="s">
        <v>15</v>
      </c>
      <c r="D70" s="1">
        <v>25</v>
      </c>
      <c r="E70" s="1">
        <v>215.266524428515</v>
      </c>
      <c r="F70" s="1">
        <v>1756.73498535156</v>
      </c>
    </row>
    <row r="71" spans="1:6" x14ac:dyDescent="0.15">
      <c r="A71" s="3">
        <v>44835</v>
      </c>
      <c r="B71" s="1" t="s">
        <v>12</v>
      </c>
      <c r="C71" s="1" t="s">
        <v>20</v>
      </c>
      <c r="D71" s="1">
        <v>4</v>
      </c>
      <c r="E71" s="1">
        <v>103.130635270556</v>
      </c>
      <c r="F71" s="1">
        <v>895</v>
      </c>
    </row>
    <row r="72" spans="1:6" x14ac:dyDescent="0.15">
      <c r="A72" s="3">
        <v>44835</v>
      </c>
      <c r="B72" s="1" t="s">
        <v>6</v>
      </c>
      <c r="C72" s="1" t="s">
        <v>20</v>
      </c>
      <c r="D72" s="1">
        <v>4</v>
      </c>
      <c r="E72" s="1">
        <v>103.130635270556</v>
      </c>
      <c r="F72" s="1">
        <v>895</v>
      </c>
    </row>
    <row r="73" spans="1:6" x14ac:dyDescent="0.15">
      <c r="A73" s="3">
        <v>44835</v>
      </c>
      <c r="B73" s="1" t="s">
        <v>13</v>
      </c>
      <c r="C73" s="1" t="s">
        <v>20</v>
      </c>
      <c r="D73" s="1">
        <v>4</v>
      </c>
      <c r="E73" s="1">
        <v>103.130635270556</v>
      </c>
      <c r="F73" s="1">
        <v>895</v>
      </c>
    </row>
    <row r="74" spans="1:6" x14ac:dyDescent="0.15">
      <c r="A74" s="3">
        <v>44835</v>
      </c>
      <c r="B74" s="1" t="s">
        <v>14</v>
      </c>
      <c r="C74" s="1" t="s">
        <v>20</v>
      </c>
      <c r="D74" s="1">
        <v>4</v>
      </c>
      <c r="E74" s="1">
        <v>103.130635270556</v>
      </c>
      <c r="F74" s="1">
        <v>895</v>
      </c>
    </row>
    <row r="75" spans="1:6" x14ac:dyDescent="0.15">
      <c r="A75" s="3">
        <v>44835</v>
      </c>
      <c r="B75" s="1" t="s">
        <v>10</v>
      </c>
      <c r="C75" s="1" t="s">
        <v>20</v>
      </c>
      <c r="D75" s="1">
        <v>4</v>
      </c>
      <c r="E75" s="1">
        <v>103.130635270556</v>
      </c>
      <c r="F75" s="1">
        <v>895</v>
      </c>
    </row>
    <row r="76" spans="1:6" x14ac:dyDescent="0.15">
      <c r="A76" s="2">
        <v>44713</v>
      </c>
      <c r="B76" s="1" t="s">
        <v>6</v>
      </c>
      <c r="C76" s="1" t="s">
        <v>21</v>
      </c>
      <c r="D76" s="1">
        <v>64</v>
      </c>
      <c r="E76" s="1">
        <v>780.81449823100797</v>
      </c>
      <c r="F76" s="1">
        <v>4503</v>
      </c>
    </row>
    <row r="77" spans="1:6" x14ac:dyDescent="0.15">
      <c r="A77" s="2">
        <v>44713</v>
      </c>
      <c r="B77" s="1" t="s">
        <v>12</v>
      </c>
      <c r="C77" s="1" t="s">
        <v>21</v>
      </c>
      <c r="D77" s="1">
        <v>64</v>
      </c>
      <c r="E77" s="1">
        <v>780.81449823100797</v>
      </c>
      <c r="F77" s="1">
        <v>4503</v>
      </c>
    </row>
    <row r="78" spans="1:6" x14ac:dyDescent="0.15">
      <c r="A78" s="2">
        <v>44713</v>
      </c>
      <c r="B78" s="1" t="s">
        <v>14</v>
      </c>
      <c r="C78" s="1" t="s">
        <v>21</v>
      </c>
      <c r="D78" s="1">
        <v>64</v>
      </c>
      <c r="E78" s="1">
        <v>780.81449823100797</v>
      </c>
      <c r="F78" s="1">
        <v>4503</v>
      </c>
    </row>
    <row r="79" spans="1:6" x14ac:dyDescent="0.15">
      <c r="A79" s="2">
        <v>44713</v>
      </c>
      <c r="B79" s="1" t="s">
        <v>13</v>
      </c>
      <c r="C79" s="1" t="s">
        <v>21</v>
      </c>
      <c r="D79" s="1">
        <v>64</v>
      </c>
      <c r="E79" s="1">
        <v>780.81449823100797</v>
      </c>
      <c r="F79" s="1">
        <v>4503</v>
      </c>
    </row>
    <row r="80" spans="1:6" x14ac:dyDescent="0.15">
      <c r="A80" s="2">
        <v>44713</v>
      </c>
      <c r="B80" s="1" t="s">
        <v>10</v>
      </c>
      <c r="C80" s="1" t="s">
        <v>21</v>
      </c>
      <c r="D80" s="1">
        <v>64</v>
      </c>
      <c r="E80" s="1">
        <v>780.81449823100797</v>
      </c>
      <c r="F80" s="1">
        <v>4503</v>
      </c>
    </row>
    <row r="81" spans="1:6" x14ac:dyDescent="0.15">
      <c r="A81" s="2">
        <v>44652</v>
      </c>
      <c r="B81" s="1" t="s">
        <v>13</v>
      </c>
      <c r="C81" s="1" t="s">
        <v>22</v>
      </c>
      <c r="D81" s="1">
        <v>8</v>
      </c>
      <c r="E81" s="1">
        <v>118.62173176469101</v>
      </c>
      <c r="F81" s="1">
        <v>1175</v>
      </c>
    </row>
    <row r="82" spans="1:6" x14ac:dyDescent="0.15">
      <c r="A82" s="2">
        <v>44652</v>
      </c>
      <c r="B82" s="1" t="s">
        <v>6</v>
      </c>
      <c r="C82" s="1" t="s">
        <v>22</v>
      </c>
      <c r="D82" s="1">
        <v>8</v>
      </c>
      <c r="E82" s="1">
        <v>118.62173176469101</v>
      </c>
      <c r="F82" s="1">
        <v>1175</v>
      </c>
    </row>
    <row r="83" spans="1:6" x14ac:dyDescent="0.15">
      <c r="A83" s="2">
        <v>44652</v>
      </c>
      <c r="B83" s="1" t="s">
        <v>12</v>
      </c>
      <c r="C83" s="1" t="s">
        <v>22</v>
      </c>
      <c r="D83" s="1">
        <v>8</v>
      </c>
      <c r="E83" s="1">
        <v>118.62173176469101</v>
      </c>
      <c r="F83" s="1">
        <v>1175</v>
      </c>
    </row>
    <row r="84" spans="1:6" x14ac:dyDescent="0.15">
      <c r="A84" s="2">
        <v>44652</v>
      </c>
      <c r="B84" s="1" t="s">
        <v>10</v>
      </c>
      <c r="C84" s="1" t="s">
        <v>22</v>
      </c>
      <c r="D84" s="1">
        <v>8</v>
      </c>
      <c r="E84" s="1">
        <v>118.62173176469101</v>
      </c>
      <c r="F84" s="1">
        <v>1175</v>
      </c>
    </row>
    <row r="85" spans="1:6" x14ac:dyDescent="0.15">
      <c r="A85" s="2">
        <v>44652</v>
      </c>
      <c r="B85" s="1" t="s">
        <v>14</v>
      </c>
      <c r="C85" s="1" t="s">
        <v>22</v>
      </c>
      <c r="D85" s="1">
        <v>8</v>
      </c>
      <c r="E85" s="1">
        <v>118.62173176469101</v>
      </c>
      <c r="F85" s="1">
        <v>1175</v>
      </c>
    </row>
    <row r="86" spans="1:6" x14ac:dyDescent="0.15">
      <c r="A86" s="3">
        <v>44835</v>
      </c>
      <c r="B86" s="1" t="s">
        <v>12</v>
      </c>
      <c r="C86" s="1" t="s">
        <v>19</v>
      </c>
      <c r="D86" s="1">
        <v>52</v>
      </c>
      <c r="E86" s="1">
        <v>466.35683522453098</v>
      </c>
      <c r="F86" s="1">
        <v>1846.5</v>
      </c>
    </row>
    <row r="87" spans="1:6" x14ac:dyDescent="0.15">
      <c r="A87" s="3">
        <v>44835</v>
      </c>
      <c r="B87" s="1" t="s">
        <v>6</v>
      </c>
      <c r="C87" s="1" t="s">
        <v>19</v>
      </c>
      <c r="D87" s="1">
        <v>52</v>
      </c>
      <c r="E87" s="1">
        <v>466.35683522453098</v>
      </c>
      <c r="F87" s="1">
        <v>1846.5</v>
      </c>
    </row>
    <row r="88" spans="1:6" x14ac:dyDescent="0.15">
      <c r="A88" s="3">
        <v>44835</v>
      </c>
      <c r="B88" s="1" t="s">
        <v>13</v>
      </c>
      <c r="C88" s="1" t="s">
        <v>19</v>
      </c>
      <c r="D88" s="1">
        <v>52</v>
      </c>
      <c r="E88" s="1">
        <v>466.35683522453098</v>
      </c>
      <c r="F88" s="1">
        <v>1846.5</v>
      </c>
    </row>
    <row r="89" spans="1:6" x14ac:dyDescent="0.15">
      <c r="A89" s="3">
        <v>44835</v>
      </c>
      <c r="B89" s="1" t="s">
        <v>14</v>
      </c>
      <c r="C89" s="1" t="s">
        <v>19</v>
      </c>
      <c r="D89" s="1">
        <v>52</v>
      </c>
      <c r="E89" s="1">
        <v>466.35683522453098</v>
      </c>
      <c r="F89" s="1">
        <v>1846.5</v>
      </c>
    </row>
    <row r="90" spans="1:6" x14ac:dyDescent="0.15">
      <c r="A90" s="3">
        <v>44835</v>
      </c>
      <c r="B90" s="1" t="s">
        <v>10</v>
      </c>
      <c r="C90" s="1" t="s">
        <v>19</v>
      </c>
      <c r="D90" s="1">
        <v>52</v>
      </c>
      <c r="E90" s="1">
        <v>466.35683522453098</v>
      </c>
      <c r="F90" s="1">
        <v>1846.5</v>
      </c>
    </row>
    <row r="91" spans="1:6" x14ac:dyDescent="0.15">
      <c r="A91" s="3">
        <v>44835</v>
      </c>
      <c r="B91" s="1" t="s">
        <v>12</v>
      </c>
      <c r="C91" s="1" t="s">
        <v>17</v>
      </c>
      <c r="D91" s="1">
        <v>57.25</v>
      </c>
      <c r="E91" s="1">
        <v>588.81133427065402</v>
      </c>
      <c r="F91" s="1">
        <v>2540</v>
      </c>
    </row>
    <row r="92" spans="1:6" x14ac:dyDescent="0.15">
      <c r="A92" s="3">
        <v>44835</v>
      </c>
      <c r="B92" s="1" t="s">
        <v>6</v>
      </c>
      <c r="C92" s="1" t="s">
        <v>17</v>
      </c>
      <c r="D92" s="1">
        <v>57.25</v>
      </c>
      <c r="E92" s="1">
        <v>588.81133427065402</v>
      </c>
      <c r="F92" s="1">
        <v>2540</v>
      </c>
    </row>
    <row r="93" spans="1:6" x14ac:dyDescent="0.15">
      <c r="A93" s="3">
        <v>44835</v>
      </c>
      <c r="B93" s="1" t="s">
        <v>13</v>
      </c>
      <c r="C93" s="1" t="s">
        <v>17</v>
      </c>
      <c r="D93" s="1">
        <v>57.25</v>
      </c>
      <c r="E93" s="1">
        <v>588.81133427065402</v>
      </c>
      <c r="F93" s="1">
        <v>2540</v>
      </c>
    </row>
    <row r="94" spans="1:6" x14ac:dyDescent="0.15">
      <c r="A94" s="3">
        <v>44835</v>
      </c>
      <c r="B94" s="1" t="s">
        <v>14</v>
      </c>
      <c r="C94" s="1" t="s">
        <v>17</v>
      </c>
      <c r="D94" s="1">
        <v>57.25</v>
      </c>
      <c r="E94" s="1">
        <v>588.81133427065402</v>
      </c>
      <c r="F94" s="1">
        <v>2540</v>
      </c>
    </row>
    <row r="95" spans="1:6" x14ac:dyDescent="0.15">
      <c r="A95" s="3">
        <v>44835</v>
      </c>
      <c r="B95" s="1" t="s">
        <v>10</v>
      </c>
      <c r="C95" s="1" t="s">
        <v>17</v>
      </c>
      <c r="D95" s="1">
        <v>57.25</v>
      </c>
      <c r="E95" s="1">
        <v>588.81133427065402</v>
      </c>
      <c r="F95" s="1">
        <v>2540</v>
      </c>
    </row>
    <row r="96" spans="1:6" x14ac:dyDescent="0.15">
      <c r="A96" s="2">
        <v>44682</v>
      </c>
      <c r="B96" s="1" t="s">
        <v>12</v>
      </c>
      <c r="C96" s="1" t="s">
        <v>7</v>
      </c>
      <c r="D96" s="1">
        <v>33</v>
      </c>
      <c r="E96" s="1">
        <v>243.69845021218799</v>
      </c>
      <c r="F96" s="1">
        <v>2181.83984375</v>
      </c>
    </row>
    <row r="97" spans="1:6" x14ac:dyDescent="0.15">
      <c r="A97" s="2">
        <v>44682</v>
      </c>
      <c r="B97" s="1" t="s">
        <v>14</v>
      </c>
      <c r="C97" s="1" t="s">
        <v>7</v>
      </c>
      <c r="D97" s="1">
        <v>33</v>
      </c>
      <c r="E97" s="1">
        <v>243.69845021218799</v>
      </c>
      <c r="F97" s="1">
        <v>2181.83984375</v>
      </c>
    </row>
    <row r="98" spans="1:6" x14ac:dyDescent="0.15">
      <c r="A98" s="2">
        <v>44682</v>
      </c>
      <c r="B98" s="1" t="s">
        <v>6</v>
      </c>
      <c r="C98" s="1" t="s">
        <v>7</v>
      </c>
      <c r="D98" s="1">
        <v>33</v>
      </c>
      <c r="E98" s="1">
        <v>243.69845021218799</v>
      </c>
      <c r="F98" s="1">
        <v>2181.83984375</v>
      </c>
    </row>
    <row r="99" spans="1:6" x14ac:dyDescent="0.15">
      <c r="A99" s="2">
        <v>44682</v>
      </c>
      <c r="B99" s="1" t="s">
        <v>13</v>
      </c>
      <c r="C99" s="1" t="s">
        <v>7</v>
      </c>
      <c r="D99" s="1">
        <v>33</v>
      </c>
      <c r="E99" s="1">
        <v>243.69845021218799</v>
      </c>
      <c r="F99" s="1">
        <v>2181.83984375</v>
      </c>
    </row>
    <row r="100" spans="1:6" x14ac:dyDescent="0.15">
      <c r="A100" s="2">
        <v>44682</v>
      </c>
      <c r="B100" s="1" t="s">
        <v>10</v>
      </c>
      <c r="C100" s="1" t="s">
        <v>7</v>
      </c>
      <c r="D100" s="1">
        <v>33</v>
      </c>
      <c r="E100" s="1">
        <v>243.69845021218799</v>
      </c>
      <c r="F100" s="1">
        <v>2181.83984375</v>
      </c>
    </row>
    <row r="101" spans="1:6" x14ac:dyDescent="0.15">
      <c r="A101" s="3">
        <v>44531</v>
      </c>
      <c r="B101" s="1" t="s">
        <v>14</v>
      </c>
      <c r="C101" s="1" t="s">
        <v>20</v>
      </c>
      <c r="D101" s="1">
        <v>5.7248792648315403</v>
      </c>
      <c r="E101" s="1">
        <v>84.742477777688705</v>
      </c>
      <c r="F101" s="1">
        <v>838.27273559570301</v>
      </c>
    </row>
    <row r="102" spans="1:6" x14ac:dyDescent="0.15">
      <c r="A102" s="3">
        <v>44531</v>
      </c>
      <c r="B102" s="1" t="s">
        <v>6</v>
      </c>
      <c r="C102" s="1" t="s">
        <v>20</v>
      </c>
      <c r="D102" s="1">
        <v>5.7248792648315403</v>
      </c>
      <c r="E102" s="1">
        <v>84.742477777688705</v>
      </c>
      <c r="F102" s="1">
        <v>838.27273559570301</v>
      </c>
    </row>
    <row r="103" spans="1:6" x14ac:dyDescent="0.15">
      <c r="A103" s="3">
        <v>44531</v>
      </c>
      <c r="B103" s="1" t="s">
        <v>10</v>
      </c>
      <c r="C103" s="1" t="s">
        <v>20</v>
      </c>
      <c r="D103" s="1">
        <v>5.7248792648315403</v>
      </c>
      <c r="E103" s="1">
        <v>84.742477777688705</v>
      </c>
      <c r="F103" s="1">
        <v>838.27273559570301</v>
      </c>
    </row>
    <row r="104" spans="1:6" x14ac:dyDescent="0.15">
      <c r="A104" s="3">
        <v>44531</v>
      </c>
      <c r="B104" s="1" t="s">
        <v>12</v>
      </c>
      <c r="C104" s="1" t="s">
        <v>20</v>
      </c>
      <c r="D104" s="1">
        <v>5.7248792648315403</v>
      </c>
      <c r="E104" s="1">
        <v>84.742477777688705</v>
      </c>
      <c r="F104" s="1">
        <v>838.27273559570301</v>
      </c>
    </row>
    <row r="105" spans="1:6" x14ac:dyDescent="0.15">
      <c r="A105" s="3">
        <v>44531</v>
      </c>
      <c r="B105" s="1" t="s">
        <v>13</v>
      </c>
      <c r="C105" s="1" t="s">
        <v>20</v>
      </c>
      <c r="D105" s="1">
        <v>5.7248792648315403</v>
      </c>
      <c r="E105" s="1">
        <v>84.742477777688705</v>
      </c>
      <c r="F105" s="1">
        <v>838.27273559570301</v>
      </c>
    </row>
    <row r="106" spans="1:6" x14ac:dyDescent="0.15">
      <c r="A106" s="2">
        <v>44713</v>
      </c>
      <c r="B106" s="1" t="s">
        <v>6</v>
      </c>
      <c r="C106" s="1" t="s">
        <v>8</v>
      </c>
      <c r="D106" s="1">
        <v>46</v>
      </c>
      <c r="E106" s="1">
        <v>388.33786990491097</v>
      </c>
      <c r="F106" s="1">
        <v>1697.5</v>
      </c>
    </row>
    <row r="107" spans="1:6" x14ac:dyDescent="0.15">
      <c r="A107" s="2">
        <v>44713</v>
      </c>
      <c r="B107" s="1" t="s">
        <v>12</v>
      </c>
      <c r="C107" s="1" t="s">
        <v>8</v>
      </c>
      <c r="D107" s="1">
        <v>46</v>
      </c>
      <c r="E107" s="1">
        <v>388.33786990491097</v>
      </c>
      <c r="F107" s="1">
        <v>1697.5</v>
      </c>
    </row>
    <row r="108" spans="1:6" x14ac:dyDescent="0.15">
      <c r="A108" s="2">
        <v>44713</v>
      </c>
      <c r="B108" s="1" t="s">
        <v>14</v>
      </c>
      <c r="C108" s="1" t="s">
        <v>8</v>
      </c>
      <c r="D108" s="1">
        <v>46</v>
      </c>
      <c r="E108" s="1">
        <v>388.33786990491097</v>
      </c>
      <c r="F108" s="1">
        <v>1697.5</v>
      </c>
    </row>
    <row r="109" spans="1:6" x14ac:dyDescent="0.15">
      <c r="A109" s="2">
        <v>44713</v>
      </c>
      <c r="B109" s="1" t="s">
        <v>13</v>
      </c>
      <c r="C109" s="1" t="s">
        <v>8</v>
      </c>
      <c r="D109" s="1">
        <v>46</v>
      </c>
      <c r="E109" s="1">
        <v>388.33786990491097</v>
      </c>
      <c r="F109" s="1">
        <v>1697.5</v>
      </c>
    </row>
    <row r="110" spans="1:6" x14ac:dyDescent="0.15">
      <c r="A110" s="2">
        <v>44713</v>
      </c>
      <c r="B110" s="1" t="s">
        <v>10</v>
      </c>
      <c r="C110" s="1" t="s">
        <v>8</v>
      </c>
      <c r="D110" s="1">
        <v>46</v>
      </c>
      <c r="E110" s="1">
        <v>388.33786990491097</v>
      </c>
      <c r="F110" s="1">
        <v>1697.5</v>
      </c>
    </row>
    <row r="111" spans="1:6" x14ac:dyDescent="0.15">
      <c r="A111" s="2">
        <v>44805</v>
      </c>
      <c r="B111" s="1" t="s">
        <v>10</v>
      </c>
      <c r="C111" s="1" t="s">
        <v>15</v>
      </c>
      <c r="D111" s="1">
        <v>25</v>
      </c>
      <c r="E111" s="1">
        <v>193.942563919023</v>
      </c>
      <c r="F111" s="1">
        <v>887.48645019531205</v>
      </c>
    </row>
    <row r="112" spans="1:6" x14ac:dyDescent="0.15">
      <c r="A112" s="2">
        <v>44805</v>
      </c>
      <c r="B112" s="1" t="s">
        <v>6</v>
      </c>
      <c r="C112" s="1" t="s">
        <v>15</v>
      </c>
      <c r="D112" s="1">
        <v>25</v>
      </c>
      <c r="E112" s="1">
        <v>193.942563919023</v>
      </c>
      <c r="F112" s="1">
        <v>887.48645019531205</v>
      </c>
    </row>
    <row r="113" spans="1:6" x14ac:dyDescent="0.15">
      <c r="A113" s="2">
        <v>44805</v>
      </c>
      <c r="B113" s="1" t="s">
        <v>12</v>
      </c>
      <c r="C113" s="1" t="s">
        <v>15</v>
      </c>
      <c r="D113" s="1">
        <v>25</v>
      </c>
      <c r="E113" s="1">
        <v>193.942563919023</v>
      </c>
      <c r="F113" s="1">
        <v>887.48645019531205</v>
      </c>
    </row>
    <row r="114" spans="1:6" x14ac:dyDescent="0.15">
      <c r="A114" s="2">
        <v>44805</v>
      </c>
      <c r="B114" s="1" t="s">
        <v>13</v>
      </c>
      <c r="C114" s="1" t="s">
        <v>15</v>
      </c>
      <c r="D114" s="1">
        <v>25</v>
      </c>
      <c r="E114" s="1">
        <v>193.942563919023</v>
      </c>
      <c r="F114" s="1">
        <v>887.48645019531205</v>
      </c>
    </row>
    <row r="115" spans="1:6" x14ac:dyDescent="0.15">
      <c r="A115" s="2">
        <v>44805</v>
      </c>
      <c r="B115" s="1" t="s">
        <v>14</v>
      </c>
      <c r="C115" s="1" t="s">
        <v>15</v>
      </c>
      <c r="D115" s="1">
        <v>25</v>
      </c>
      <c r="E115" s="1">
        <v>193.942563919023</v>
      </c>
      <c r="F115" s="1">
        <v>887.48645019531205</v>
      </c>
    </row>
    <row r="116" spans="1:6" x14ac:dyDescent="0.15">
      <c r="A116" s="2">
        <v>44743</v>
      </c>
      <c r="B116" s="1" t="s">
        <v>10</v>
      </c>
      <c r="C116" s="1" t="s">
        <v>20</v>
      </c>
      <c r="D116" s="1">
        <v>3</v>
      </c>
      <c r="E116" s="1">
        <v>75.906196455876398</v>
      </c>
      <c r="F116" s="1">
        <v>991</v>
      </c>
    </row>
    <row r="117" spans="1:6" x14ac:dyDescent="0.15">
      <c r="A117" s="2">
        <v>44743</v>
      </c>
      <c r="B117" s="1" t="s">
        <v>14</v>
      </c>
      <c r="C117" s="1" t="s">
        <v>20</v>
      </c>
      <c r="D117" s="1">
        <v>3</v>
      </c>
      <c r="E117" s="1">
        <v>75.906196455876398</v>
      </c>
      <c r="F117" s="1">
        <v>991</v>
      </c>
    </row>
    <row r="118" spans="1:6" x14ac:dyDescent="0.15">
      <c r="A118" s="2">
        <v>44743</v>
      </c>
      <c r="B118" s="1" t="s">
        <v>6</v>
      </c>
      <c r="C118" s="1" t="s">
        <v>20</v>
      </c>
      <c r="D118" s="1">
        <v>3</v>
      </c>
      <c r="E118" s="1">
        <v>75.906196455876398</v>
      </c>
      <c r="F118" s="1">
        <v>991</v>
      </c>
    </row>
    <row r="119" spans="1:6" x14ac:dyDescent="0.15">
      <c r="A119" s="2">
        <v>44743</v>
      </c>
      <c r="B119" s="1" t="s">
        <v>13</v>
      </c>
      <c r="C119" s="1" t="s">
        <v>20</v>
      </c>
      <c r="D119" s="1">
        <v>3</v>
      </c>
      <c r="E119" s="1">
        <v>75.906196455876398</v>
      </c>
      <c r="F119" s="1">
        <v>991</v>
      </c>
    </row>
    <row r="120" spans="1:6" x14ac:dyDescent="0.15">
      <c r="A120" s="2">
        <v>44743</v>
      </c>
      <c r="B120" s="1" t="s">
        <v>12</v>
      </c>
      <c r="C120" s="1" t="s">
        <v>20</v>
      </c>
      <c r="D120" s="1">
        <v>3</v>
      </c>
      <c r="E120" s="1">
        <v>75.906196455876398</v>
      </c>
      <c r="F120" s="1">
        <v>991</v>
      </c>
    </row>
    <row r="121" spans="1:6" x14ac:dyDescent="0.15">
      <c r="A121" s="2">
        <v>44713</v>
      </c>
      <c r="B121" s="1" t="s">
        <v>6</v>
      </c>
      <c r="C121" s="1" t="s">
        <v>20</v>
      </c>
      <c r="D121" s="1">
        <v>1</v>
      </c>
      <c r="E121" s="1">
        <v>89.076176927241704</v>
      </c>
      <c r="F121" s="1">
        <v>895</v>
      </c>
    </row>
    <row r="122" spans="1:6" x14ac:dyDescent="0.15">
      <c r="A122" s="2">
        <v>44713</v>
      </c>
      <c r="B122" s="1" t="s">
        <v>12</v>
      </c>
      <c r="C122" s="1" t="s">
        <v>20</v>
      </c>
      <c r="D122" s="1">
        <v>1</v>
      </c>
      <c r="E122" s="1">
        <v>89.076176927241704</v>
      </c>
      <c r="F122" s="1">
        <v>895</v>
      </c>
    </row>
    <row r="123" spans="1:6" x14ac:dyDescent="0.15">
      <c r="A123" s="2">
        <v>44713</v>
      </c>
      <c r="B123" s="1" t="s">
        <v>14</v>
      </c>
      <c r="C123" s="1" t="s">
        <v>20</v>
      </c>
      <c r="D123" s="1">
        <v>1</v>
      </c>
      <c r="E123" s="1">
        <v>89.076176927241704</v>
      </c>
      <c r="F123" s="1">
        <v>895</v>
      </c>
    </row>
    <row r="124" spans="1:6" x14ac:dyDescent="0.15">
      <c r="A124" s="2">
        <v>44713</v>
      </c>
      <c r="B124" s="1" t="s">
        <v>13</v>
      </c>
      <c r="C124" s="1" t="s">
        <v>20</v>
      </c>
      <c r="D124" s="1">
        <v>1</v>
      </c>
      <c r="E124" s="1">
        <v>89.076176927241704</v>
      </c>
      <c r="F124" s="1">
        <v>895</v>
      </c>
    </row>
    <row r="125" spans="1:6" x14ac:dyDescent="0.15">
      <c r="A125" s="2">
        <v>44713</v>
      </c>
      <c r="B125" s="1" t="s">
        <v>10</v>
      </c>
      <c r="C125" s="1" t="s">
        <v>20</v>
      </c>
      <c r="D125" s="1">
        <v>1</v>
      </c>
      <c r="E125" s="1">
        <v>89.076176927241704</v>
      </c>
      <c r="F125" s="1">
        <v>895</v>
      </c>
    </row>
    <row r="126" spans="1:6" x14ac:dyDescent="0.15">
      <c r="A126" s="2">
        <v>44713</v>
      </c>
      <c r="B126" s="1" t="s">
        <v>6</v>
      </c>
      <c r="C126" s="1" t="s">
        <v>9</v>
      </c>
      <c r="D126" s="1">
        <v>20.6301956176757</v>
      </c>
      <c r="E126" s="1">
        <v>174.79286917086301</v>
      </c>
      <c r="F126" s="1">
        <v>1577.64282226562</v>
      </c>
    </row>
    <row r="127" spans="1:6" x14ac:dyDescent="0.15">
      <c r="A127" s="2">
        <v>44713</v>
      </c>
      <c r="B127" s="1" t="s">
        <v>12</v>
      </c>
      <c r="C127" s="1" t="s">
        <v>9</v>
      </c>
      <c r="D127" s="1">
        <v>20.6301956176757</v>
      </c>
      <c r="E127" s="1">
        <v>174.79286917086301</v>
      </c>
      <c r="F127" s="1">
        <v>1577.64282226562</v>
      </c>
    </row>
    <row r="128" spans="1:6" x14ac:dyDescent="0.15">
      <c r="A128" s="2">
        <v>44713</v>
      </c>
      <c r="B128" s="1" t="s">
        <v>14</v>
      </c>
      <c r="C128" s="1" t="s">
        <v>9</v>
      </c>
      <c r="D128" s="1">
        <v>20.6301956176757</v>
      </c>
      <c r="E128" s="1">
        <v>174.79286917086301</v>
      </c>
      <c r="F128" s="1">
        <v>1577.64282226562</v>
      </c>
    </row>
    <row r="129" spans="1:6" x14ac:dyDescent="0.15">
      <c r="A129" s="2">
        <v>44713</v>
      </c>
      <c r="B129" s="1" t="s">
        <v>13</v>
      </c>
      <c r="C129" s="1" t="s">
        <v>9</v>
      </c>
      <c r="D129" s="1">
        <v>20.6301956176757</v>
      </c>
      <c r="E129" s="1">
        <v>174.79286917086301</v>
      </c>
      <c r="F129" s="1">
        <v>1577.64282226562</v>
      </c>
    </row>
    <row r="130" spans="1:6" x14ac:dyDescent="0.15">
      <c r="A130" s="2">
        <v>44713</v>
      </c>
      <c r="B130" s="1" t="s">
        <v>10</v>
      </c>
      <c r="C130" s="1" t="s">
        <v>9</v>
      </c>
      <c r="D130" s="1">
        <v>20.6301956176757</v>
      </c>
      <c r="E130" s="1">
        <v>174.79286917086301</v>
      </c>
      <c r="F130" s="1">
        <v>1577.64282226562</v>
      </c>
    </row>
    <row r="131" spans="1:6" x14ac:dyDescent="0.15">
      <c r="A131" s="3">
        <v>44866</v>
      </c>
      <c r="B131" s="1" t="s">
        <v>13</v>
      </c>
      <c r="C131" s="1" t="s">
        <v>17</v>
      </c>
      <c r="D131" s="1">
        <v>58</v>
      </c>
      <c r="E131" s="1">
        <v>557.30108303629004</v>
      </c>
      <c r="F131" s="1">
        <v>2444.5</v>
      </c>
    </row>
    <row r="132" spans="1:6" x14ac:dyDescent="0.15">
      <c r="A132" s="3">
        <v>44866</v>
      </c>
      <c r="B132" s="1" t="s">
        <v>12</v>
      </c>
      <c r="C132" s="1" t="s">
        <v>17</v>
      </c>
      <c r="D132" s="1">
        <v>58</v>
      </c>
      <c r="E132" s="1">
        <v>557.30108303629004</v>
      </c>
      <c r="F132" s="1">
        <v>2444.5</v>
      </c>
    </row>
    <row r="133" spans="1:6" x14ac:dyDescent="0.15">
      <c r="A133" s="3">
        <v>44866</v>
      </c>
      <c r="B133" s="1" t="s">
        <v>6</v>
      </c>
      <c r="C133" s="1" t="s">
        <v>17</v>
      </c>
      <c r="D133" s="1">
        <v>58</v>
      </c>
      <c r="E133" s="1">
        <v>557.30108303629004</v>
      </c>
      <c r="F133" s="1">
        <v>2444.5</v>
      </c>
    </row>
    <row r="134" spans="1:6" x14ac:dyDescent="0.15">
      <c r="A134" s="3">
        <v>44866</v>
      </c>
      <c r="B134" s="1" t="s">
        <v>10</v>
      </c>
      <c r="C134" s="1" t="s">
        <v>17</v>
      </c>
      <c r="D134" s="1">
        <v>58</v>
      </c>
      <c r="E134" s="1">
        <v>557.30108303629004</v>
      </c>
      <c r="F134" s="1">
        <v>2444.5</v>
      </c>
    </row>
    <row r="135" spans="1:6" x14ac:dyDescent="0.15">
      <c r="A135" s="3">
        <v>44866</v>
      </c>
      <c r="B135" s="1" t="s">
        <v>14</v>
      </c>
      <c r="C135" s="1" t="s">
        <v>17</v>
      </c>
      <c r="D135" s="1">
        <v>58</v>
      </c>
      <c r="E135" s="1">
        <v>557.30108303629004</v>
      </c>
      <c r="F135" s="1">
        <v>2444.5</v>
      </c>
    </row>
    <row r="136" spans="1:6" x14ac:dyDescent="0.15">
      <c r="A136" s="3">
        <v>44531</v>
      </c>
      <c r="B136" s="1" t="s">
        <v>14</v>
      </c>
      <c r="C136" s="1" t="s">
        <v>15</v>
      </c>
      <c r="D136" s="1">
        <v>25.776283264160099</v>
      </c>
      <c r="E136" s="1">
        <v>211.49162812994399</v>
      </c>
      <c r="F136" s="1">
        <v>1339.9375</v>
      </c>
    </row>
    <row r="137" spans="1:6" x14ac:dyDescent="0.15">
      <c r="A137" s="3">
        <v>44531</v>
      </c>
      <c r="B137" s="1" t="s">
        <v>6</v>
      </c>
      <c r="C137" s="1" t="s">
        <v>15</v>
      </c>
      <c r="D137" s="1">
        <v>25.776283264160099</v>
      </c>
      <c r="E137" s="1">
        <v>211.49162812994399</v>
      </c>
      <c r="F137" s="1">
        <v>1339.9375</v>
      </c>
    </row>
    <row r="138" spans="1:6" x14ac:dyDescent="0.15">
      <c r="A138" s="3">
        <v>44531</v>
      </c>
      <c r="B138" s="1" t="s">
        <v>10</v>
      </c>
      <c r="C138" s="1" t="s">
        <v>15</v>
      </c>
      <c r="D138" s="1">
        <v>25.776283264160099</v>
      </c>
      <c r="E138" s="1">
        <v>211.49162812994399</v>
      </c>
      <c r="F138" s="1">
        <v>1339.9375</v>
      </c>
    </row>
    <row r="139" spans="1:6" x14ac:dyDescent="0.15">
      <c r="A139" s="3">
        <v>44531</v>
      </c>
      <c r="B139" s="1" t="s">
        <v>12</v>
      </c>
      <c r="C139" s="1" t="s">
        <v>15</v>
      </c>
      <c r="D139" s="1">
        <v>25.776283264160099</v>
      </c>
      <c r="E139" s="1">
        <v>211.49162812994399</v>
      </c>
      <c r="F139" s="1">
        <v>1339.9375</v>
      </c>
    </row>
    <row r="140" spans="1:6" x14ac:dyDescent="0.15">
      <c r="A140" s="3">
        <v>44531</v>
      </c>
      <c r="B140" s="1" t="s">
        <v>13</v>
      </c>
      <c r="C140" s="1" t="s">
        <v>15</v>
      </c>
      <c r="D140" s="1">
        <v>25.776283264160099</v>
      </c>
      <c r="E140" s="1">
        <v>211.49162812994399</v>
      </c>
      <c r="F140" s="1">
        <v>1339.9375</v>
      </c>
    </row>
    <row r="141" spans="1:6" x14ac:dyDescent="0.15">
      <c r="A141" s="3">
        <v>44531</v>
      </c>
      <c r="B141" s="1" t="s">
        <v>14</v>
      </c>
      <c r="C141" s="1" t="s">
        <v>17</v>
      </c>
      <c r="D141" s="1">
        <v>68.985083770751899</v>
      </c>
      <c r="E141" s="1">
        <v>527.881311823592</v>
      </c>
      <c r="F141" s="1">
        <v>2299</v>
      </c>
    </row>
    <row r="142" spans="1:6" x14ac:dyDescent="0.15">
      <c r="A142" s="3">
        <v>44531</v>
      </c>
      <c r="B142" s="1" t="s">
        <v>6</v>
      </c>
      <c r="C142" s="1" t="s">
        <v>17</v>
      </c>
      <c r="D142" s="1">
        <v>68.985083770751899</v>
      </c>
      <c r="E142" s="1">
        <v>527.881311823592</v>
      </c>
      <c r="F142" s="1">
        <v>2299</v>
      </c>
    </row>
    <row r="143" spans="1:6" x14ac:dyDescent="0.15">
      <c r="A143" s="3">
        <v>44531</v>
      </c>
      <c r="B143" s="1" t="s">
        <v>10</v>
      </c>
      <c r="C143" s="1" t="s">
        <v>17</v>
      </c>
      <c r="D143" s="1">
        <v>68.985083770751899</v>
      </c>
      <c r="E143" s="1">
        <v>527.881311823592</v>
      </c>
      <c r="F143" s="1">
        <v>2299</v>
      </c>
    </row>
    <row r="144" spans="1:6" x14ac:dyDescent="0.15">
      <c r="A144" s="3">
        <v>44531</v>
      </c>
      <c r="B144" s="1" t="s">
        <v>12</v>
      </c>
      <c r="C144" s="1" t="s">
        <v>17</v>
      </c>
      <c r="D144" s="1">
        <v>68.985083770751899</v>
      </c>
      <c r="E144" s="1">
        <v>527.881311823592</v>
      </c>
      <c r="F144" s="1">
        <v>2299</v>
      </c>
    </row>
    <row r="145" spans="1:6" x14ac:dyDescent="0.15">
      <c r="A145" s="3">
        <v>44531</v>
      </c>
      <c r="B145" s="1" t="s">
        <v>13</v>
      </c>
      <c r="C145" s="1" t="s">
        <v>17</v>
      </c>
      <c r="D145" s="1">
        <v>68.985083770751899</v>
      </c>
      <c r="E145" s="1">
        <v>527.881311823592</v>
      </c>
      <c r="F145" s="1">
        <v>2299</v>
      </c>
    </row>
    <row r="146" spans="1:6" x14ac:dyDescent="0.15">
      <c r="A146" s="2">
        <v>44621</v>
      </c>
      <c r="B146" s="1" t="s">
        <v>12</v>
      </c>
      <c r="C146" s="1" t="s">
        <v>7</v>
      </c>
      <c r="D146" s="1">
        <v>33</v>
      </c>
      <c r="E146" s="1">
        <v>228.65575292549599</v>
      </c>
      <c r="F146" s="1">
        <v>2009.12426757812</v>
      </c>
    </row>
    <row r="147" spans="1:6" x14ac:dyDescent="0.15">
      <c r="A147" s="2">
        <v>44621</v>
      </c>
      <c r="B147" s="1" t="s">
        <v>6</v>
      </c>
      <c r="C147" s="1" t="s">
        <v>7</v>
      </c>
      <c r="D147" s="1">
        <v>33</v>
      </c>
      <c r="E147" s="1">
        <v>228.65575292549599</v>
      </c>
      <c r="F147" s="1">
        <v>2009.12426757812</v>
      </c>
    </row>
    <row r="148" spans="1:6" x14ac:dyDescent="0.15">
      <c r="A148" s="2">
        <v>44621</v>
      </c>
      <c r="B148" s="1" t="s">
        <v>10</v>
      </c>
      <c r="C148" s="1" t="s">
        <v>7</v>
      </c>
      <c r="D148" s="1">
        <v>33</v>
      </c>
      <c r="E148" s="1">
        <v>228.65575292549599</v>
      </c>
      <c r="F148" s="1">
        <v>2009.12426757812</v>
      </c>
    </row>
    <row r="149" spans="1:6" x14ac:dyDescent="0.15">
      <c r="A149" s="2">
        <v>44621</v>
      </c>
      <c r="B149" s="1" t="s">
        <v>13</v>
      </c>
      <c r="C149" s="1" t="s">
        <v>7</v>
      </c>
      <c r="D149" s="1">
        <v>33</v>
      </c>
      <c r="E149" s="1">
        <v>228.65575292549599</v>
      </c>
      <c r="F149" s="1">
        <v>2009.12426757812</v>
      </c>
    </row>
    <row r="150" spans="1:6" x14ac:dyDescent="0.15">
      <c r="A150" s="2">
        <v>44621</v>
      </c>
      <c r="B150" s="1" t="s">
        <v>14</v>
      </c>
      <c r="C150" s="1" t="s">
        <v>7</v>
      </c>
      <c r="D150" s="1">
        <v>33</v>
      </c>
      <c r="E150" s="1">
        <v>228.65575292549599</v>
      </c>
      <c r="F150" s="1">
        <v>2009.12426757812</v>
      </c>
    </row>
    <row r="151" spans="1:6" x14ac:dyDescent="0.15">
      <c r="A151" s="3">
        <v>44531</v>
      </c>
      <c r="B151" s="1" t="s">
        <v>14</v>
      </c>
      <c r="C151" s="1" t="s">
        <v>8</v>
      </c>
      <c r="D151" s="1">
        <v>61</v>
      </c>
      <c r="E151" s="1">
        <v>352.78548805864301</v>
      </c>
      <c r="F151" s="1">
        <v>1429</v>
      </c>
    </row>
    <row r="152" spans="1:6" x14ac:dyDescent="0.15">
      <c r="A152" s="3">
        <v>44531</v>
      </c>
      <c r="B152" s="1" t="s">
        <v>6</v>
      </c>
      <c r="C152" s="1" t="s">
        <v>8</v>
      </c>
      <c r="D152" s="1">
        <v>61</v>
      </c>
      <c r="E152" s="1">
        <v>352.78548805864301</v>
      </c>
      <c r="F152" s="1">
        <v>1429</v>
      </c>
    </row>
    <row r="153" spans="1:6" x14ac:dyDescent="0.15">
      <c r="A153" s="3">
        <v>44531</v>
      </c>
      <c r="B153" s="1" t="s">
        <v>10</v>
      </c>
      <c r="C153" s="1" t="s">
        <v>8</v>
      </c>
      <c r="D153" s="1">
        <v>61</v>
      </c>
      <c r="E153" s="1">
        <v>352.78548805864301</v>
      </c>
      <c r="F153" s="1">
        <v>1429</v>
      </c>
    </row>
    <row r="154" spans="1:6" x14ac:dyDescent="0.15">
      <c r="A154" s="3">
        <v>44531</v>
      </c>
      <c r="B154" s="1" t="s">
        <v>12</v>
      </c>
      <c r="C154" s="1" t="s">
        <v>8</v>
      </c>
      <c r="D154" s="1">
        <v>61</v>
      </c>
      <c r="E154" s="1">
        <v>352.78548805864301</v>
      </c>
      <c r="F154" s="1">
        <v>1429</v>
      </c>
    </row>
    <row r="155" spans="1:6" x14ac:dyDescent="0.15">
      <c r="A155" s="3">
        <v>44531</v>
      </c>
      <c r="B155" s="1" t="s">
        <v>13</v>
      </c>
      <c r="C155" s="1" t="s">
        <v>8</v>
      </c>
      <c r="D155" s="1">
        <v>61</v>
      </c>
      <c r="E155" s="1">
        <v>352.78548805864301</v>
      </c>
      <c r="F155" s="1">
        <v>1429</v>
      </c>
    </row>
    <row r="156" spans="1:6" x14ac:dyDescent="0.15">
      <c r="A156" s="3">
        <v>44866</v>
      </c>
      <c r="B156" s="1" t="s">
        <v>13</v>
      </c>
      <c r="C156" s="1" t="s">
        <v>15</v>
      </c>
      <c r="D156" s="1">
        <v>25</v>
      </c>
      <c r="E156" s="1">
        <v>180.734986536527</v>
      </c>
      <c r="F156" s="1">
        <v>1164</v>
      </c>
    </row>
    <row r="157" spans="1:6" x14ac:dyDescent="0.15">
      <c r="A157" s="3">
        <v>44866</v>
      </c>
      <c r="B157" s="1" t="s">
        <v>12</v>
      </c>
      <c r="C157" s="1" t="s">
        <v>15</v>
      </c>
      <c r="D157" s="1">
        <v>25</v>
      </c>
      <c r="E157" s="1">
        <v>180.734986536527</v>
      </c>
      <c r="F157" s="1">
        <v>1164</v>
      </c>
    </row>
    <row r="158" spans="1:6" x14ac:dyDescent="0.15">
      <c r="A158" s="3">
        <v>44866</v>
      </c>
      <c r="B158" s="1" t="s">
        <v>6</v>
      </c>
      <c r="C158" s="1" t="s">
        <v>15</v>
      </c>
      <c r="D158" s="1">
        <v>25</v>
      </c>
      <c r="E158" s="1">
        <v>180.734986536527</v>
      </c>
      <c r="F158" s="1">
        <v>1164</v>
      </c>
    </row>
    <row r="159" spans="1:6" x14ac:dyDescent="0.15">
      <c r="A159" s="3">
        <v>44866</v>
      </c>
      <c r="B159" s="1" t="s">
        <v>10</v>
      </c>
      <c r="C159" s="1" t="s">
        <v>15</v>
      </c>
      <c r="D159" s="1">
        <v>25</v>
      </c>
      <c r="E159" s="1">
        <v>180.734986536527</v>
      </c>
      <c r="F159" s="1">
        <v>1164</v>
      </c>
    </row>
    <row r="160" spans="1:6" x14ac:dyDescent="0.15">
      <c r="A160" s="3">
        <v>44866</v>
      </c>
      <c r="B160" s="1" t="s">
        <v>14</v>
      </c>
      <c r="C160" s="1" t="s">
        <v>15</v>
      </c>
      <c r="D160" s="1">
        <v>25</v>
      </c>
      <c r="E160" s="1">
        <v>180.734986536527</v>
      </c>
      <c r="F160" s="1">
        <v>1164</v>
      </c>
    </row>
    <row r="161" spans="1:6" x14ac:dyDescent="0.15">
      <c r="A161" s="2">
        <v>44593</v>
      </c>
      <c r="B161" s="1" t="s">
        <v>10</v>
      </c>
      <c r="C161" s="1" t="s">
        <v>9</v>
      </c>
      <c r="D161" s="1">
        <v>20.6301956176757</v>
      </c>
      <c r="E161" s="1">
        <v>157.21747193799899</v>
      </c>
      <c r="F161" s="1">
        <v>1604</v>
      </c>
    </row>
    <row r="162" spans="1:6" x14ac:dyDescent="0.15">
      <c r="A162" s="2">
        <v>44593</v>
      </c>
      <c r="B162" s="1" t="s">
        <v>6</v>
      </c>
      <c r="C162" s="1" t="s">
        <v>9</v>
      </c>
      <c r="D162" s="1">
        <v>20.6301956176757</v>
      </c>
      <c r="E162" s="1">
        <v>157.21747193799899</v>
      </c>
      <c r="F162" s="1">
        <v>1604</v>
      </c>
    </row>
    <row r="163" spans="1:6" x14ac:dyDescent="0.15">
      <c r="A163" s="2">
        <v>44593</v>
      </c>
      <c r="B163" s="1" t="s">
        <v>12</v>
      </c>
      <c r="C163" s="1" t="s">
        <v>9</v>
      </c>
      <c r="D163" s="1">
        <v>20.6301956176757</v>
      </c>
      <c r="E163" s="1">
        <v>157.21747193799899</v>
      </c>
      <c r="F163" s="1">
        <v>1604</v>
      </c>
    </row>
    <row r="164" spans="1:6" x14ac:dyDescent="0.15">
      <c r="A164" s="2">
        <v>44593</v>
      </c>
      <c r="B164" s="1" t="s">
        <v>14</v>
      </c>
      <c r="C164" s="1" t="s">
        <v>9</v>
      </c>
      <c r="D164" s="1">
        <v>20.6301956176757</v>
      </c>
      <c r="E164" s="1">
        <v>157.21747193799899</v>
      </c>
      <c r="F164" s="1">
        <v>1604</v>
      </c>
    </row>
    <row r="165" spans="1:6" x14ac:dyDescent="0.15">
      <c r="A165" s="2">
        <v>44593</v>
      </c>
      <c r="B165" s="1" t="s">
        <v>13</v>
      </c>
      <c r="C165" s="1" t="s">
        <v>9</v>
      </c>
      <c r="D165" s="1">
        <v>20.6301956176757</v>
      </c>
      <c r="E165" s="1">
        <v>157.21747193799899</v>
      </c>
      <c r="F165" s="1">
        <v>1604</v>
      </c>
    </row>
    <row r="166" spans="1:6" x14ac:dyDescent="0.15">
      <c r="A166" s="3">
        <v>44866</v>
      </c>
      <c r="B166" s="1" t="s">
        <v>13</v>
      </c>
      <c r="C166" s="1" t="s">
        <v>9</v>
      </c>
      <c r="D166" s="1">
        <v>20.6301956176757</v>
      </c>
      <c r="E166" s="1">
        <v>162.34834946079599</v>
      </c>
      <c r="F166" s="1">
        <v>1164</v>
      </c>
    </row>
    <row r="167" spans="1:6" x14ac:dyDescent="0.15">
      <c r="A167" s="3">
        <v>44866</v>
      </c>
      <c r="B167" s="1" t="s">
        <v>12</v>
      </c>
      <c r="C167" s="1" t="s">
        <v>9</v>
      </c>
      <c r="D167" s="1">
        <v>20.6301956176757</v>
      </c>
      <c r="E167" s="1">
        <v>162.34834946079599</v>
      </c>
      <c r="F167" s="1">
        <v>1164</v>
      </c>
    </row>
    <row r="168" spans="1:6" x14ac:dyDescent="0.15">
      <c r="A168" s="3">
        <v>44866</v>
      </c>
      <c r="B168" s="1" t="s">
        <v>6</v>
      </c>
      <c r="C168" s="1" t="s">
        <v>9</v>
      </c>
      <c r="D168" s="1">
        <v>20.6301956176757</v>
      </c>
      <c r="E168" s="1">
        <v>162.34834946079599</v>
      </c>
      <c r="F168" s="1">
        <v>1164</v>
      </c>
    </row>
    <row r="169" spans="1:6" x14ac:dyDescent="0.15">
      <c r="A169" s="3">
        <v>44866</v>
      </c>
      <c r="B169" s="1" t="s">
        <v>10</v>
      </c>
      <c r="C169" s="1" t="s">
        <v>9</v>
      </c>
      <c r="D169" s="1">
        <v>20.6301956176757</v>
      </c>
      <c r="E169" s="1">
        <v>162.34834946079599</v>
      </c>
      <c r="F169" s="1">
        <v>1164</v>
      </c>
    </row>
    <row r="170" spans="1:6" x14ac:dyDescent="0.15">
      <c r="A170" s="3">
        <v>44866</v>
      </c>
      <c r="B170" s="1" t="s">
        <v>14</v>
      </c>
      <c r="C170" s="1" t="s">
        <v>9</v>
      </c>
      <c r="D170" s="1">
        <v>20.6301956176757</v>
      </c>
      <c r="E170" s="1">
        <v>162.34834946079599</v>
      </c>
      <c r="F170" s="1">
        <v>1164</v>
      </c>
    </row>
    <row r="171" spans="1:6" x14ac:dyDescent="0.15">
      <c r="A171" s="2">
        <v>44682</v>
      </c>
      <c r="B171" s="1" t="s">
        <v>12</v>
      </c>
      <c r="C171" s="1" t="s">
        <v>17</v>
      </c>
      <c r="D171" s="1">
        <v>58</v>
      </c>
      <c r="E171" s="1">
        <v>588.46032726745398</v>
      </c>
      <c r="F171" s="1">
        <v>2299</v>
      </c>
    </row>
    <row r="172" spans="1:6" x14ac:dyDescent="0.15">
      <c r="A172" s="2">
        <v>44682</v>
      </c>
      <c r="B172" s="1" t="s">
        <v>14</v>
      </c>
      <c r="C172" s="1" t="s">
        <v>17</v>
      </c>
      <c r="D172" s="1">
        <v>58</v>
      </c>
      <c r="E172" s="1">
        <v>588.46032726745398</v>
      </c>
      <c r="F172" s="1">
        <v>2299</v>
      </c>
    </row>
    <row r="173" spans="1:6" x14ac:dyDescent="0.15">
      <c r="A173" s="2">
        <v>44682</v>
      </c>
      <c r="B173" s="1" t="s">
        <v>6</v>
      </c>
      <c r="C173" s="1" t="s">
        <v>17</v>
      </c>
      <c r="D173" s="1">
        <v>58</v>
      </c>
      <c r="E173" s="1">
        <v>588.46032726745398</v>
      </c>
      <c r="F173" s="1">
        <v>2299</v>
      </c>
    </row>
    <row r="174" spans="1:6" x14ac:dyDescent="0.15">
      <c r="A174" s="2">
        <v>44682</v>
      </c>
      <c r="B174" s="1" t="s">
        <v>13</v>
      </c>
      <c r="C174" s="1" t="s">
        <v>17</v>
      </c>
      <c r="D174" s="1">
        <v>58</v>
      </c>
      <c r="E174" s="1">
        <v>588.46032726745398</v>
      </c>
      <c r="F174" s="1">
        <v>2299</v>
      </c>
    </row>
    <row r="175" spans="1:6" x14ac:dyDescent="0.15">
      <c r="A175" s="2">
        <v>44682</v>
      </c>
      <c r="B175" s="1" t="s">
        <v>10</v>
      </c>
      <c r="C175" s="1" t="s">
        <v>17</v>
      </c>
      <c r="D175" s="1">
        <v>58</v>
      </c>
      <c r="E175" s="1">
        <v>588.46032726745398</v>
      </c>
      <c r="F175" s="1">
        <v>2299</v>
      </c>
    </row>
    <row r="176" spans="1:6" x14ac:dyDescent="0.15">
      <c r="A176" s="3">
        <v>44531</v>
      </c>
      <c r="B176" s="1" t="s">
        <v>14</v>
      </c>
      <c r="C176" s="1" t="s">
        <v>23</v>
      </c>
      <c r="D176" s="1">
        <v>52</v>
      </c>
      <c r="E176" s="1">
        <v>304.60094109584998</v>
      </c>
      <c r="F176" s="1">
        <v>1420</v>
      </c>
    </row>
    <row r="177" spans="1:6" x14ac:dyDescent="0.15">
      <c r="A177" s="3">
        <v>44531</v>
      </c>
      <c r="B177" s="1" t="s">
        <v>6</v>
      </c>
      <c r="C177" s="1" t="s">
        <v>23</v>
      </c>
      <c r="D177" s="1">
        <v>52</v>
      </c>
      <c r="E177" s="1">
        <v>304.60094109584998</v>
      </c>
      <c r="F177" s="1">
        <v>1420</v>
      </c>
    </row>
    <row r="178" spans="1:6" x14ac:dyDescent="0.15">
      <c r="A178" s="3">
        <v>44531</v>
      </c>
      <c r="B178" s="1" t="s">
        <v>10</v>
      </c>
      <c r="C178" s="1" t="s">
        <v>23</v>
      </c>
      <c r="D178" s="1">
        <v>52</v>
      </c>
      <c r="E178" s="1">
        <v>304.60094109584998</v>
      </c>
      <c r="F178" s="1">
        <v>1420</v>
      </c>
    </row>
    <row r="179" spans="1:6" x14ac:dyDescent="0.15">
      <c r="A179" s="3">
        <v>44531</v>
      </c>
      <c r="B179" s="1" t="s">
        <v>12</v>
      </c>
      <c r="C179" s="1" t="s">
        <v>23</v>
      </c>
      <c r="D179" s="1">
        <v>52</v>
      </c>
      <c r="E179" s="1">
        <v>304.60094109584998</v>
      </c>
      <c r="F179" s="1">
        <v>1420</v>
      </c>
    </row>
    <row r="180" spans="1:6" x14ac:dyDescent="0.15">
      <c r="A180" s="3">
        <v>44531</v>
      </c>
      <c r="B180" s="1" t="s">
        <v>13</v>
      </c>
      <c r="C180" s="1" t="s">
        <v>23</v>
      </c>
      <c r="D180" s="1">
        <v>52</v>
      </c>
      <c r="E180" s="1">
        <v>304.60094109584998</v>
      </c>
      <c r="F180" s="1">
        <v>1420</v>
      </c>
    </row>
    <row r="181" spans="1:6" x14ac:dyDescent="0.15">
      <c r="A181" s="2">
        <v>44986</v>
      </c>
      <c r="B181" s="1" t="s">
        <v>6</v>
      </c>
      <c r="C181" s="1" t="s">
        <v>15</v>
      </c>
      <c r="D181" s="1">
        <v>123.93893432617099</v>
      </c>
      <c r="E181" s="1">
        <v>462.55554496444699</v>
      </c>
      <c r="F181" s="1">
        <v>905.011474609375</v>
      </c>
    </row>
    <row r="182" spans="1:6" x14ac:dyDescent="0.15">
      <c r="A182" s="3">
        <v>44835</v>
      </c>
      <c r="B182" s="1" t="s">
        <v>12</v>
      </c>
      <c r="C182" s="1" t="s">
        <v>24</v>
      </c>
      <c r="D182" s="1">
        <v>37</v>
      </c>
      <c r="E182" s="1">
        <v>280.77753396956803</v>
      </c>
      <c r="F182" s="1">
        <v>1143.4921875</v>
      </c>
    </row>
    <row r="183" spans="1:6" x14ac:dyDescent="0.15">
      <c r="A183" s="3">
        <v>44835</v>
      </c>
      <c r="B183" s="1" t="s">
        <v>6</v>
      </c>
      <c r="C183" s="1" t="s">
        <v>24</v>
      </c>
      <c r="D183" s="1">
        <v>37</v>
      </c>
      <c r="E183" s="1">
        <v>280.77753396956803</v>
      </c>
      <c r="F183" s="1">
        <v>1143.4921875</v>
      </c>
    </row>
    <row r="184" spans="1:6" x14ac:dyDescent="0.15">
      <c r="A184" s="3">
        <v>44835</v>
      </c>
      <c r="B184" s="1" t="s">
        <v>13</v>
      </c>
      <c r="C184" s="1" t="s">
        <v>24</v>
      </c>
      <c r="D184" s="1">
        <v>37</v>
      </c>
      <c r="E184" s="1">
        <v>280.77753396956803</v>
      </c>
      <c r="F184" s="1">
        <v>1143.4921875</v>
      </c>
    </row>
    <row r="185" spans="1:6" x14ac:dyDescent="0.15">
      <c r="A185" s="3">
        <v>44835</v>
      </c>
      <c r="B185" s="1" t="s">
        <v>14</v>
      </c>
      <c r="C185" s="1" t="s">
        <v>24</v>
      </c>
      <c r="D185" s="1">
        <v>37</v>
      </c>
      <c r="E185" s="1">
        <v>280.77753396956803</v>
      </c>
      <c r="F185" s="1">
        <v>1143.4921875</v>
      </c>
    </row>
    <row r="186" spans="1:6" x14ac:dyDescent="0.15">
      <c r="A186" s="3">
        <v>44835</v>
      </c>
      <c r="B186" s="1" t="s">
        <v>10</v>
      </c>
      <c r="C186" s="1" t="s">
        <v>24</v>
      </c>
      <c r="D186" s="1">
        <v>37</v>
      </c>
      <c r="E186" s="1">
        <v>280.77753396956803</v>
      </c>
      <c r="F186" s="1">
        <v>1143.4921875</v>
      </c>
    </row>
    <row r="187" spans="1:6" x14ac:dyDescent="0.15">
      <c r="A187" s="2">
        <v>44593</v>
      </c>
      <c r="B187" s="1" t="s">
        <v>10</v>
      </c>
      <c r="C187" s="1" t="s">
        <v>21</v>
      </c>
      <c r="D187" s="1">
        <v>64</v>
      </c>
      <c r="E187" s="1">
        <v>698.03355963271201</v>
      </c>
      <c r="F187" s="1">
        <v>3078</v>
      </c>
    </row>
    <row r="188" spans="1:6" x14ac:dyDescent="0.15">
      <c r="A188" s="2">
        <v>44593</v>
      </c>
      <c r="B188" s="1" t="s">
        <v>6</v>
      </c>
      <c r="C188" s="1" t="s">
        <v>21</v>
      </c>
      <c r="D188" s="1">
        <v>64</v>
      </c>
      <c r="E188" s="1">
        <v>698.03355963271201</v>
      </c>
      <c r="F188" s="1">
        <v>3078</v>
      </c>
    </row>
    <row r="189" spans="1:6" x14ac:dyDescent="0.15">
      <c r="A189" s="2">
        <v>44593</v>
      </c>
      <c r="B189" s="1" t="s">
        <v>12</v>
      </c>
      <c r="C189" s="1" t="s">
        <v>21</v>
      </c>
      <c r="D189" s="1">
        <v>64</v>
      </c>
      <c r="E189" s="1">
        <v>698.03355963271201</v>
      </c>
      <c r="F189" s="1">
        <v>3078</v>
      </c>
    </row>
    <row r="190" spans="1:6" x14ac:dyDescent="0.15">
      <c r="A190" s="2">
        <v>44593</v>
      </c>
      <c r="B190" s="1" t="s">
        <v>14</v>
      </c>
      <c r="C190" s="1" t="s">
        <v>21</v>
      </c>
      <c r="D190" s="1">
        <v>64</v>
      </c>
      <c r="E190" s="1">
        <v>698.03355963271201</v>
      </c>
      <c r="F190" s="1">
        <v>3078</v>
      </c>
    </row>
    <row r="191" spans="1:6" x14ac:dyDescent="0.15">
      <c r="A191" s="2">
        <v>44593</v>
      </c>
      <c r="B191" s="1" t="s">
        <v>13</v>
      </c>
      <c r="C191" s="1" t="s">
        <v>21</v>
      </c>
      <c r="D191" s="1">
        <v>64</v>
      </c>
      <c r="E191" s="1">
        <v>698.03355963271201</v>
      </c>
      <c r="F191" s="1">
        <v>3078</v>
      </c>
    </row>
    <row r="192" spans="1:6" x14ac:dyDescent="0.15">
      <c r="A192" s="2">
        <v>44805</v>
      </c>
      <c r="B192" s="1" t="s">
        <v>10</v>
      </c>
      <c r="C192" s="1" t="s">
        <v>18</v>
      </c>
      <c r="D192" s="1">
        <v>16.045707702636701</v>
      </c>
      <c r="E192" s="1">
        <v>159.216042944674</v>
      </c>
      <c r="F192" s="1">
        <v>765</v>
      </c>
    </row>
    <row r="193" spans="1:6" x14ac:dyDescent="0.15">
      <c r="A193" s="2">
        <v>44805</v>
      </c>
      <c r="B193" s="1" t="s">
        <v>6</v>
      </c>
      <c r="C193" s="1" t="s">
        <v>18</v>
      </c>
      <c r="D193" s="1">
        <v>16.045707702636701</v>
      </c>
      <c r="E193" s="1">
        <v>159.216042944674</v>
      </c>
      <c r="F193" s="1">
        <v>765</v>
      </c>
    </row>
    <row r="194" spans="1:6" x14ac:dyDescent="0.15">
      <c r="A194" s="2">
        <v>44805</v>
      </c>
      <c r="B194" s="1" t="s">
        <v>12</v>
      </c>
      <c r="C194" s="1" t="s">
        <v>18</v>
      </c>
      <c r="D194" s="1">
        <v>16.045707702636701</v>
      </c>
      <c r="E194" s="1">
        <v>159.216042944674</v>
      </c>
      <c r="F194" s="1">
        <v>765</v>
      </c>
    </row>
    <row r="195" spans="1:6" x14ac:dyDescent="0.15">
      <c r="A195" s="2">
        <v>44805</v>
      </c>
      <c r="B195" s="1" t="s">
        <v>13</v>
      </c>
      <c r="C195" s="1" t="s">
        <v>18</v>
      </c>
      <c r="D195" s="1">
        <v>16.045707702636701</v>
      </c>
      <c r="E195" s="1">
        <v>159.216042944674</v>
      </c>
      <c r="F195" s="1">
        <v>765</v>
      </c>
    </row>
    <row r="196" spans="1:6" x14ac:dyDescent="0.15">
      <c r="A196" s="2">
        <v>44805</v>
      </c>
      <c r="B196" s="1" t="s">
        <v>14</v>
      </c>
      <c r="C196" s="1" t="s">
        <v>18</v>
      </c>
      <c r="D196" s="1">
        <v>16.045707702636701</v>
      </c>
      <c r="E196" s="1">
        <v>159.216042944674</v>
      </c>
      <c r="F196" s="1">
        <v>765</v>
      </c>
    </row>
    <row r="197" spans="1:6" x14ac:dyDescent="0.15">
      <c r="A197" s="2">
        <v>44927</v>
      </c>
      <c r="B197" s="1" t="s">
        <v>13</v>
      </c>
      <c r="C197" s="1" t="s">
        <v>21</v>
      </c>
      <c r="D197" s="1">
        <v>64</v>
      </c>
      <c r="E197" s="1">
        <v>821.15446214271196</v>
      </c>
      <c r="F197" s="1">
        <v>4568</v>
      </c>
    </row>
    <row r="198" spans="1:6" x14ac:dyDescent="0.15">
      <c r="A198" s="2">
        <v>44927</v>
      </c>
      <c r="B198" s="1" t="s">
        <v>10</v>
      </c>
      <c r="C198" s="1" t="s">
        <v>21</v>
      </c>
      <c r="D198" s="1">
        <v>64</v>
      </c>
      <c r="E198" s="1">
        <v>821.15446214271196</v>
      </c>
      <c r="F198" s="1">
        <v>4568</v>
      </c>
    </row>
    <row r="199" spans="1:6" x14ac:dyDescent="0.15">
      <c r="A199" s="2">
        <v>44927</v>
      </c>
      <c r="B199" s="1" t="s">
        <v>6</v>
      </c>
      <c r="C199" s="1" t="s">
        <v>21</v>
      </c>
      <c r="D199" s="1">
        <v>64</v>
      </c>
      <c r="E199" s="1">
        <v>821.15446214271196</v>
      </c>
      <c r="F199" s="1">
        <v>4568</v>
      </c>
    </row>
    <row r="200" spans="1:6" x14ac:dyDescent="0.15">
      <c r="A200" s="2">
        <v>44927</v>
      </c>
      <c r="B200" s="1" t="s">
        <v>14</v>
      </c>
      <c r="C200" s="1" t="s">
        <v>21</v>
      </c>
      <c r="D200" s="1">
        <v>64</v>
      </c>
      <c r="E200" s="1">
        <v>821.15446214271196</v>
      </c>
      <c r="F200" s="1">
        <v>4568</v>
      </c>
    </row>
    <row r="201" spans="1:6" x14ac:dyDescent="0.15">
      <c r="A201" s="2">
        <v>44927</v>
      </c>
      <c r="B201" s="1" t="s">
        <v>12</v>
      </c>
      <c r="C201" s="1" t="s">
        <v>21</v>
      </c>
      <c r="D201" s="1">
        <v>64</v>
      </c>
      <c r="E201" s="1">
        <v>821.15446214271196</v>
      </c>
      <c r="F201" s="1">
        <v>4568</v>
      </c>
    </row>
    <row r="202" spans="1:6" x14ac:dyDescent="0.15">
      <c r="A202" s="2">
        <v>44562</v>
      </c>
      <c r="B202" s="1" t="s">
        <v>14</v>
      </c>
      <c r="C202" s="1" t="s">
        <v>9</v>
      </c>
      <c r="D202" s="1">
        <v>20.6301956176757</v>
      </c>
      <c r="E202" s="1">
        <v>170.578919526807</v>
      </c>
      <c r="F202" s="1">
        <v>1255</v>
      </c>
    </row>
    <row r="203" spans="1:6" x14ac:dyDescent="0.15">
      <c r="A203" s="2">
        <v>44562</v>
      </c>
      <c r="B203" s="1" t="s">
        <v>6</v>
      </c>
      <c r="C203" s="1" t="s">
        <v>9</v>
      </c>
      <c r="D203" s="1">
        <v>20.6301956176757</v>
      </c>
      <c r="E203" s="1">
        <v>170.578919526807</v>
      </c>
      <c r="F203" s="1">
        <v>1255</v>
      </c>
    </row>
    <row r="204" spans="1:6" x14ac:dyDescent="0.15">
      <c r="A204" s="2">
        <v>44562</v>
      </c>
      <c r="B204" s="1" t="s">
        <v>13</v>
      </c>
      <c r="C204" s="1" t="s">
        <v>9</v>
      </c>
      <c r="D204" s="1">
        <v>20.6301956176757</v>
      </c>
      <c r="E204" s="1">
        <v>170.578919526807</v>
      </c>
      <c r="F204" s="1">
        <v>1255</v>
      </c>
    </row>
    <row r="205" spans="1:6" x14ac:dyDescent="0.15">
      <c r="A205" s="2">
        <v>44562</v>
      </c>
      <c r="B205" s="1" t="s">
        <v>10</v>
      </c>
      <c r="C205" s="1" t="s">
        <v>9</v>
      </c>
      <c r="D205" s="1">
        <v>20.6301956176757</v>
      </c>
      <c r="E205" s="1">
        <v>170.578919526807</v>
      </c>
      <c r="F205" s="1">
        <v>1255</v>
      </c>
    </row>
    <row r="206" spans="1:6" x14ac:dyDescent="0.15">
      <c r="A206" s="2">
        <v>44562</v>
      </c>
      <c r="B206" s="1" t="s">
        <v>12</v>
      </c>
      <c r="C206" s="1" t="s">
        <v>9</v>
      </c>
      <c r="D206" s="1">
        <v>20.6301956176757</v>
      </c>
      <c r="E206" s="1">
        <v>170.578919526807</v>
      </c>
      <c r="F206" s="1">
        <v>1255</v>
      </c>
    </row>
    <row r="207" spans="1:6" x14ac:dyDescent="0.15">
      <c r="A207" s="2">
        <v>44713</v>
      </c>
      <c r="B207" s="1" t="s">
        <v>6</v>
      </c>
      <c r="C207" s="1" t="s">
        <v>16</v>
      </c>
      <c r="D207" s="1">
        <v>6</v>
      </c>
      <c r="E207" s="1">
        <v>75.095710935733194</v>
      </c>
      <c r="F207" s="1">
        <v>925</v>
      </c>
    </row>
    <row r="208" spans="1:6" x14ac:dyDescent="0.15">
      <c r="A208" s="2">
        <v>44713</v>
      </c>
      <c r="B208" s="1" t="s">
        <v>12</v>
      </c>
      <c r="C208" s="1" t="s">
        <v>16</v>
      </c>
      <c r="D208" s="1">
        <v>6</v>
      </c>
      <c r="E208" s="1">
        <v>75.095710935733194</v>
      </c>
      <c r="F208" s="1">
        <v>925</v>
      </c>
    </row>
    <row r="209" spans="1:6" x14ac:dyDescent="0.15">
      <c r="A209" s="2">
        <v>44713</v>
      </c>
      <c r="B209" s="1" t="s">
        <v>14</v>
      </c>
      <c r="C209" s="1" t="s">
        <v>16</v>
      </c>
      <c r="D209" s="1">
        <v>6</v>
      </c>
      <c r="E209" s="1">
        <v>75.095710935733194</v>
      </c>
      <c r="F209" s="1">
        <v>925</v>
      </c>
    </row>
    <row r="210" spans="1:6" x14ac:dyDescent="0.15">
      <c r="A210" s="2">
        <v>44713</v>
      </c>
      <c r="B210" s="1" t="s">
        <v>13</v>
      </c>
      <c r="C210" s="1" t="s">
        <v>16</v>
      </c>
      <c r="D210" s="1">
        <v>6</v>
      </c>
      <c r="E210" s="1">
        <v>75.095710935733194</v>
      </c>
      <c r="F210" s="1">
        <v>925</v>
      </c>
    </row>
    <row r="211" spans="1:6" x14ac:dyDescent="0.15">
      <c r="A211" s="2">
        <v>44713</v>
      </c>
      <c r="B211" s="1" t="s">
        <v>10</v>
      </c>
      <c r="C211" s="1" t="s">
        <v>16</v>
      </c>
      <c r="D211" s="1">
        <v>6</v>
      </c>
      <c r="E211" s="1">
        <v>75.095710935733194</v>
      </c>
      <c r="F211" s="1">
        <v>925</v>
      </c>
    </row>
    <row r="212" spans="1:6" x14ac:dyDescent="0.15">
      <c r="A212" s="2">
        <v>44652</v>
      </c>
      <c r="B212" s="1" t="s">
        <v>13</v>
      </c>
      <c r="C212" s="1" t="s">
        <v>16</v>
      </c>
      <c r="D212" s="1">
        <v>6</v>
      </c>
      <c r="E212" s="1">
        <v>83.089599197719593</v>
      </c>
      <c r="F212" s="1">
        <v>1025</v>
      </c>
    </row>
    <row r="213" spans="1:6" x14ac:dyDescent="0.15">
      <c r="A213" s="2">
        <v>44652</v>
      </c>
      <c r="B213" s="1" t="s">
        <v>6</v>
      </c>
      <c r="C213" s="1" t="s">
        <v>16</v>
      </c>
      <c r="D213" s="1">
        <v>6</v>
      </c>
      <c r="E213" s="1">
        <v>83.089599197719593</v>
      </c>
      <c r="F213" s="1">
        <v>1025</v>
      </c>
    </row>
    <row r="214" spans="1:6" x14ac:dyDescent="0.15">
      <c r="A214" s="2">
        <v>44652</v>
      </c>
      <c r="B214" s="1" t="s">
        <v>12</v>
      </c>
      <c r="C214" s="1" t="s">
        <v>16</v>
      </c>
      <c r="D214" s="1">
        <v>6</v>
      </c>
      <c r="E214" s="1">
        <v>83.089599197719593</v>
      </c>
      <c r="F214" s="1">
        <v>1025</v>
      </c>
    </row>
    <row r="215" spans="1:6" x14ac:dyDescent="0.15">
      <c r="A215" s="2">
        <v>44652</v>
      </c>
      <c r="B215" s="1" t="s">
        <v>10</v>
      </c>
      <c r="C215" s="1" t="s">
        <v>16</v>
      </c>
      <c r="D215" s="1">
        <v>6</v>
      </c>
      <c r="E215" s="1">
        <v>83.089599197719593</v>
      </c>
      <c r="F215" s="1">
        <v>1025</v>
      </c>
    </row>
    <row r="216" spans="1:6" x14ac:dyDescent="0.15">
      <c r="A216" s="2">
        <v>44652</v>
      </c>
      <c r="B216" s="1" t="s">
        <v>14</v>
      </c>
      <c r="C216" s="1" t="s">
        <v>16</v>
      </c>
      <c r="D216" s="1">
        <v>6</v>
      </c>
      <c r="E216" s="1">
        <v>83.089599197719593</v>
      </c>
      <c r="F216" s="1">
        <v>1025</v>
      </c>
    </row>
    <row r="217" spans="1:6" x14ac:dyDescent="0.15">
      <c r="A217" s="2">
        <v>44743</v>
      </c>
      <c r="B217" s="1" t="s">
        <v>10</v>
      </c>
      <c r="C217" s="1" t="s">
        <v>19</v>
      </c>
      <c r="D217" s="1">
        <v>52</v>
      </c>
      <c r="E217" s="1">
        <v>486.08189006899102</v>
      </c>
      <c r="F217" s="1">
        <v>2080</v>
      </c>
    </row>
    <row r="218" spans="1:6" x14ac:dyDescent="0.15">
      <c r="A218" s="2">
        <v>44743</v>
      </c>
      <c r="B218" s="1" t="s">
        <v>14</v>
      </c>
      <c r="C218" s="1" t="s">
        <v>19</v>
      </c>
      <c r="D218" s="1">
        <v>52</v>
      </c>
      <c r="E218" s="1">
        <v>486.08189006899102</v>
      </c>
      <c r="F218" s="1">
        <v>2080</v>
      </c>
    </row>
    <row r="219" spans="1:6" x14ac:dyDescent="0.15">
      <c r="A219" s="2">
        <v>44743</v>
      </c>
      <c r="B219" s="1" t="s">
        <v>6</v>
      </c>
      <c r="C219" s="1" t="s">
        <v>19</v>
      </c>
      <c r="D219" s="1">
        <v>52</v>
      </c>
      <c r="E219" s="1">
        <v>486.08189006899102</v>
      </c>
      <c r="F219" s="1">
        <v>2080</v>
      </c>
    </row>
    <row r="220" spans="1:6" x14ac:dyDescent="0.15">
      <c r="A220" s="2">
        <v>44743</v>
      </c>
      <c r="B220" s="1" t="s">
        <v>13</v>
      </c>
      <c r="C220" s="1" t="s">
        <v>19</v>
      </c>
      <c r="D220" s="1">
        <v>52</v>
      </c>
      <c r="E220" s="1">
        <v>486.08189006899102</v>
      </c>
      <c r="F220" s="1">
        <v>2080</v>
      </c>
    </row>
    <row r="221" spans="1:6" x14ac:dyDescent="0.15">
      <c r="A221" s="2">
        <v>44743</v>
      </c>
      <c r="B221" s="1" t="s">
        <v>12</v>
      </c>
      <c r="C221" s="1" t="s">
        <v>19</v>
      </c>
      <c r="D221" s="1">
        <v>52</v>
      </c>
      <c r="E221" s="1">
        <v>486.08189006899102</v>
      </c>
      <c r="F221" s="1">
        <v>2080</v>
      </c>
    </row>
    <row r="222" spans="1:6" x14ac:dyDescent="0.15">
      <c r="A222" s="3">
        <v>44896</v>
      </c>
      <c r="B222" s="1" t="s">
        <v>10</v>
      </c>
      <c r="C222" s="1" t="s">
        <v>21</v>
      </c>
      <c r="D222" s="1">
        <v>64</v>
      </c>
      <c r="E222" s="1">
        <v>786.16203179380602</v>
      </c>
      <c r="F222" s="1">
        <v>4568</v>
      </c>
    </row>
    <row r="223" spans="1:6" x14ac:dyDescent="0.15">
      <c r="A223" s="3">
        <v>44896</v>
      </c>
      <c r="B223" s="1" t="s">
        <v>14</v>
      </c>
      <c r="C223" s="1" t="s">
        <v>21</v>
      </c>
      <c r="D223" s="1">
        <v>64</v>
      </c>
      <c r="E223" s="1">
        <v>786.16203179380602</v>
      </c>
      <c r="F223" s="1">
        <v>4568</v>
      </c>
    </row>
    <row r="224" spans="1:6" x14ac:dyDescent="0.15">
      <c r="A224" s="3">
        <v>44896</v>
      </c>
      <c r="B224" s="1" t="s">
        <v>6</v>
      </c>
      <c r="C224" s="1" t="s">
        <v>21</v>
      </c>
      <c r="D224" s="1">
        <v>64</v>
      </c>
      <c r="E224" s="1">
        <v>786.16203179380602</v>
      </c>
      <c r="F224" s="1">
        <v>4568</v>
      </c>
    </row>
    <row r="225" spans="1:6" x14ac:dyDescent="0.15">
      <c r="A225" s="3">
        <v>44896</v>
      </c>
      <c r="B225" s="1" t="s">
        <v>13</v>
      </c>
      <c r="C225" s="1" t="s">
        <v>21</v>
      </c>
      <c r="D225" s="1">
        <v>64</v>
      </c>
      <c r="E225" s="1">
        <v>786.16203179380602</v>
      </c>
      <c r="F225" s="1">
        <v>4568</v>
      </c>
    </row>
    <row r="226" spans="1:6" x14ac:dyDescent="0.15">
      <c r="A226" s="3">
        <v>44896</v>
      </c>
      <c r="B226" s="1" t="s">
        <v>12</v>
      </c>
      <c r="C226" s="1" t="s">
        <v>21</v>
      </c>
      <c r="D226" s="1">
        <v>64</v>
      </c>
      <c r="E226" s="1">
        <v>786.16203179380602</v>
      </c>
      <c r="F226" s="1">
        <v>4568</v>
      </c>
    </row>
    <row r="227" spans="1:6" x14ac:dyDescent="0.15">
      <c r="A227" s="2">
        <v>44593</v>
      </c>
      <c r="B227" s="1" t="s">
        <v>10</v>
      </c>
      <c r="C227" s="1" t="s">
        <v>15</v>
      </c>
      <c r="D227" s="1">
        <v>24.869464397430399</v>
      </c>
      <c r="E227" s="1">
        <v>175.16751093871099</v>
      </c>
      <c r="F227" s="1">
        <v>1604</v>
      </c>
    </row>
    <row r="228" spans="1:6" x14ac:dyDescent="0.15">
      <c r="A228" s="2">
        <v>44593</v>
      </c>
      <c r="B228" s="1" t="s">
        <v>6</v>
      </c>
      <c r="C228" s="1" t="s">
        <v>15</v>
      </c>
      <c r="D228" s="1">
        <v>24.869464397430399</v>
      </c>
      <c r="E228" s="1">
        <v>175.16751093871099</v>
      </c>
      <c r="F228" s="1">
        <v>1604</v>
      </c>
    </row>
    <row r="229" spans="1:6" x14ac:dyDescent="0.15">
      <c r="A229" s="2">
        <v>44593</v>
      </c>
      <c r="B229" s="1" t="s">
        <v>12</v>
      </c>
      <c r="C229" s="1" t="s">
        <v>15</v>
      </c>
      <c r="D229" s="1">
        <v>24.869464397430399</v>
      </c>
      <c r="E229" s="1">
        <v>175.16751093871099</v>
      </c>
      <c r="F229" s="1">
        <v>1604</v>
      </c>
    </row>
    <row r="230" spans="1:6" x14ac:dyDescent="0.15">
      <c r="A230" s="2">
        <v>44593</v>
      </c>
      <c r="B230" s="1" t="s">
        <v>14</v>
      </c>
      <c r="C230" s="1" t="s">
        <v>15</v>
      </c>
      <c r="D230" s="1">
        <v>24.869464397430399</v>
      </c>
      <c r="E230" s="1">
        <v>175.16751093871099</v>
      </c>
      <c r="F230" s="1">
        <v>1604</v>
      </c>
    </row>
    <row r="231" spans="1:6" x14ac:dyDescent="0.15">
      <c r="A231" s="2">
        <v>44593</v>
      </c>
      <c r="B231" s="1" t="s">
        <v>13</v>
      </c>
      <c r="C231" s="1" t="s">
        <v>15</v>
      </c>
      <c r="D231" s="1">
        <v>24.869464397430399</v>
      </c>
      <c r="E231" s="1">
        <v>175.16751093871099</v>
      </c>
      <c r="F231" s="1">
        <v>1604</v>
      </c>
    </row>
    <row r="232" spans="1:6" x14ac:dyDescent="0.15">
      <c r="A232" s="2">
        <v>44958</v>
      </c>
      <c r="B232" s="1" t="s">
        <v>10</v>
      </c>
      <c r="C232" s="1" t="s">
        <v>11</v>
      </c>
      <c r="D232" s="1">
        <v>33.772739410400298</v>
      </c>
      <c r="E232" s="1">
        <v>245.531769078389</v>
      </c>
      <c r="F232" s="1">
        <v>1820</v>
      </c>
    </row>
    <row r="233" spans="1:6" x14ac:dyDescent="0.15">
      <c r="A233" s="2">
        <v>44958</v>
      </c>
      <c r="B233" s="1" t="s">
        <v>14</v>
      </c>
      <c r="C233" s="1" t="s">
        <v>11</v>
      </c>
      <c r="D233" s="1">
        <v>33.772739410400298</v>
      </c>
      <c r="E233" s="1">
        <v>245.531769078389</v>
      </c>
      <c r="F233" s="1">
        <v>1820</v>
      </c>
    </row>
    <row r="234" spans="1:6" x14ac:dyDescent="0.15">
      <c r="A234" s="2">
        <v>44958</v>
      </c>
      <c r="B234" s="1" t="s">
        <v>12</v>
      </c>
      <c r="C234" s="1" t="s">
        <v>11</v>
      </c>
      <c r="D234" s="1">
        <v>33.772739410400298</v>
      </c>
      <c r="E234" s="1">
        <v>245.531769078389</v>
      </c>
      <c r="F234" s="1">
        <v>1820</v>
      </c>
    </row>
    <row r="235" spans="1:6" x14ac:dyDescent="0.15">
      <c r="A235" s="2">
        <v>44958</v>
      </c>
      <c r="B235" s="1" t="s">
        <v>6</v>
      </c>
      <c r="C235" s="1" t="s">
        <v>11</v>
      </c>
      <c r="D235" s="1">
        <v>33.772739410400298</v>
      </c>
      <c r="E235" s="1">
        <v>245.531769078389</v>
      </c>
      <c r="F235" s="1">
        <v>1820</v>
      </c>
    </row>
    <row r="236" spans="1:6" x14ac:dyDescent="0.15">
      <c r="A236" s="2">
        <v>44958</v>
      </c>
      <c r="B236" s="1" t="s">
        <v>13</v>
      </c>
      <c r="C236" s="1" t="s">
        <v>11</v>
      </c>
      <c r="D236" s="1">
        <v>33.772739410400298</v>
      </c>
      <c r="E236" s="1">
        <v>245.531769078389</v>
      </c>
      <c r="F236" s="1">
        <v>1820</v>
      </c>
    </row>
    <row r="237" spans="1:6" x14ac:dyDescent="0.15">
      <c r="A237" s="2">
        <v>44652</v>
      </c>
      <c r="B237" s="1" t="s">
        <v>13</v>
      </c>
      <c r="C237" s="1" t="s">
        <v>23</v>
      </c>
      <c r="D237" s="1">
        <v>41</v>
      </c>
      <c r="E237" s="1">
        <v>322.06384346956298</v>
      </c>
      <c r="F237" s="1">
        <v>2713.99658203125</v>
      </c>
    </row>
    <row r="238" spans="1:6" x14ac:dyDescent="0.15">
      <c r="A238" s="2">
        <v>44652</v>
      </c>
      <c r="B238" s="1" t="s">
        <v>6</v>
      </c>
      <c r="C238" s="1" t="s">
        <v>23</v>
      </c>
      <c r="D238" s="1">
        <v>41</v>
      </c>
      <c r="E238" s="1">
        <v>322.06384346956298</v>
      </c>
      <c r="F238" s="1">
        <v>2713.99658203125</v>
      </c>
    </row>
    <row r="239" spans="1:6" x14ac:dyDescent="0.15">
      <c r="A239" s="2">
        <v>44652</v>
      </c>
      <c r="B239" s="1" t="s">
        <v>12</v>
      </c>
      <c r="C239" s="1" t="s">
        <v>23</v>
      </c>
      <c r="D239" s="1">
        <v>41</v>
      </c>
      <c r="E239" s="1">
        <v>322.06384346956298</v>
      </c>
      <c r="F239" s="1">
        <v>2713.99658203125</v>
      </c>
    </row>
    <row r="240" spans="1:6" x14ac:dyDescent="0.15">
      <c r="A240" s="2">
        <v>44652</v>
      </c>
      <c r="B240" s="1" t="s">
        <v>10</v>
      </c>
      <c r="C240" s="1" t="s">
        <v>23</v>
      </c>
      <c r="D240" s="1">
        <v>41</v>
      </c>
      <c r="E240" s="1">
        <v>322.06384346956298</v>
      </c>
      <c r="F240" s="1">
        <v>2713.99658203125</v>
      </c>
    </row>
    <row r="241" spans="1:6" x14ac:dyDescent="0.15">
      <c r="A241" s="2">
        <v>44652</v>
      </c>
      <c r="B241" s="1" t="s">
        <v>14</v>
      </c>
      <c r="C241" s="1" t="s">
        <v>23</v>
      </c>
      <c r="D241" s="1">
        <v>41</v>
      </c>
      <c r="E241" s="1">
        <v>322.06384346956298</v>
      </c>
      <c r="F241" s="1">
        <v>2713.99658203125</v>
      </c>
    </row>
    <row r="242" spans="1:6" x14ac:dyDescent="0.15">
      <c r="A242" s="2">
        <v>44652</v>
      </c>
      <c r="B242" s="1" t="s">
        <v>13</v>
      </c>
      <c r="C242" s="1" t="s">
        <v>20</v>
      </c>
      <c r="D242" s="1">
        <v>1</v>
      </c>
      <c r="E242" s="1">
        <v>96.869516284826304</v>
      </c>
      <c r="F242" s="1">
        <v>895</v>
      </c>
    </row>
    <row r="243" spans="1:6" x14ac:dyDescent="0.15">
      <c r="A243" s="2">
        <v>44652</v>
      </c>
      <c r="B243" s="1" t="s">
        <v>6</v>
      </c>
      <c r="C243" s="1" t="s">
        <v>20</v>
      </c>
      <c r="D243" s="1">
        <v>1</v>
      </c>
      <c r="E243" s="1">
        <v>96.869516284826304</v>
      </c>
      <c r="F243" s="1">
        <v>895</v>
      </c>
    </row>
    <row r="244" spans="1:6" x14ac:dyDescent="0.15">
      <c r="A244" s="2">
        <v>44652</v>
      </c>
      <c r="B244" s="1" t="s">
        <v>12</v>
      </c>
      <c r="C244" s="1" t="s">
        <v>20</v>
      </c>
      <c r="D244" s="1">
        <v>1</v>
      </c>
      <c r="E244" s="1">
        <v>96.869516284826304</v>
      </c>
      <c r="F244" s="1">
        <v>895</v>
      </c>
    </row>
    <row r="245" spans="1:6" x14ac:dyDescent="0.15">
      <c r="A245" s="2">
        <v>44652</v>
      </c>
      <c r="B245" s="1" t="s">
        <v>10</v>
      </c>
      <c r="C245" s="1" t="s">
        <v>20</v>
      </c>
      <c r="D245" s="1">
        <v>1</v>
      </c>
      <c r="E245" s="1">
        <v>96.869516284826304</v>
      </c>
      <c r="F245" s="1">
        <v>895</v>
      </c>
    </row>
    <row r="246" spans="1:6" x14ac:dyDescent="0.15">
      <c r="A246" s="2">
        <v>44652</v>
      </c>
      <c r="B246" s="1" t="s">
        <v>14</v>
      </c>
      <c r="C246" s="1" t="s">
        <v>20</v>
      </c>
      <c r="D246" s="1">
        <v>1</v>
      </c>
      <c r="E246" s="1">
        <v>96.869516284826304</v>
      </c>
      <c r="F246" s="1">
        <v>895</v>
      </c>
    </row>
    <row r="247" spans="1:6" x14ac:dyDescent="0.15">
      <c r="A247" s="2">
        <v>44774</v>
      </c>
      <c r="B247" s="1" t="s">
        <v>13</v>
      </c>
      <c r="C247" s="1" t="s">
        <v>17</v>
      </c>
      <c r="D247" s="1">
        <v>57.25</v>
      </c>
      <c r="E247" s="1">
        <v>598.40872625146801</v>
      </c>
      <c r="F247" s="1">
        <v>2617</v>
      </c>
    </row>
    <row r="248" spans="1:6" x14ac:dyDescent="0.15">
      <c r="A248" s="2">
        <v>44774</v>
      </c>
      <c r="B248" s="1" t="s">
        <v>10</v>
      </c>
      <c r="C248" s="1" t="s">
        <v>17</v>
      </c>
      <c r="D248" s="1">
        <v>57.25</v>
      </c>
      <c r="E248" s="1">
        <v>598.40872625146801</v>
      </c>
      <c r="F248" s="1">
        <v>2617</v>
      </c>
    </row>
    <row r="249" spans="1:6" x14ac:dyDescent="0.15">
      <c r="A249" s="2">
        <v>44774</v>
      </c>
      <c r="B249" s="1" t="s">
        <v>14</v>
      </c>
      <c r="C249" s="1" t="s">
        <v>17</v>
      </c>
      <c r="D249" s="1">
        <v>57.25</v>
      </c>
      <c r="E249" s="1">
        <v>598.40872625146801</v>
      </c>
      <c r="F249" s="1">
        <v>2617</v>
      </c>
    </row>
    <row r="250" spans="1:6" x14ac:dyDescent="0.15">
      <c r="A250" s="2">
        <v>44774</v>
      </c>
      <c r="B250" s="1" t="s">
        <v>6</v>
      </c>
      <c r="C250" s="1" t="s">
        <v>17</v>
      </c>
      <c r="D250" s="1">
        <v>57.25</v>
      </c>
      <c r="E250" s="1">
        <v>598.40872625146801</v>
      </c>
      <c r="F250" s="1">
        <v>2617</v>
      </c>
    </row>
    <row r="251" spans="1:6" x14ac:dyDescent="0.15">
      <c r="A251" s="2">
        <v>44774</v>
      </c>
      <c r="B251" s="1" t="s">
        <v>12</v>
      </c>
      <c r="C251" s="1" t="s">
        <v>17</v>
      </c>
      <c r="D251" s="1">
        <v>57.25</v>
      </c>
      <c r="E251" s="1">
        <v>598.40872625146801</v>
      </c>
      <c r="F251" s="1">
        <v>2617</v>
      </c>
    </row>
    <row r="252" spans="1:6" x14ac:dyDescent="0.15">
      <c r="A252" s="2">
        <v>44774</v>
      </c>
      <c r="B252" s="1" t="s">
        <v>13</v>
      </c>
      <c r="C252" s="1" t="s">
        <v>15</v>
      </c>
      <c r="D252" s="1">
        <v>25</v>
      </c>
      <c r="E252" s="1">
        <v>197.417486086612</v>
      </c>
      <c r="F252" s="1">
        <v>1756.73498535156</v>
      </c>
    </row>
    <row r="253" spans="1:6" x14ac:dyDescent="0.15">
      <c r="A253" s="2">
        <v>44774</v>
      </c>
      <c r="B253" s="1" t="s">
        <v>10</v>
      </c>
      <c r="C253" s="1" t="s">
        <v>15</v>
      </c>
      <c r="D253" s="1">
        <v>25</v>
      </c>
      <c r="E253" s="1">
        <v>197.417486086612</v>
      </c>
      <c r="F253" s="1">
        <v>1756.73498535156</v>
      </c>
    </row>
    <row r="254" spans="1:6" x14ac:dyDescent="0.15">
      <c r="A254" s="2">
        <v>44774</v>
      </c>
      <c r="B254" s="1" t="s">
        <v>14</v>
      </c>
      <c r="C254" s="1" t="s">
        <v>15</v>
      </c>
      <c r="D254" s="1">
        <v>25</v>
      </c>
      <c r="E254" s="1">
        <v>197.417486086612</v>
      </c>
      <c r="F254" s="1">
        <v>1756.73498535156</v>
      </c>
    </row>
    <row r="255" spans="1:6" x14ac:dyDescent="0.15">
      <c r="A255" s="2">
        <v>44774</v>
      </c>
      <c r="B255" s="1" t="s">
        <v>6</v>
      </c>
      <c r="C255" s="1" t="s">
        <v>15</v>
      </c>
      <c r="D255" s="1">
        <v>25</v>
      </c>
      <c r="E255" s="1">
        <v>197.417486086612</v>
      </c>
      <c r="F255" s="1">
        <v>1756.73498535156</v>
      </c>
    </row>
    <row r="256" spans="1:6" x14ac:dyDescent="0.15">
      <c r="A256" s="2">
        <v>44774</v>
      </c>
      <c r="B256" s="1" t="s">
        <v>12</v>
      </c>
      <c r="C256" s="1" t="s">
        <v>15</v>
      </c>
      <c r="D256" s="1">
        <v>25</v>
      </c>
      <c r="E256" s="1">
        <v>197.417486086612</v>
      </c>
      <c r="F256" s="1">
        <v>1756.73498535156</v>
      </c>
    </row>
    <row r="257" spans="1:6" x14ac:dyDescent="0.15">
      <c r="A257" s="2">
        <v>44621</v>
      </c>
      <c r="B257" s="1" t="s">
        <v>12</v>
      </c>
      <c r="C257" s="1" t="s">
        <v>15</v>
      </c>
      <c r="D257" s="1">
        <v>25</v>
      </c>
      <c r="E257" s="1">
        <v>179.39246368145601</v>
      </c>
      <c r="F257" s="1">
        <v>1295</v>
      </c>
    </row>
    <row r="258" spans="1:6" x14ac:dyDescent="0.15">
      <c r="A258" s="2">
        <v>44621</v>
      </c>
      <c r="B258" s="1" t="s">
        <v>6</v>
      </c>
      <c r="C258" s="1" t="s">
        <v>15</v>
      </c>
      <c r="D258" s="1">
        <v>25</v>
      </c>
      <c r="E258" s="1">
        <v>179.39246368145601</v>
      </c>
      <c r="F258" s="1">
        <v>1295</v>
      </c>
    </row>
    <row r="259" spans="1:6" x14ac:dyDescent="0.15">
      <c r="A259" s="2">
        <v>44621</v>
      </c>
      <c r="B259" s="1" t="s">
        <v>10</v>
      </c>
      <c r="C259" s="1" t="s">
        <v>15</v>
      </c>
      <c r="D259" s="1">
        <v>25</v>
      </c>
      <c r="E259" s="1">
        <v>179.39246368145601</v>
      </c>
      <c r="F259" s="1">
        <v>1295</v>
      </c>
    </row>
    <row r="260" spans="1:6" x14ac:dyDescent="0.15">
      <c r="A260" s="2">
        <v>44621</v>
      </c>
      <c r="B260" s="1" t="s">
        <v>13</v>
      </c>
      <c r="C260" s="1" t="s">
        <v>15</v>
      </c>
      <c r="D260" s="1">
        <v>25</v>
      </c>
      <c r="E260" s="1">
        <v>179.39246368145601</v>
      </c>
      <c r="F260" s="1">
        <v>1295</v>
      </c>
    </row>
    <row r="261" spans="1:6" x14ac:dyDescent="0.15">
      <c r="A261" s="2">
        <v>44621</v>
      </c>
      <c r="B261" s="1" t="s">
        <v>14</v>
      </c>
      <c r="C261" s="1" t="s">
        <v>15</v>
      </c>
      <c r="D261" s="1">
        <v>25</v>
      </c>
      <c r="E261" s="1">
        <v>179.39246368145601</v>
      </c>
      <c r="F261" s="1">
        <v>1295</v>
      </c>
    </row>
    <row r="262" spans="1:6" x14ac:dyDescent="0.15">
      <c r="A262" s="2">
        <v>44621</v>
      </c>
      <c r="B262" s="1" t="s">
        <v>12</v>
      </c>
      <c r="C262" s="1" t="s">
        <v>11</v>
      </c>
      <c r="D262" s="1">
        <v>29</v>
      </c>
      <c r="E262" s="1">
        <v>200.01835251521601</v>
      </c>
      <c r="F262" s="1">
        <v>1784.912109375</v>
      </c>
    </row>
    <row r="263" spans="1:6" x14ac:dyDescent="0.15">
      <c r="A263" s="2">
        <v>44621</v>
      </c>
      <c r="B263" s="1" t="s">
        <v>6</v>
      </c>
      <c r="C263" s="1" t="s">
        <v>11</v>
      </c>
      <c r="D263" s="1">
        <v>29</v>
      </c>
      <c r="E263" s="1">
        <v>200.01835251521601</v>
      </c>
      <c r="F263" s="1">
        <v>1784.912109375</v>
      </c>
    </row>
    <row r="264" spans="1:6" x14ac:dyDescent="0.15">
      <c r="A264" s="2">
        <v>44621</v>
      </c>
      <c r="B264" s="1" t="s">
        <v>10</v>
      </c>
      <c r="C264" s="1" t="s">
        <v>11</v>
      </c>
      <c r="D264" s="1">
        <v>29</v>
      </c>
      <c r="E264" s="1">
        <v>200.01835251521601</v>
      </c>
      <c r="F264" s="1">
        <v>1784.912109375</v>
      </c>
    </row>
    <row r="265" spans="1:6" x14ac:dyDescent="0.15">
      <c r="A265" s="2">
        <v>44621</v>
      </c>
      <c r="B265" s="1" t="s">
        <v>13</v>
      </c>
      <c r="C265" s="1" t="s">
        <v>11</v>
      </c>
      <c r="D265" s="1">
        <v>29</v>
      </c>
      <c r="E265" s="1">
        <v>200.01835251521601</v>
      </c>
      <c r="F265" s="1">
        <v>1784.912109375</v>
      </c>
    </row>
    <row r="266" spans="1:6" x14ac:dyDescent="0.15">
      <c r="A266" s="2">
        <v>44621</v>
      </c>
      <c r="B266" s="1" t="s">
        <v>14</v>
      </c>
      <c r="C266" s="1" t="s">
        <v>11</v>
      </c>
      <c r="D266" s="1">
        <v>29</v>
      </c>
      <c r="E266" s="1">
        <v>200.01835251521601</v>
      </c>
      <c r="F266" s="1">
        <v>1784.912109375</v>
      </c>
    </row>
    <row r="267" spans="1:6" x14ac:dyDescent="0.15">
      <c r="A267" s="2">
        <v>44774</v>
      </c>
      <c r="B267" s="1" t="s">
        <v>13</v>
      </c>
      <c r="C267" s="1" t="s">
        <v>21</v>
      </c>
      <c r="D267" s="1">
        <v>59.5</v>
      </c>
      <c r="E267" s="1">
        <v>784.17792567844106</v>
      </c>
      <c r="F267" s="1">
        <v>4503</v>
      </c>
    </row>
    <row r="268" spans="1:6" x14ac:dyDescent="0.15">
      <c r="A268" s="2">
        <v>44774</v>
      </c>
      <c r="B268" s="1" t="s">
        <v>10</v>
      </c>
      <c r="C268" s="1" t="s">
        <v>21</v>
      </c>
      <c r="D268" s="1">
        <v>59.5</v>
      </c>
      <c r="E268" s="1">
        <v>784.17792567844106</v>
      </c>
      <c r="F268" s="1">
        <v>4503</v>
      </c>
    </row>
    <row r="269" spans="1:6" x14ac:dyDescent="0.15">
      <c r="A269" s="2">
        <v>44774</v>
      </c>
      <c r="B269" s="1" t="s">
        <v>14</v>
      </c>
      <c r="C269" s="1" t="s">
        <v>21</v>
      </c>
      <c r="D269" s="1">
        <v>59.5</v>
      </c>
      <c r="E269" s="1">
        <v>784.17792567844106</v>
      </c>
      <c r="F269" s="1">
        <v>4503</v>
      </c>
    </row>
    <row r="270" spans="1:6" x14ac:dyDescent="0.15">
      <c r="A270" s="2">
        <v>44774</v>
      </c>
      <c r="B270" s="1" t="s">
        <v>6</v>
      </c>
      <c r="C270" s="1" t="s">
        <v>21</v>
      </c>
      <c r="D270" s="1">
        <v>59.5</v>
      </c>
      <c r="E270" s="1">
        <v>784.17792567844106</v>
      </c>
      <c r="F270" s="1">
        <v>4503</v>
      </c>
    </row>
    <row r="271" spans="1:6" x14ac:dyDescent="0.15">
      <c r="A271" s="2">
        <v>44774</v>
      </c>
      <c r="B271" s="1" t="s">
        <v>12</v>
      </c>
      <c r="C271" s="1" t="s">
        <v>21</v>
      </c>
      <c r="D271" s="1">
        <v>59.5</v>
      </c>
      <c r="E271" s="1">
        <v>784.17792567844106</v>
      </c>
      <c r="F271" s="1">
        <v>4503</v>
      </c>
    </row>
    <row r="272" spans="1:6" x14ac:dyDescent="0.15">
      <c r="A272" s="2">
        <v>44986</v>
      </c>
      <c r="B272" s="1" t="s">
        <v>6</v>
      </c>
      <c r="C272" s="1" t="s">
        <v>20</v>
      </c>
      <c r="D272" s="1">
        <v>53.255012512207003</v>
      </c>
      <c r="E272" s="1">
        <v>311.709751163097</v>
      </c>
      <c r="F272" s="1">
        <v>528.14813232421795</v>
      </c>
    </row>
    <row r="273" spans="1:6" x14ac:dyDescent="0.15">
      <c r="A273" s="2">
        <v>44927</v>
      </c>
      <c r="B273" s="1" t="s">
        <v>13</v>
      </c>
      <c r="C273" s="1" t="s">
        <v>15</v>
      </c>
      <c r="D273" s="1">
        <v>25</v>
      </c>
      <c r="E273" s="1">
        <v>220.625016733135</v>
      </c>
      <c r="F273" s="1">
        <v>3760</v>
      </c>
    </row>
    <row r="274" spans="1:6" x14ac:dyDescent="0.15">
      <c r="A274" s="2">
        <v>44927</v>
      </c>
      <c r="B274" s="1" t="s">
        <v>10</v>
      </c>
      <c r="C274" s="1" t="s">
        <v>15</v>
      </c>
      <c r="D274" s="1">
        <v>25</v>
      </c>
      <c r="E274" s="1">
        <v>220.625016733135</v>
      </c>
      <c r="F274" s="1">
        <v>3760</v>
      </c>
    </row>
    <row r="275" spans="1:6" x14ac:dyDescent="0.15">
      <c r="A275" s="2">
        <v>44927</v>
      </c>
      <c r="B275" s="1" t="s">
        <v>6</v>
      </c>
      <c r="C275" s="1" t="s">
        <v>15</v>
      </c>
      <c r="D275" s="1">
        <v>25</v>
      </c>
      <c r="E275" s="1">
        <v>220.625016733135</v>
      </c>
      <c r="F275" s="1">
        <v>3760</v>
      </c>
    </row>
    <row r="276" spans="1:6" x14ac:dyDescent="0.15">
      <c r="A276" s="2">
        <v>44927</v>
      </c>
      <c r="B276" s="1" t="s">
        <v>14</v>
      </c>
      <c r="C276" s="1" t="s">
        <v>15</v>
      </c>
      <c r="D276" s="1">
        <v>25</v>
      </c>
      <c r="E276" s="1">
        <v>220.625016733135</v>
      </c>
      <c r="F276" s="1">
        <v>3760</v>
      </c>
    </row>
    <row r="277" spans="1:6" x14ac:dyDescent="0.15">
      <c r="A277" s="2">
        <v>44927</v>
      </c>
      <c r="B277" s="1" t="s">
        <v>12</v>
      </c>
      <c r="C277" s="1" t="s">
        <v>15</v>
      </c>
      <c r="D277" s="1">
        <v>25</v>
      </c>
      <c r="E277" s="1">
        <v>220.625016733135</v>
      </c>
      <c r="F277" s="1">
        <v>3760</v>
      </c>
    </row>
    <row r="278" spans="1:6" x14ac:dyDescent="0.15">
      <c r="A278" s="2">
        <v>44562</v>
      </c>
      <c r="B278" s="1" t="s">
        <v>14</v>
      </c>
      <c r="C278" s="1" t="s">
        <v>8</v>
      </c>
      <c r="D278" s="1">
        <v>58.517463684082003</v>
      </c>
      <c r="E278" s="1">
        <v>350.80601629449302</v>
      </c>
      <c r="F278" s="1">
        <v>1563.5</v>
      </c>
    </row>
    <row r="279" spans="1:6" x14ac:dyDescent="0.15">
      <c r="A279" s="2">
        <v>44562</v>
      </c>
      <c r="B279" s="1" t="s">
        <v>6</v>
      </c>
      <c r="C279" s="1" t="s">
        <v>8</v>
      </c>
      <c r="D279" s="1">
        <v>58.517463684082003</v>
      </c>
      <c r="E279" s="1">
        <v>350.80601629449302</v>
      </c>
      <c r="F279" s="1">
        <v>1563.5</v>
      </c>
    </row>
    <row r="280" spans="1:6" x14ac:dyDescent="0.15">
      <c r="A280" s="2">
        <v>44562</v>
      </c>
      <c r="B280" s="1" t="s">
        <v>13</v>
      </c>
      <c r="C280" s="1" t="s">
        <v>8</v>
      </c>
      <c r="D280" s="1">
        <v>58.517463684082003</v>
      </c>
      <c r="E280" s="1">
        <v>350.80601629449302</v>
      </c>
      <c r="F280" s="1">
        <v>1563.5</v>
      </c>
    </row>
    <row r="281" spans="1:6" x14ac:dyDescent="0.15">
      <c r="A281" s="2">
        <v>44562</v>
      </c>
      <c r="B281" s="1" t="s">
        <v>10</v>
      </c>
      <c r="C281" s="1" t="s">
        <v>8</v>
      </c>
      <c r="D281" s="1">
        <v>58.517463684082003</v>
      </c>
      <c r="E281" s="1">
        <v>350.80601629449302</v>
      </c>
      <c r="F281" s="1">
        <v>1563.5</v>
      </c>
    </row>
    <row r="282" spans="1:6" x14ac:dyDescent="0.15">
      <c r="A282" s="2">
        <v>44562</v>
      </c>
      <c r="B282" s="1" t="s">
        <v>12</v>
      </c>
      <c r="C282" s="1" t="s">
        <v>8</v>
      </c>
      <c r="D282" s="1">
        <v>58.517463684082003</v>
      </c>
      <c r="E282" s="1">
        <v>350.80601629449302</v>
      </c>
      <c r="F282" s="1">
        <v>1563.5</v>
      </c>
    </row>
    <row r="283" spans="1:6" x14ac:dyDescent="0.15">
      <c r="A283" s="2">
        <v>44927</v>
      </c>
      <c r="B283" s="1" t="s">
        <v>13</v>
      </c>
      <c r="C283" s="1" t="s">
        <v>24</v>
      </c>
      <c r="D283" s="1">
        <v>37</v>
      </c>
      <c r="E283" s="1">
        <v>319.28687939417603</v>
      </c>
      <c r="F283" s="1">
        <v>3760</v>
      </c>
    </row>
    <row r="284" spans="1:6" x14ac:dyDescent="0.15">
      <c r="A284" s="2">
        <v>44927</v>
      </c>
      <c r="B284" s="1" t="s">
        <v>10</v>
      </c>
      <c r="C284" s="1" t="s">
        <v>24</v>
      </c>
      <c r="D284" s="1">
        <v>37</v>
      </c>
      <c r="E284" s="1">
        <v>319.28687939417603</v>
      </c>
      <c r="F284" s="1">
        <v>3760</v>
      </c>
    </row>
    <row r="285" spans="1:6" x14ac:dyDescent="0.15">
      <c r="A285" s="2">
        <v>44927</v>
      </c>
      <c r="B285" s="1" t="s">
        <v>6</v>
      </c>
      <c r="C285" s="1" t="s">
        <v>24</v>
      </c>
      <c r="D285" s="1">
        <v>37</v>
      </c>
      <c r="E285" s="1">
        <v>319.28687939417603</v>
      </c>
      <c r="F285" s="1">
        <v>3760</v>
      </c>
    </row>
    <row r="286" spans="1:6" x14ac:dyDescent="0.15">
      <c r="A286" s="2">
        <v>44927</v>
      </c>
      <c r="B286" s="1" t="s">
        <v>14</v>
      </c>
      <c r="C286" s="1" t="s">
        <v>24</v>
      </c>
      <c r="D286" s="1">
        <v>37</v>
      </c>
      <c r="E286" s="1">
        <v>319.28687939417603</v>
      </c>
      <c r="F286" s="1">
        <v>3760</v>
      </c>
    </row>
    <row r="287" spans="1:6" x14ac:dyDescent="0.15">
      <c r="A287" s="2">
        <v>44927</v>
      </c>
      <c r="B287" s="1" t="s">
        <v>12</v>
      </c>
      <c r="C287" s="1" t="s">
        <v>24</v>
      </c>
      <c r="D287" s="1">
        <v>37</v>
      </c>
      <c r="E287" s="1">
        <v>319.28687939417603</v>
      </c>
      <c r="F287" s="1">
        <v>3760</v>
      </c>
    </row>
    <row r="288" spans="1:6" x14ac:dyDescent="0.15">
      <c r="A288" s="2">
        <v>44621</v>
      </c>
      <c r="B288" s="1" t="s">
        <v>12</v>
      </c>
      <c r="C288" s="1" t="s">
        <v>22</v>
      </c>
      <c r="D288" s="1">
        <v>13.168941497802701</v>
      </c>
      <c r="E288" s="1">
        <v>109.91060072033</v>
      </c>
      <c r="F288" s="1">
        <v>1175</v>
      </c>
    </row>
    <row r="289" spans="1:6" x14ac:dyDescent="0.15">
      <c r="A289" s="2">
        <v>44621</v>
      </c>
      <c r="B289" s="1" t="s">
        <v>6</v>
      </c>
      <c r="C289" s="1" t="s">
        <v>22</v>
      </c>
      <c r="D289" s="1">
        <v>13.168941497802701</v>
      </c>
      <c r="E289" s="1">
        <v>109.91060072033</v>
      </c>
      <c r="F289" s="1">
        <v>1175</v>
      </c>
    </row>
    <row r="290" spans="1:6" x14ac:dyDescent="0.15">
      <c r="A290" s="2">
        <v>44621</v>
      </c>
      <c r="B290" s="1" t="s">
        <v>10</v>
      </c>
      <c r="C290" s="1" t="s">
        <v>22</v>
      </c>
      <c r="D290" s="1">
        <v>13.168941497802701</v>
      </c>
      <c r="E290" s="1">
        <v>109.91060072033</v>
      </c>
      <c r="F290" s="1">
        <v>1175</v>
      </c>
    </row>
    <row r="291" spans="1:6" x14ac:dyDescent="0.15">
      <c r="A291" s="2">
        <v>44621</v>
      </c>
      <c r="B291" s="1" t="s">
        <v>13</v>
      </c>
      <c r="C291" s="1" t="s">
        <v>22</v>
      </c>
      <c r="D291" s="1">
        <v>13.168941497802701</v>
      </c>
      <c r="E291" s="1">
        <v>109.91060072033</v>
      </c>
      <c r="F291" s="1">
        <v>1175</v>
      </c>
    </row>
    <row r="292" spans="1:6" x14ac:dyDescent="0.15">
      <c r="A292" s="2">
        <v>44621</v>
      </c>
      <c r="B292" s="1" t="s">
        <v>14</v>
      </c>
      <c r="C292" s="1" t="s">
        <v>22</v>
      </c>
      <c r="D292" s="1">
        <v>13.168941497802701</v>
      </c>
      <c r="E292" s="1">
        <v>109.91060072033</v>
      </c>
      <c r="F292" s="1">
        <v>1175</v>
      </c>
    </row>
    <row r="293" spans="1:6" x14ac:dyDescent="0.15">
      <c r="A293" s="3">
        <v>44866</v>
      </c>
      <c r="B293" s="1" t="s">
        <v>13</v>
      </c>
      <c r="C293" s="1" t="s">
        <v>23</v>
      </c>
      <c r="D293" s="1">
        <v>41</v>
      </c>
      <c r="E293" s="1">
        <v>313.28424053660098</v>
      </c>
      <c r="F293" s="1">
        <v>1410</v>
      </c>
    </row>
    <row r="294" spans="1:6" x14ac:dyDescent="0.15">
      <c r="A294" s="3">
        <v>44866</v>
      </c>
      <c r="B294" s="1" t="s">
        <v>12</v>
      </c>
      <c r="C294" s="1" t="s">
        <v>23</v>
      </c>
      <c r="D294" s="1">
        <v>41</v>
      </c>
      <c r="E294" s="1">
        <v>313.28424053660098</v>
      </c>
      <c r="F294" s="1">
        <v>1410</v>
      </c>
    </row>
    <row r="295" spans="1:6" x14ac:dyDescent="0.15">
      <c r="A295" s="3">
        <v>44866</v>
      </c>
      <c r="B295" s="1" t="s">
        <v>6</v>
      </c>
      <c r="C295" s="1" t="s">
        <v>23</v>
      </c>
      <c r="D295" s="1">
        <v>41</v>
      </c>
      <c r="E295" s="1">
        <v>313.28424053660098</v>
      </c>
      <c r="F295" s="1">
        <v>1410</v>
      </c>
    </row>
    <row r="296" spans="1:6" x14ac:dyDescent="0.15">
      <c r="A296" s="3">
        <v>44866</v>
      </c>
      <c r="B296" s="1" t="s">
        <v>10</v>
      </c>
      <c r="C296" s="1" t="s">
        <v>23</v>
      </c>
      <c r="D296" s="1">
        <v>41</v>
      </c>
      <c r="E296" s="1">
        <v>313.28424053660098</v>
      </c>
      <c r="F296" s="1">
        <v>1410</v>
      </c>
    </row>
    <row r="297" spans="1:6" x14ac:dyDescent="0.15">
      <c r="A297" s="3">
        <v>44866</v>
      </c>
      <c r="B297" s="1" t="s">
        <v>14</v>
      </c>
      <c r="C297" s="1" t="s">
        <v>23</v>
      </c>
      <c r="D297" s="1">
        <v>41</v>
      </c>
      <c r="E297" s="1">
        <v>313.28424053660098</v>
      </c>
      <c r="F297" s="1">
        <v>1410</v>
      </c>
    </row>
    <row r="298" spans="1:6" x14ac:dyDescent="0.15">
      <c r="A298" s="2">
        <v>44927</v>
      </c>
      <c r="B298" s="1" t="s">
        <v>13</v>
      </c>
      <c r="C298" s="1" t="s">
        <v>11</v>
      </c>
      <c r="D298" s="1">
        <v>29</v>
      </c>
      <c r="E298" s="1">
        <v>246.055843186023</v>
      </c>
      <c r="F298" s="1">
        <v>3760</v>
      </c>
    </row>
    <row r="299" spans="1:6" x14ac:dyDescent="0.15">
      <c r="A299" s="2">
        <v>44927</v>
      </c>
      <c r="B299" s="1" t="s">
        <v>10</v>
      </c>
      <c r="C299" s="1" t="s">
        <v>11</v>
      </c>
      <c r="D299" s="1">
        <v>29</v>
      </c>
      <c r="E299" s="1">
        <v>246.055843186023</v>
      </c>
      <c r="F299" s="1">
        <v>3760</v>
      </c>
    </row>
    <row r="300" spans="1:6" x14ac:dyDescent="0.15">
      <c r="A300" s="2">
        <v>44927</v>
      </c>
      <c r="B300" s="1" t="s">
        <v>6</v>
      </c>
      <c r="C300" s="1" t="s">
        <v>11</v>
      </c>
      <c r="D300" s="1">
        <v>29</v>
      </c>
      <c r="E300" s="1">
        <v>246.055843186023</v>
      </c>
      <c r="F300" s="1">
        <v>3760</v>
      </c>
    </row>
    <row r="301" spans="1:6" x14ac:dyDescent="0.15">
      <c r="A301" s="2">
        <v>44927</v>
      </c>
      <c r="B301" s="1" t="s">
        <v>14</v>
      </c>
      <c r="C301" s="1" t="s">
        <v>11</v>
      </c>
      <c r="D301" s="1">
        <v>29</v>
      </c>
      <c r="E301" s="1">
        <v>246.055843186023</v>
      </c>
      <c r="F301" s="1">
        <v>3760</v>
      </c>
    </row>
    <row r="302" spans="1:6" x14ac:dyDescent="0.15">
      <c r="A302" s="2">
        <v>44927</v>
      </c>
      <c r="B302" s="1" t="s">
        <v>12</v>
      </c>
      <c r="C302" s="1" t="s">
        <v>11</v>
      </c>
      <c r="D302" s="1">
        <v>29</v>
      </c>
      <c r="E302" s="1">
        <v>246.055843186023</v>
      </c>
      <c r="F302" s="1">
        <v>3760</v>
      </c>
    </row>
    <row r="303" spans="1:6" x14ac:dyDescent="0.15">
      <c r="A303" s="2">
        <v>44682</v>
      </c>
      <c r="B303" s="1" t="s">
        <v>12</v>
      </c>
      <c r="C303" s="1" t="s">
        <v>19</v>
      </c>
      <c r="D303" s="1">
        <v>52</v>
      </c>
      <c r="E303" s="1">
        <v>464.40075954990402</v>
      </c>
      <c r="F303" s="1">
        <v>3129.58837890625</v>
      </c>
    </row>
    <row r="304" spans="1:6" x14ac:dyDescent="0.15">
      <c r="A304" s="2">
        <v>44682</v>
      </c>
      <c r="B304" s="1" t="s">
        <v>14</v>
      </c>
      <c r="C304" s="1" t="s">
        <v>19</v>
      </c>
      <c r="D304" s="1">
        <v>52</v>
      </c>
      <c r="E304" s="1">
        <v>464.40075954990402</v>
      </c>
      <c r="F304" s="1">
        <v>3129.58837890625</v>
      </c>
    </row>
    <row r="305" spans="1:6" x14ac:dyDescent="0.15">
      <c r="A305" s="2">
        <v>44682</v>
      </c>
      <c r="B305" s="1" t="s">
        <v>6</v>
      </c>
      <c r="C305" s="1" t="s">
        <v>19</v>
      </c>
      <c r="D305" s="1">
        <v>52</v>
      </c>
      <c r="E305" s="1">
        <v>464.40075954990402</v>
      </c>
      <c r="F305" s="1">
        <v>3129.58837890625</v>
      </c>
    </row>
    <row r="306" spans="1:6" x14ac:dyDescent="0.15">
      <c r="A306" s="2">
        <v>44682</v>
      </c>
      <c r="B306" s="1" t="s">
        <v>13</v>
      </c>
      <c r="C306" s="1" t="s">
        <v>19</v>
      </c>
      <c r="D306" s="1">
        <v>52</v>
      </c>
      <c r="E306" s="1">
        <v>464.40075954990402</v>
      </c>
      <c r="F306" s="1">
        <v>3129.58837890625</v>
      </c>
    </row>
    <row r="307" spans="1:6" x14ac:dyDescent="0.15">
      <c r="A307" s="2">
        <v>44682</v>
      </c>
      <c r="B307" s="1" t="s">
        <v>10</v>
      </c>
      <c r="C307" s="1" t="s">
        <v>19</v>
      </c>
      <c r="D307" s="1">
        <v>52</v>
      </c>
      <c r="E307" s="1">
        <v>464.40075954990402</v>
      </c>
      <c r="F307" s="1">
        <v>3129.58837890625</v>
      </c>
    </row>
    <row r="308" spans="1:6" x14ac:dyDescent="0.15">
      <c r="A308" s="2">
        <v>44682</v>
      </c>
      <c r="B308" s="1" t="s">
        <v>12</v>
      </c>
      <c r="C308" s="1" t="s">
        <v>23</v>
      </c>
      <c r="D308" s="1">
        <v>41</v>
      </c>
      <c r="E308" s="1">
        <v>325.85729168814601</v>
      </c>
      <c r="F308" s="1">
        <v>2698.20166015625</v>
      </c>
    </row>
    <row r="309" spans="1:6" x14ac:dyDescent="0.15">
      <c r="A309" s="2">
        <v>44682</v>
      </c>
      <c r="B309" s="1" t="s">
        <v>14</v>
      </c>
      <c r="C309" s="1" t="s">
        <v>23</v>
      </c>
      <c r="D309" s="1">
        <v>41</v>
      </c>
      <c r="E309" s="1">
        <v>325.85729168814601</v>
      </c>
      <c r="F309" s="1">
        <v>2698.20166015625</v>
      </c>
    </row>
    <row r="310" spans="1:6" x14ac:dyDescent="0.15">
      <c r="A310" s="2">
        <v>44682</v>
      </c>
      <c r="B310" s="1" t="s">
        <v>6</v>
      </c>
      <c r="C310" s="1" t="s">
        <v>23</v>
      </c>
      <c r="D310" s="1">
        <v>41</v>
      </c>
      <c r="E310" s="1">
        <v>325.85729168814601</v>
      </c>
      <c r="F310" s="1">
        <v>2698.20166015625</v>
      </c>
    </row>
    <row r="311" spans="1:6" x14ac:dyDescent="0.15">
      <c r="A311" s="2">
        <v>44682</v>
      </c>
      <c r="B311" s="1" t="s">
        <v>13</v>
      </c>
      <c r="C311" s="1" t="s">
        <v>23</v>
      </c>
      <c r="D311" s="1">
        <v>41</v>
      </c>
      <c r="E311" s="1">
        <v>325.85729168814601</v>
      </c>
      <c r="F311" s="1">
        <v>2698.20166015625</v>
      </c>
    </row>
    <row r="312" spans="1:6" x14ac:dyDescent="0.15">
      <c r="A312" s="2">
        <v>44682</v>
      </c>
      <c r="B312" s="1" t="s">
        <v>10</v>
      </c>
      <c r="C312" s="1" t="s">
        <v>23</v>
      </c>
      <c r="D312" s="1">
        <v>41</v>
      </c>
      <c r="E312" s="1">
        <v>325.85729168814601</v>
      </c>
      <c r="F312" s="1">
        <v>2698.20166015625</v>
      </c>
    </row>
    <row r="313" spans="1:6" x14ac:dyDescent="0.15">
      <c r="A313" s="3">
        <v>44531</v>
      </c>
      <c r="B313" s="1" t="s">
        <v>14</v>
      </c>
      <c r="C313" s="1" t="s">
        <v>11</v>
      </c>
      <c r="D313" s="1">
        <v>31.506893157958899</v>
      </c>
      <c r="E313" s="1">
        <v>227.57572933089401</v>
      </c>
      <c r="F313" s="1">
        <v>1357.75</v>
      </c>
    </row>
    <row r="314" spans="1:6" x14ac:dyDescent="0.15">
      <c r="A314" s="3">
        <v>44531</v>
      </c>
      <c r="B314" s="1" t="s">
        <v>6</v>
      </c>
      <c r="C314" s="1" t="s">
        <v>11</v>
      </c>
      <c r="D314" s="1">
        <v>31.506893157958899</v>
      </c>
      <c r="E314" s="1">
        <v>227.57572933089401</v>
      </c>
      <c r="F314" s="1">
        <v>1357.75</v>
      </c>
    </row>
    <row r="315" spans="1:6" x14ac:dyDescent="0.15">
      <c r="A315" s="3">
        <v>44531</v>
      </c>
      <c r="B315" s="1" t="s">
        <v>10</v>
      </c>
      <c r="C315" s="1" t="s">
        <v>11</v>
      </c>
      <c r="D315" s="1">
        <v>31.506893157958899</v>
      </c>
      <c r="E315" s="1">
        <v>227.57572933089401</v>
      </c>
      <c r="F315" s="1">
        <v>1357.75</v>
      </c>
    </row>
    <row r="316" spans="1:6" x14ac:dyDescent="0.15">
      <c r="A316" s="3">
        <v>44531</v>
      </c>
      <c r="B316" s="1" t="s">
        <v>12</v>
      </c>
      <c r="C316" s="1" t="s">
        <v>11</v>
      </c>
      <c r="D316" s="1">
        <v>31.506893157958899</v>
      </c>
      <c r="E316" s="1">
        <v>227.57572933089401</v>
      </c>
      <c r="F316" s="1">
        <v>1357.75</v>
      </c>
    </row>
    <row r="317" spans="1:6" x14ac:dyDescent="0.15">
      <c r="A317" s="3">
        <v>44531</v>
      </c>
      <c r="B317" s="1" t="s">
        <v>13</v>
      </c>
      <c r="C317" s="1" t="s">
        <v>11</v>
      </c>
      <c r="D317" s="1">
        <v>31.506893157958899</v>
      </c>
      <c r="E317" s="1">
        <v>227.57572933089401</v>
      </c>
      <c r="F317" s="1">
        <v>1357.75</v>
      </c>
    </row>
    <row r="318" spans="1:6" x14ac:dyDescent="0.15">
      <c r="A318" s="3">
        <v>44531</v>
      </c>
      <c r="B318" s="1" t="s">
        <v>14</v>
      </c>
      <c r="C318" s="1" t="s">
        <v>16</v>
      </c>
      <c r="D318" s="1">
        <v>11.449758529663001</v>
      </c>
      <c r="E318" s="1">
        <v>77.598852266513603</v>
      </c>
      <c r="F318" s="1">
        <v>1137.0909118652301</v>
      </c>
    </row>
    <row r="319" spans="1:6" x14ac:dyDescent="0.15">
      <c r="A319" s="3">
        <v>44531</v>
      </c>
      <c r="B319" s="1" t="s">
        <v>6</v>
      </c>
      <c r="C319" s="1" t="s">
        <v>16</v>
      </c>
      <c r="D319" s="1">
        <v>11.449758529663001</v>
      </c>
      <c r="E319" s="1">
        <v>77.598852266513603</v>
      </c>
      <c r="F319" s="1">
        <v>1137.0909118652301</v>
      </c>
    </row>
    <row r="320" spans="1:6" x14ac:dyDescent="0.15">
      <c r="A320" s="3">
        <v>44531</v>
      </c>
      <c r="B320" s="1" t="s">
        <v>10</v>
      </c>
      <c r="C320" s="1" t="s">
        <v>16</v>
      </c>
      <c r="D320" s="1">
        <v>11.449758529663001</v>
      </c>
      <c r="E320" s="1">
        <v>77.598852266513603</v>
      </c>
      <c r="F320" s="1">
        <v>1137.0909118652301</v>
      </c>
    </row>
    <row r="321" spans="1:6" x14ac:dyDescent="0.15">
      <c r="A321" s="3">
        <v>44531</v>
      </c>
      <c r="B321" s="1" t="s">
        <v>12</v>
      </c>
      <c r="C321" s="1" t="s">
        <v>16</v>
      </c>
      <c r="D321" s="1">
        <v>11.449758529663001</v>
      </c>
      <c r="E321" s="1">
        <v>77.598852266513603</v>
      </c>
      <c r="F321" s="1">
        <v>1137.0909118652301</v>
      </c>
    </row>
    <row r="322" spans="1:6" x14ac:dyDescent="0.15">
      <c r="A322" s="3">
        <v>44531</v>
      </c>
      <c r="B322" s="1" t="s">
        <v>13</v>
      </c>
      <c r="C322" s="1" t="s">
        <v>16</v>
      </c>
      <c r="D322" s="1">
        <v>11.449758529663001</v>
      </c>
      <c r="E322" s="1">
        <v>77.598852266513603</v>
      </c>
      <c r="F322" s="1">
        <v>1137.0909118652301</v>
      </c>
    </row>
    <row r="323" spans="1:6" x14ac:dyDescent="0.15">
      <c r="A323" s="2">
        <v>44805</v>
      </c>
      <c r="B323" s="1" t="s">
        <v>10</v>
      </c>
      <c r="C323" s="1" t="s">
        <v>17</v>
      </c>
      <c r="D323" s="1">
        <v>57.25</v>
      </c>
      <c r="E323" s="1">
        <v>593.41155534060101</v>
      </c>
      <c r="F323" s="1">
        <v>2617</v>
      </c>
    </row>
    <row r="324" spans="1:6" x14ac:dyDescent="0.15">
      <c r="A324" s="2">
        <v>44805</v>
      </c>
      <c r="B324" s="1" t="s">
        <v>6</v>
      </c>
      <c r="C324" s="1" t="s">
        <v>17</v>
      </c>
      <c r="D324" s="1">
        <v>57.25</v>
      </c>
      <c r="E324" s="1">
        <v>593.41155534060101</v>
      </c>
      <c r="F324" s="1">
        <v>2617</v>
      </c>
    </row>
    <row r="325" spans="1:6" x14ac:dyDescent="0.15">
      <c r="A325" s="2">
        <v>44805</v>
      </c>
      <c r="B325" s="1" t="s">
        <v>12</v>
      </c>
      <c r="C325" s="1" t="s">
        <v>17</v>
      </c>
      <c r="D325" s="1">
        <v>57.25</v>
      </c>
      <c r="E325" s="1">
        <v>593.41155534060101</v>
      </c>
      <c r="F325" s="1">
        <v>2617</v>
      </c>
    </row>
    <row r="326" spans="1:6" x14ac:dyDescent="0.15">
      <c r="A326" s="2">
        <v>44805</v>
      </c>
      <c r="B326" s="1" t="s">
        <v>13</v>
      </c>
      <c r="C326" s="1" t="s">
        <v>17</v>
      </c>
      <c r="D326" s="1">
        <v>57.25</v>
      </c>
      <c r="E326" s="1">
        <v>593.41155534060101</v>
      </c>
      <c r="F326" s="1">
        <v>2617</v>
      </c>
    </row>
    <row r="327" spans="1:6" x14ac:dyDescent="0.15">
      <c r="A327" s="2">
        <v>44805</v>
      </c>
      <c r="B327" s="1" t="s">
        <v>14</v>
      </c>
      <c r="C327" s="1" t="s">
        <v>17</v>
      </c>
      <c r="D327" s="1">
        <v>57.25</v>
      </c>
      <c r="E327" s="1">
        <v>593.41155534060101</v>
      </c>
      <c r="F327" s="1">
        <v>2617</v>
      </c>
    </row>
    <row r="328" spans="1:6" x14ac:dyDescent="0.15">
      <c r="A328" s="2">
        <v>44682</v>
      </c>
      <c r="B328" s="1" t="s">
        <v>12</v>
      </c>
      <c r="C328" s="1" t="s">
        <v>15</v>
      </c>
      <c r="D328" s="1">
        <v>25</v>
      </c>
      <c r="E328" s="1">
        <v>191.68260371895599</v>
      </c>
      <c r="F328" s="1">
        <v>1756.73498535156</v>
      </c>
    </row>
    <row r="329" spans="1:6" x14ac:dyDescent="0.15">
      <c r="A329" s="2">
        <v>44682</v>
      </c>
      <c r="B329" s="1" t="s">
        <v>14</v>
      </c>
      <c r="C329" s="1" t="s">
        <v>15</v>
      </c>
      <c r="D329" s="1">
        <v>25</v>
      </c>
      <c r="E329" s="1">
        <v>191.68260371895599</v>
      </c>
      <c r="F329" s="1">
        <v>1756.73498535156</v>
      </c>
    </row>
    <row r="330" spans="1:6" x14ac:dyDescent="0.15">
      <c r="A330" s="2">
        <v>44682</v>
      </c>
      <c r="B330" s="1" t="s">
        <v>6</v>
      </c>
      <c r="C330" s="1" t="s">
        <v>15</v>
      </c>
      <c r="D330" s="1">
        <v>25</v>
      </c>
      <c r="E330" s="1">
        <v>191.68260371895599</v>
      </c>
      <c r="F330" s="1">
        <v>1756.73498535156</v>
      </c>
    </row>
    <row r="331" spans="1:6" x14ac:dyDescent="0.15">
      <c r="A331" s="2">
        <v>44682</v>
      </c>
      <c r="B331" s="1" t="s">
        <v>13</v>
      </c>
      <c r="C331" s="1" t="s">
        <v>15</v>
      </c>
      <c r="D331" s="1">
        <v>25</v>
      </c>
      <c r="E331" s="1">
        <v>191.68260371895599</v>
      </c>
      <c r="F331" s="1">
        <v>1756.73498535156</v>
      </c>
    </row>
    <row r="332" spans="1:6" x14ac:dyDescent="0.15">
      <c r="A332" s="2">
        <v>44682</v>
      </c>
      <c r="B332" s="1" t="s">
        <v>10</v>
      </c>
      <c r="C332" s="1" t="s">
        <v>15</v>
      </c>
      <c r="D332" s="1">
        <v>25</v>
      </c>
      <c r="E332" s="1">
        <v>191.68260371895599</v>
      </c>
      <c r="F332" s="1">
        <v>1756.73498535156</v>
      </c>
    </row>
    <row r="333" spans="1:6" x14ac:dyDescent="0.15">
      <c r="A333" s="3">
        <v>44896</v>
      </c>
      <c r="B333" s="1" t="s">
        <v>10</v>
      </c>
      <c r="C333" s="1" t="s">
        <v>16</v>
      </c>
      <c r="D333" s="1">
        <v>11.7281799316406</v>
      </c>
      <c r="E333" s="1">
        <v>61.382259017974597</v>
      </c>
      <c r="F333" s="1">
        <v>2039.04309082031</v>
      </c>
    </row>
    <row r="334" spans="1:6" x14ac:dyDescent="0.15">
      <c r="A334" s="3">
        <v>44896</v>
      </c>
      <c r="B334" s="1" t="s">
        <v>14</v>
      </c>
      <c r="C334" s="1" t="s">
        <v>16</v>
      </c>
      <c r="D334" s="1">
        <v>11.7281799316406</v>
      </c>
      <c r="E334" s="1">
        <v>61.382259017974597</v>
      </c>
      <c r="F334" s="1">
        <v>2039.04309082031</v>
      </c>
    </row>
    <row r="335" spans="1:6" x14ac:dyDescent="0.15">
      <c r="A335" s="3">
        <v>44896</v>
      </c>
      <c r="B335" s="1" t="s">
        <v>6</v>
      </c>
      <c r="C335" s="1" t="s">
        <v>16</v>
      </c>
      <c r="D335" s="1">
        <v>11.7281799316406</v>
      </c>
      <c r="E335" s="1">
        <v>61.382259017974597</v>
      </c>
      <c r="F335" s="1">
        <v>2039.04309082031</v>
      </c>
    </row>
    <row r="336" spans="1:6" x14ac:dyDescent="0.15">
      <c r="A336" s="3">
        <v>44896</v>
      </c>
      <c r="B336" s="1" t="s">
        <v>13</v>
      </c>
      <c r="C336" s="1" t="s">
        <v>16</v>
      </c>
      <c r="D336" s="1">
        <v>11.7281799316406</v>
      </c>
      <c r="E336" s="1">
        <v>61.382259017974597</v>
      </c>
      <c r="F336" s="1">
        <v>2039.04309082031</v>
      </c>
    </row>
    <row r="337" spans="1:6" x14ac:dyDescent="0.15">
      <c r="A337" s="3">
        <v>44896</v>
      </c>
      <c r="B337" s="1" t="s">
        <v>12</v>
      </c>
      <c r="C337" s="1" t="s">
        <v>16</v>
      </c>
      <c r="D337" s="1">
        <v>11.7281799316406</v>
      </c>
      <c r="E337" s="1">
        <v>61.382259017974597</v>
      </c>
      <c r="F337" s="1">
        <v>2039.04309082031</v>
      </c>
    </row>
    <row r="338" spans="1:6" x14ac:dyDescent="0.15">
      <c r="A338" s="2">
        <v>44774</v>
      </c>
      <c r="B338" s="1" t="s">
        <v>13</v>
      </c>
      <c r="C338" s="1" t="s">
        <v>22</v>
      </c>
      <c r="D338" s="1">
        <v>8</v>
      </c>
      <c r="E338" s="1">
        <v>108.568714154684</v>
      </c>
      <c r="F338" s="1">
        <v>838.5</v>
      </c>
    </row>
    <row r="339" spans="1:6" x14ac:dyDescent="0.15">
      <c r="A339" s="2">
        <v>44774</v>
      </c>
      <c r="B339" s="1" t="s">
        <v>10</v>
      </c>
      <c r="C339" s="1" t="s">
        <v>22</v>
      </c>
      <c r="D339" s="1">
        <v>8</v>
      </c>
      <c r="E339" s="1">
        <v>108.568714154684</v>
      </c>
      <c r="F339" s="1">
        <v>838.5</v>
      </c>
    </row>
    <row r="340" spans="1:6" x14ac:dyDescent="0.15">
      <c r="A340" s="2">
        <v>44774</v>
      </c>
      <c r="B340" s="1" t="s">
        <v>14</v>
      </c>
      <c r="C340" s="1" t="s">
        <v>22</v>
      </c>
      <c r="D340" s="1">
        <v>8</v>
      </c>
      <c r="E340" s="1">
        <v>108.568714154684</v>
      </c>
      <c r="F340" s="1">
        <v>838.5</v>
      </c>
    </row>
    <row r="341" spans="1:6" x14ac:dyDescent="0.15">
      <c r="A341" s="2">
        <v>44774</v>
      </c>
      <c r="B341" s="1" t="s">
        <v>6</v>
      </c>
      <c r="C341" s="1" t="s">
        <v>22</v>
      </c>
      <c r="D341" s="1">
        <v>8</v>
      </c>
      <c r="E341" s="1">
        <v>108.568714154684</v>
      </c>
      <c r="F341" s="1">
        <v>838.5</v>
      </c>
    </row>
    <row r="342" spans="1:6" x14ac:dyDescent="0.15">
      <c r="A342" s="2">
        <v>44774</v>
      </c>
      <c r="B342" s="1" t="s">
        <v>12</v>
      </c>
      <c r="C342" s="1" t="s">
        <v>22</v>
      </c>
      <c r="D342" s="1">
        <v>8</v>
      </c>
      <c r="E342" s="1">
        <v>108.568714154684</v>
      </c>
      <c r="F342" s="1">
        <v>838.5</v>
      </c>
    </row>
    <row r="343" spans="1:6" x14ac:dyDescent="0.15">
      <c r="A343" s="2">
        <v>44621</v>
      </c>
      <c r="B343" s="1" t="s">
        <v>12</v>
      </c>
      <c r="C343" s="1" t="s">
        <v>23</v>
      </c>
      <c r="D343" s="1">
        <v>41</v>
      </c>
      <c r="E343" s="1">
        <v>303.97195562621198</v>
      </c>
      <c r="F343" s="1">
        <v>2629.4423828125</v>
      </c>
    </row>
    <row r="344" spans="1:6" x14ac:dyDescent="0.15">
      <c r="A344" s="2">
        <v>44621</v>
      </c>
      <c r="B344" s="1" t="s">
        <v>6</v>
      </c>
      <c r="C344" s="1" t="s">
        <v>23</v>
      </c>
      <c r="D344" s="1">
        <v>41</v>
      </c>
      <c r="E344" s="1">
        <v>303.97195562621198</v>
      </c>
      <c r="F344" s="1">
        <v>2629.4423828125</v>
      </c>
    </row>
    <row r="345" spans="1:6" x14ac:dyDescent="0.15">
      <c r="A345" s="2">
        <v>44621</v>
      </c>
      <c r="B345" s="1" t="s">
        <v>10</v>
      </c>
      <c r="C345" s="1" t="s">
        <v>23</v>
      </c>
      <c r="D345" s="1">
        <v>41</v>
      </c>
      <c r="E345" s="1">
        <v>303.97195562621198</v>
      </c>
      <c r="F345" s="1">
        <v>2629.4423828125</v>
      </c>
    </row>
    <row r="346" spans="1:6" x14ac:dyDescent="0.15">
      <c r="A346" s="2">
        <v>44621</v>
      </c>
      <c r="B346" s="1" t="s">
        <v>13</v>
      </c>
      <c r="C346" s="1" t="s">
        <v>23</v>
      </c>
      <c r="D346" s="1">
        <v>41</v>
      </c>
      <c r="E346" s="1">
        <v>303.97195562621198</v>
      </c>
      <c r="F346" s="1">
        <v>2629.4423828125</v>
      </c>
    </row>
    <row r="347" spans="1:6" x14ac:dyDescent="0.15">
      <c r="A347" s="2">
        <v>44621</v>
      </c>
      <c r="B347" s="1" t="s">
        <v>14</v>
      </c>
      <c r="C347" s="1" t="s">
        <v>23</v>
      </c>
      <c r="D347" s="1">
        <v>41</v>
      </c>
      <c r="E347" s="1">
        <v>303.97195562621198</v>
      </c>
      <c r="F347" s="1">
        <v>2629.4423828125</v>
      </c>
    </row>
    <row r="348" spans="1:6" x14ac:dyDescent="0.15">
      <c r="A348" s="2">
        <v>44562</v>
      </c>
      <c r="B348" s="1" t="s">
        <v>14</v>
      </c>
      <c r="C348" s="1" t="s">
        <v>22</v>
      </c>
      <c r="D348" s="1">
        <v>13.168941497802701</v>
      </c>
      <c r="E348" s="1">
        <v>107.6703614483</v>
      </c>
      <c r="F348" s="1">
        <v>1175</v>
      </c>
    </row>
    <row r="349" spans="1:6" x14ac:dyDescent="0.15">
      <c r="A349" s="2">
        <v>44562</v>
      </c>
      <c r="B349" s="1" t="s">
        <v>6</v>
      </c>
      <c r="C349" s="1" t="s">
        <v>22</v>
      </c>
      <c r="D349" s="1">
        <v>13.168941497802701</v>
      </c>
      <c r="E349" s="1">
        <v>107.6703614483</v>
      </c>
      <c r="F349" s="1">
        <v>1175</v>
      </c>
    </row>
    <row r="350" spans="1:6" x14ac:dyDescent="0.15">
      <c r="A350" s="2">
        <v>44562</v>
      </c>
      <c r="B350" s="1" t="s">
        <v>13</v>
      </c>
      <c r="C350" s="1" t="s">
        <v>22</v>
      </c>
      <c r="D350" s="1">
        <v>13.168941497802701</v>
      </c>
      <c r="E350" s="1">
        <v>107.6703614483</v>
      </c>
      <c r="F350" s="1">
        <v>1175</v>
      </c>
    </row>
    <row r="351" spans="1:6" x14ac:dyDescent="0.15">
      <c r="A351" s="2">
        <v>44562</v>
      </c>
      <c r="B351" s="1" t="s">
        <v>10</v>
      </c>
      <c r="C351" s="1" t="s">
        <v>22</v>
      </c>
      <c r="D351" s="1">
        <v>13.168941497802701</v>
      </c>
      <c r="E351" s="1">
        <v>107.6703614483</v>
      </c>
      <c r="F351" s="1">
        <v>1175</v>
      </c>
    </row>
    <row r="352" spans="1:6" x14ac:dyDescent="0.15">
      <c r="A352" s="2">
        <v>44562</v>
      </c>
      <c r="B352" s="1" t="s">
        <v>12</v>
      </c>
      <c r="C352" s="1" t="s">
        <v>22</v>
      </c>
      <c r="D352" s="1">
        <v>13.168941497802701</v>
      </c>
      <c r="E352" s="1">
        <v>107.6703614483</v>
      </c>
      <c r="F352" s="1">
        <v>1175</v>
      </c>
    </row>
    <row r="353" spans="1:6" x14ac:dyDescent="0.15">
      <c r="A353" s="2">
        <v>44621</v>
      </c>
      <c r="B353" s="1" t="s">
        <v>12</v>
      </c>
      <c r="C353" s="1" t="s">
        <v>18</v>
      </c>
      <c r="D353" s="1">
        <v>16.045707702636701</v>
      </c>
      <c r="E353" s="1">
        <v>143.88338968446101</v>
      </c>
      <c r="F353" s="1">
        <v>1215</v>
      </c>
    </row>
    <row r="354" spans="1:6" x14ac:dyDescent="0.15">
      <c r="A354" s="2">
        <v>44621</v>
      </c>
      <c r="B354" s="1" t="s">
        <v>6</v>
      </c>
      <c r="C354" s="1" t="s">
        <v>18</v>
      </c>
      <c r="D354" s="1">
        <v>16.045707702636701</v>
      </c>
      <c r="E354" s="1">
        <v>143.88338968446101</v>
      </c>
      <c r="F354" s="1">
        <v>1215</v>
      </c>
    </row>
    <row r="355" spans="1:6" x14ac:dyDescent="0.15">
      <c r="A355" s="2">
        <v>44621</v>
      </c>
      <c r="B355" s="1" t="s">
        <v>10</v>
      </c>
      <c r="C355" s="1" t="s">
        <v>18</v>
      </c>
      <c r="D355" s="1">
        <v>16.045707702636701</v>
      </c>
      <c r="E355" s="1">
        <v>143.88338968446101</v>
      </c>
      <c r="F355" s="1">
        <v>1215</v>
      </c>
    </row>
    <row r="356" spans="1:6" x14ac:dyDescent="0.15">
      <c r="A356" s="2">
        <v>44621</v>
      </c>
      <c r="B356" s="1" t="s">
        <v>13</v>
      </c>
      <c r="C356" s="1" t="s">
        <v>18</v>
      </c>
      <c r="D356" s="1">
        <v>16.045707702636701</v>
      </c>
      <c r="E356" s="1">
        <v>143.88338968446101</v>
      </c>
      <c r="F356" s="1">
        <v>1215</v>
      </c>
    </row>
    <row r="357" spans="1:6" x14ac:dyDescent="0.15">
      <c r="A357" s="2">
        <v>44621</v>
      </c>
      <c r="B357" s="1" t="s">
        <v>14</v>
      </c>
      <c r="C357" s="1" t="s">
        <v>18</v>
      </c>
      <c r="D357" s="1">
        <v>16.045707702636701</v>
      </c>
      <c r="E357" s="1">
        <v>143.88338968446101</v>
      </c>
      <c r="F357" s="1">
        <v>1215</v>
      </c>
    </row>
    <row r="358" spans="1:6" x14ac:dyDescent="0.15">
      <c r="A358" s="3">
        <v>44531</v>
      </c>
      <c r="B358" s="1" t="s">
        <v>14</v>
      </c>
      <c r="C358" s="1" t="s">
        <v>7</v>
      </c>
      <c r="D358" s="1">
        <v>36.260005950927699</v>
      </c>
      <c r="E358" s="1">
        <v>255.22311342675999</v>
      </c>
      <c r="F358" s="1">
        <v>1375.5625</v>
      </c>
    </row>
    <row r="359" spans="1:6" x14ac:dyDescent="0.15">
      <c r="A359" s="3">
        <v>44531</v>
      </c>
      <c r="B359" s="1" t="s">
        <v>6</v>
      </c>
      <c r="C359" s="1" t="s">
        <v>7</v>
      </c>
      <c r="D359" s="1">
        <v>36.260005950927699</v>
      </c>
      <c r="E359" s="1">
        <v>255.22311342675999</v>
      </c>
      <c r="F359" s="1">
        <v>1375.5625</v>
      </c>
    </row>
    <row r="360" spans="1:6" x14ac:dyDescent="0.15">
      <c r="A360" s="3">
        <v>44531</v>
      </c>
      <c r="B360" s="1" t="s">
        <v>10</v>
      </c>
      <c r="C360" s="1" t="s">
        <v>7</v>
      </c>
      <c r="D360" s="1">
        <v>36.260005950927699</v>
      </c>
      <c r="E360" s="1">
        <v>255.22311342675999</v>
      </c>
      <c r="F360" s="1">
        <v>1375.5625</v>
      </c>
    </row>
    <row r="361" spans="1:6" x14ac:dyDescent="0.15">
      <c r="A361" s="3">
        <v>44531</v>
      </c>
      <c r="B361" s="1" t="s">
        <v>12</v>
      </c>
      <c r="C361" s="1" t="s">
        <v>7</v>
      </c>
      <c r="D361" s="1">
        <v>36.260005950927699</v>
      </c>
      <c r="E361" s="1">
        <v>255.22311342675999</v>
      </c>
      <c r="F361" s="1">
        <v>1375.5625</v>
      </c>
    </row>
    <row r="362" spans="1:6" x14ac:dyDescent="0.15">
      <c r="A362" s="3">
        <v>44531</v>
      </c>
      <c r="B362" s="1" t="s">
        <v>13</v>
      </c>
      <c r="C362" s="1" t="s">
        <v>7</v>
      </c>
      <c r="D362" s="1">
        <v>36.260005950927699</v>
      </c>
      <c r="E362" s="1">
        <v>255.22311342675999</v>
      </c>
      <c r="F362" s="1">
        <v>1375.5625</v>
      </c>
    </row>
    <row r="363" spans="1:6" x14ac:dyDescent="0.15">
      <c r="A363" s="2">
        <v>44958</v>
      </c>
      <c r="B363" s="1" t="s">
        <v>10</v>
      </c>
      <c r="C363" s="1" t="s">
        <v>15</v>
      </c>
      <c r="D363" s="1">
        <v>25</v>
      </c>
      <c r="E363" s="1">
        <v>218.13960382753299</v>
      </c>
      <c r="F363" s="1">
        <v>1820</v>
      </c>
    </row>
    <row r="364" spans="1:6" x14ac:dyDescent="0.15">
      <c r="A364" s="2">
        <v>44958</v>
      </c>
      <c r="B364" s="1" t="s">
        <v>14</v>
      </c>
      <c r="C364" s="1" t="s">
        <v>15</v>
      </c>
      <c r="D364" s="1">
        <v>25</v>
      </c>
      <c r="E364" s="1">
        <v>218.13960382753299</v>
      </c>
      <c r="F364" s="1">
        <v>1820</v>
      </c>
    </row>
    <row r="365" spans="1:6" x14ac:dyDescent="0.15">
      <c r="A365" s="2">
        <v>44958</v>
      </c>
      <c r="B365" s="1" t="s">
        <v>12</v>
      </c>
      <c r="C365" s="1" t="s">
        <v>15</v>
      </c>
      <c r="D365" s="1">
        <v>25</v>
      </c>
      <c r="E365" s="1">
        <v>218.13960382753299</v>
      </c>
      <c r="F365" s="1">
        <v>1820</v>
      </c>
    </row>
    <row r="366" spans="1:6" x14ac:dyDescent="0.15">
      <c r="A366" s="2">
        <v>44958</v>
      </c>
      <c r="B366" s="1" t="s">
        <v>6</v>
      </c>
      <c r="C366" s="1" t="s">
        <v>15</v>
      </c>
      <c r="D366" s="1">
        <v>25</v>
      </c>
      <c r="E366" s="1">
        <v>218.13960382753299</v>
      </c>
      <c r="F366" s="1">
        <v>1820</v>
      </c>
    </row>
    <row r="367" spans="1:6" x14ac:dyDescent="0.15">
      <c r="A367" s="2">
        <v>44958</v>
      </c>
      <c r="B367" s="1" t="s">
        <v>13</v>
      </c>
      <c r="C367" s="1" t="s">
        <v>15</v>
      </c>
      <c r="D367" s="1">
        <v>25</v>
      </c>
      <c r="E367" s="1">
        <v>218.13960382753299</v>
      </c>
      <c r="F367" s="1">
        <v>1820</v>
      </c>
    </row>
    <row r="368" spans="1:6" x14ac:dyDescent="0.15">
      <c r="A368" s="2">
        <v>44713</v>
      </c>
      <c r="B368" s="1" t="s">
        <v>6</v>
      </c>
      <c r="C368" s="1" t="s">
        <v>17</v>
      </c>
      <c r="D368" s="1">
        <v>58</v>
      </c>
      <c r="E368" s="1">
        <v>591.44352256288198</v>
      </c>
      <c r="F368" s="1">
        <v>2550.5</v>
      </c>
    </row>
    <row r="369" spans="1:6" x14ac:dyDescent="0.15">
      <c r="A369" s="2">
        <v>44713</v>
      </c>
      <c r="B369" s="1" t="s">
        <v>12</v>
      </c>
      <c r="C369" s="1" t="s">
        <v>17</v>
      </c>
      <c r="D369" s="1">
        <v>58</v>
      </c>
      <c r="E369" s="1">
        <v>591.44352256288198</v>
      </c>
      <c r="F369" s="1">
        <v>2550.5</v>
      </c>
    </row>
    <row r="370" spans="1:6" x14ac:dyDescent="0.15">
      <c r="A370" s="2">
        <v>44713</v>
      </c>
      <c r="B370" s="1" t="s">
        <v>14</v>
      </c>
      <c r="C370" s="1" t="s">
        <v>17</v>
      </c>
      <c r="D370" s="1">
        <v>58</v>
      </c>
      <c r="E370" s="1">
        <v>591.44352256288198</v>
      </c>
      <c r="F370" s="1">
        <v>2550.5</v>
      </c>
    </row>
    <row r="371" spans="1:6" x14ac:dyDescent="0.15">
      <c r="A371" s="2">
        <v>44713</v>
      </c>
      <c r="B371" s="1" t="s">
        <v>13</v>
      </c>
      <c r="C371" s="1" t="s">
        <v>17</v>
      </c>
      <c r="D371" s="1">
        <v>58</v>
      </c>
      <c r="E371" s="1">
        <v>591.44352256288198</v>
      </c>
      <c r="F371" s="1">
        <v>2550.5</v>
      </c>
    </row>
    <row r="372" spans="1:6" x14ac:dyDescent="0.15">
      <c r="A372" s="2">
        <v>44713</v>
      </c>
      <c r="B372" s="1" t="s">
        <v>10</v>
      </c>
      <c r="C372" s="1" t="s">
        <v>17</v>
      </c>
      <c r="D372" s="1">
        <v>58</v>
      </c>
      <c r="E372" s="1">
        <v>591.44352256288198</v>
      </c>
      <c r="F372" s="1">
        <v>2550.5</v>
      </c>
    </row>
    <row r="373" spans="1:6" x14ac:dyDescent="0.15">
      <c r="A373" s="2">
        <v>44805</v>
      </c>
      <c r="B373" s="1" t="s">
        <v>10</v>
      </c>
      <c r="C373" s="1" t="s">
        <v>23</v>
      </c>
      <c r="D373" s="1">
        <v>41</v>
      </c>
      <c r="E373" s="1">
        <v>330.00684920484002</v>
      </c>
      <c r="F373" s="1">
        <v>1403.5</v>
      </c>
    </row>
    <row r="374" spans="1:6" x14ac:dyDescent="0.15">
      <c r="A374" s="2">
        <v>44805</v>
      </c>
      <c r="B374" s="1" t="s">
        <v>6</v>
      </c>
      <c r="C374" s="1" t="s">
        <v>23</v>
      </c>
      <c r="D374" s="1">
        <v>41</v>
      </c>
      <c r="E374" s="1">
        <v>330.00684920484002</v>
      </c>
      <c r="F374" s="1">
        <v>1403.5</v>
      </c>
    </row>
    <row r="375" spans="1:6" x14ac:dyDescent="0.15">
      <c r="A375" s="2">
        <v>44805</v>
      </c>
      <c r="B375" s="1" t="s">
        <v>12</v>
      </c>
      <c r="C375" s="1" t="s">
        <v>23</v>
      </c>
      <c r="D375" s="1">
        <v>41</v>
      </c>
      <c r="E375" s="1">
        <v>330.00684920484002</v>
      </c>
      <c r="F375" s="1">
        <v>1403.5</v>
      </c>
    </row>
    <row r="376" spans="1:6" x14ac:dyDescent="0.15">
      <c r="A376" s="2">
        <v>44805</v>
      </c>
      <c r="B376" s="1" t="s">
        <v>13</v>
      </c>
      <c r="C376" s="1" t="s">
        <v>23</v>
      </c>
      <c r="D376" s="1">
        <v>41</v>
      </c>
      <c r="E376" s="1">
        <v>330.00684920484002</v>
      </c>
      <c r="F376" s="1">
        <v>1403.5</v>
      </c>
    </row>
    <row r="377" spans="1:6" x14ac:dyDescent="0.15">
      <c r="A377" s="2">
        <v>44805</v>
      </c>
      <c r="B377" s="1" t="s">
        <v>14</v>
      </c>
      <c r="C377" s="1" t="s">
        <v>23</v>
      </c>
      <c r="D377" s="1">
        <v>41</v>
      </c>
      <c r="E377" s="1">
        <v>330.00684920484002</v>
      </c>
      <c r="F377" s="1">
        <v>1403.5</v>
      </c>
    </row>
    <row r="378" spans="1:6" x14ac:dyDescent="0.15">
      <c r="A378" s="2">
        <v>44593</v>
      </c>
      <c r="B378" s="1" t="s">
        <v>10</v>
      </c>
      <c r="C378" s="1" t="s">
        <v>19</v>
      </c>
      <c r="D378" s="1">
        <v>52</v>
      </c>
      <c r="E378" s="1">
        <v>420.85933472027801</v>
      </c>
      <c r="F378" s="1">
        <v>1736.5</v>
      </c>
    </row>
    <row r="379" spans="1:6" x14ac:dyDescent="0.15">
      <c r="A379" s="2">
        <v>44593</v>
      </c>
      <c r="B379" s="1" t="s">
        <v>6</v>
      </c>
      <c r="C379" s="1" t="s">
        <v>19</v>
      </c>
      <c r="D379" s="1">
        <v>52</v>
      </c>
      <c r="E379" s="1">
        <v>420.85933472027801</v>
      </c>
      <c r="F379" s="1">
        <v>1736.5</v>
      </c>
    </row>
    <row r="380" spans="1:6" x14ac:dyDescent="0.15">
      <c r="A380" s="2">
        <v>44593</v>
      </c>
      <c r="B380" s="1" t="s">
        <v>12</v>
      </c>
      <c r="C380" s="1" t="s">
        <v>19</v>
      </c>
      <c r="D380" s="1">
        <v>52</v>
      </c>
      <c r="E380" s="1">
        <v>420.85933472027801</v>
      </c>
      <c r="F380" s="1">
        <v>1736.5</v>
      </c>
    </row>
    <row r="381" spans="1:6" x14ac:dyDescent="0.15">
      <c r="A381" s="2">
        <v>44593</v>
      </c>
      <c r="B381" s="1" t="s">
        <v>14</v>
      </c>
      <c r="C381" s="1" t="s">
        <v>19</v>
      </c>
      <c r="D381" s="1">
        <v>52</v>
      </c>
      <c r="E381" s="1">
        <v>420.85933472027801</v>
      </c>
      <c r="F381" s="1">
        <v>1736.5</v>
      </c>
    </row>
    <row r="382" spans="1:6" x14ac:dyDescent="0.15">
      <c r="A382" s="2">
        <v>44593</v>
      </c>
      <c r="B382" s="1" t="s">
        <v>13</v>
      </c>
      <c r="C382" s="1" t="s">
        <v>19</v>
      </c>
      <c r="D382" s="1">
        <v>52</v>
      </c>
      <c r="E382" s="1">
        <v>420.85933472027801</v>
      </c>
      <c r="F382" s="1">
        <v>1736.5</v>
      </c>
    </row>
    <row r="383" spans="1:6" x14ac:dyDescent="0.15">
      <c r="A383" s="2">
        <v>44958</v>
      </c>
      <c r="B383" s="1" t="s">
        <v>10</v>
      </c>
      <c r="C383" s="1" t="s">
        <v>16</v>
      </c>
      <c r="D383" s="1">
        <v>13.5487470626831</v>
      </c>
      <c r="E383" s="1">
        <v>82.441619359259306</v>
      </c>
      <c r="F383" s="1">
        <v>1820</v>
      </c>
    </row>
    <row r="384" spans="1:6" x14ac:dyDescent="0.15">
      <c r="A384" s="2">
        <v>44958</v>
      </c>
      <c r="B384" s="1" t="s">
        <v>14</v>
      </c>
      <c r="C384" s="1" t="s">
        <v>16</v>
      </c>
      <c r="D384" s="1">
        <v>13.5487470626831</v>
      </c>
      <c r="E384" s="1">
        <v>82.441619359259306</v>
      </c>
      <c r="F384" s="1">
        <v>1820</v>
      </c>
    </row>
    <row r="385" spans="1:6" x14ac:dyDescent="0.15">
      <c r="A385" s="2">
        <v>44958</v>
      </c>
      <c r="B385" s="1" t="s">
        <v>12</v>
      </c>
      <c r="C385" s="1" t="s">
        <v>16</v>
      </c>
      <c r="D385" s="1">
        <v>13.5487470626831</v>
      </c>
      <c r="E385" s="1">
        <v>82.441619359259306</v>
      </c>
      <c r="F385" s="1">
        <v>1820</v>
      </c>
    </row>
    <row r="386" spans="1:6" x14ac:dyDescent="0.15">
      <c r="A386" s="2">
        <v>44958</v>
      </c>
      <c r="B386" s="1" t="s">
        <v>6</v>
      </c>
      <c r="C386" s="1" t="s">
        <v>16</v>
      </c>
      <c r="D386" s="1">
        <v>13.5487470626831</v>
      </c>
      <c r="E386" s="1">
        <v>82.441619359259306</v>
      </c>
      <c r="F386" s="1">
        <v>1820</v>
      </c>
    </row>
    <row r="387" spans="1:6" x14ac:dyDescent="0.15">
      <c r="A387" s="2">
        <v>44958</v>
      </c>
      <c r="B387" s="1" t="s">
        <v>13</v>
      </c>
      <c r="C387" s="1" t="s">
        <v>16</v>
      </c>
      <c r="D387" s="1">
        <v>13.5487470626831</v>
      </c>
      <c r="E387" s="1">
        <v>82.441619359259306</v>
      </c>
      <c r="F387" s="1">
        <v>1820</v>
      </c>
    </row>
    <row r="388" spans="1:6" x14ac:dyDescent="0.15">
      <c r="A388" s="3">
        <v>44835</v>
      </c>
      <c r="B388" s="1" t="s">
        <v>12</v>
      </c>
      <c r="C388" s="1" t="s">
        <v>18</v>
      </c>
      <c r="D388" s="1">
        <v>16.045707702636701</v>
      </c>
      <c r="E388" s="1">
        <v>156.58611877041599</v>
      </c>
      <c r="F388" s="1">
        <v>765</v>
      </c>
    </row>
    <row r="389" spans="1:6" x14ac:dyDescent="0.15">
      <c r="A389" s="3">
        <v>44835</v>
      </c>
      <c r="B389" s="1" t="s">
        <v>6</v>
      </c>
      <c r="C389" s="1" t="s">
        <v>18</v>
      </c>
      <c r="D389" s="1">
        <v>16.045707702636701</v>
      </c>
      <c r="E389" s="1">
        <v>156.58611877041599</v>
      </c>
      <c r="F389" s="1">
        <v>765</v>
      </c>
    </row>
    <row r="390" spans="1:6" x14ac:dyDescent="0.15">
      <c r="A390" s="3">
        <v>44835</v>
      </c>
      <c r="B390" s="1" t="s">
        <v>13</v>
      </c>
      <c r="C390" s="1" t="s">
        <v>18</v>
      </c>
      <c r="D390" s="1">
        <v>16.045707702636701</v>
      </c>
      <c r="E390" s="1">
        <v>156.58611877041599</v>
      </c>
      <c r="F390" s="1">
        <v>765</v>
      </c>
    </row>
    <row r="391" spans="1:6" x14ac:dyDescent="0.15">
      <c r="A391" s="3">
        <v>44835</v>
      </c>
      <c r="B391" s="1" t="s">
        <v>14</v>
      </c>
      <c r="C391" s="1" t="s">
        <v>18</v>
      </c>
      <c r="D391" s="1">
        <v>16.045707702636701</v>
      </c>
      <c r="E391" s="1">
        <v>156.58611877041599</v>
      </c>
      <c r="F391" s="1">
        <v>765</v>
      </c>
    </row>
    <row r="392" spans="1:6" x14ac:dyDescent="0.15">
      <c r="A392" s="3">
        <v>44835</v>
      </c>
      <c r="B392" s="1" t="s">
        <v>10</v>
      </c>
      <c r="C392" s="1" t="s">
        <v>18</v>
      </c>
      <c r="D392" s="1">
        <v>16.045707702636701</v>
      </c>
      <c r="E392" s="1">
        <v>156.58611877041599</v>
      </c>
      <c r="F392" s="1">
        <v>765</v>
      </c>
    </row>
    <row r="393" spans="1:6" x14ac:dyDescent="0.15">
      <c r="A393" s="3">
        <v>44866</v>
      </c>
      <c r="B393" s="1" t="s">
        <v>13</v>
      </c>
      <c r="C393" s="1" t="s">
        <v>22</v>
      </c>
      <c r="D393" s="1">
        <v>13.168941497802701</v>
      </c>
      <c r="E393" s="1">
        <v>95.622567687908301</v>
      </c>
      <c r="F393" s="1">
        <v>1164</v>
      </c>
    </row>
    <row r="394" spans="1:6" x14ac:dyDescent="0.15">
      <c r="A394" s="3">
        <v>44866</v>
      </c>
      <c r="B394" s="1" t="s">
        <v>12</v>
      </c>
      <c r="C394" s="1" t="s">
        <v>22</v>
      </c>
      <c r="D394" s="1">
        <v>13.168941497802701</v>
      </c>
      <c r="E394" s="1">
        <v>95.622567687908301</v>
      </c>
      <c r="F394" s="1">
        <v>1164</v>
      </c>
    </row>
    <row r="395" spans="1:6" x14ac:dyDescent="0.15">
      <c r="A395" s="3">
        <v>44866</v>
      </c>
      <c r="B395" s="1" t="s">
        <v>6</v>
      </c>
      <c r="C395" s="1" t="s">
        <v>22</v>
      </c>
      <c r="D395" s="1">
        <v>13.168941497802701</v>
      </c>
      <c r="E395" s="1">
        <v>95.622567687908301</v>
      </c>
      <c r="F395" s="1">
        <v>1164</v>
      </c>
    </row>
    <row r="396" spans="1:6" x14ac:dyDescent="0.15">
      <c r="A396" s="3">
        <v>44866</v>
      </c>
      <c r="B396" s="1" t="s">
        <v>10</v>
      </c>
      <c r="C396" s="1" t="s">
        <v>22</v>
      </c>
      <c r="D396" s="1">
        <v>13.168941497802701</v>
      </c>
      <c r="E396" s="1">
        <v>95.622567687908301</v>
      </c>
      <c r="F396" s="1">
        <v>1164</v>
      </c>
    </row>
    <row r="397" spans="1:6" x14ac:dyDescent="0.15">
      <c r="A397" s="3">
        <v>44866</v>
      </c>
      <c r="B397" s="1" t="s">
        <v>14</v>
      </c>
      <c r="C397" s="1" t="s">
        <v>22</v>
      </c>
      <c r="D397" s="1">
        <v>13.168941497802701</v>
      </c>
      <c r="E397" s="1">
        <v>95.622567687908301</v>
      </c>
      <c r="F397" s="1">
        <v>1164</v>
      </c>
    </row>
    <row r="398" spans="1:6" x14ac:dyDescent="0.15">
      <c r="A398" s="2">
        <v>44774</v>
      </c>
      <c r="B398" s="1" t="s">
        <v>13</v>
      </c>
      <c r="C398" s="1" t="s">
        <v>11</v>
      </c>
      <c r="D398" s="1">
        <v>29</v>
      </c>
      <c r="E398" s="1">
        <v>219.431937918823</v>
      </c>
      <c r="F398" s="1">
        <v>1972.16784667968</v>
      </c>
    </row>
    <row r="399" spans="1:6" x14ac:dyDescent="0.15">
      <c r="A399" s="2">
        <v>44774</v>
      </c>
      <c r="B399" s="1" t="s">
        <v>10</v>
      </c>
      <c r="C399" s="1" t="s">
        <v>11</v>
      </c>
      <c r="D399" s="1">
        <v>29</v>
      </c>
      <c r="E399" s="1">
        <v>219.431937918823</v>
      </c>
      <c r="F399" s="1">
        <v>1972.16784667968</v>
      </c>
    </row>
    <row r="400" spans="1:6" x14ac:dyDescent="0.15">
      <c r="A400" s="2">
        <v>44774</v>
      </c>
      <c r="B400" s="1" t="s">
        <v>14</v>
      </c>
      <c r="C400" s="1" t="s">
        <v>11</v>
      </c>
      <c r="D400" s="1">
        <v>29</v>
      </c>
      <c r="E400" s="1">
        <v>219.431937918823</v>
      </c>
      <c r="F400" s="1">
        <v>1972.16784667968</v>
      </c>
    </row>
    <row r="401" spans="1:6" x14ac:dyDescent="0.15">
      <c r="A401" s="2">
        <v>44774</v>
      </c>
      <c r="B401" s="1" t="s">
        <v>6</v>
      </c>
      <c r="C401" s="1" t="s">
        <v>11</v>
      </c>
      <c r="D401" s="1">
        <v>29</v>
      </c>
      <c r="E401" s="1">
        <v>219.431937918823</v>
      </c>
      <c r="F401" s="1">
        <v>1972.16784667968</v>
      </c>
    </row>
    <row r="402" spans="1:6" x14ac:dyDescent="0.15">
      <c r="A402" s="2">
        <v>44774</v>
      </c>
      <c r="B402" s="1" t="s">
        <v>12</v>
      </c>
      <c r="C402" s="1" t="s">
        <v>11</v>
      </c>
      <c r="D402" s="1">
        <v>29</v>
      </c>
      <c r="E402" s="1">
        <v>219.431937918823</v>
      </c>
      <c r="F402" s="1">
        <v>1972.16784667968</v>
      </c>
    </row>
    <row r="403" spans="1:6" x14ac:dyDescent="0.15">
      <c r="A403" s="2">
        <v>44652</v>
      </c>
      <c r="B403" s="1" t="s">
        <v>13</v>
      </c>
      <c r="C403" s="1" t="s">
        <v>24</v>
      </c>
      <c r="D403" s="1">
        <v>37</v>
      </c>
      <c r="E403" s="1">
        <v>277.557165158185</v>
      </c>
      <c r="F403" s="1">
        <v>2440.46215820312</v>
      </c>
    </row>
    <row r="404" spans="1:6" x14ac:dyDescent="0.15">
      <c r="A404" s="2">
        <v>44652</v>
      </c>
      <c r="B404" s="1" t="s">
        <v>6</v>
      </c>
      <c r="C404" s="1" t="s">
        <v>24</v>
      </c>
      <c r="D404" s="1">
        <v>37</v>
      </c>
      <c r="E404" s="1">
        <v>277.557165158185</v>
      </c>
      <c r="F404" s="1">
        <v>2440.46215820312</v>
      </c>
    </row>
    <row r="405" spans="1:6" x14ac:dyDescent="0.15">
      <c r="A405" s="2">
        <v>44652</v>
      </c>
      <c r="B405" s="1" t="s">
        <v>12</v>
      </c>
      <c r="C405" s="1" t="s">
        <v>24</v>
      </c>
      <c r="D405" s="1">
        <v>37</v>
      </c>
      <c r="E405" s="1">
        <v>277.557165158185</v>
      </c>
      <c r="F405" s="1">
        <v>2440.46215820312</v>
      </c>
    </row>
    <row r="406" spans="1:6" x14ac:dyDescent="0.15">
      <c r="A406" s="2">
        <v>44652</v>
      </c>
      <c r="B406" s="1" t="s">
        <v>10</v>
      </c>
      <c r="C406" s="1" t="s">
        <v>24</v>
      </c>
      <c r="D406" s="1">
        <v>37</v>
      </c>
      <c r="E406" s="1">
        <v>277.557165158185</v>
      </c>
      <c r="F406" s="1">
        <v>2440.46215820312</v>
      </c>
    </row>
    <row r="407" spans="1:6" x14ac:dyDescent="0.15">
      <c r="A407" s="2">
        <v>44652</v>
      </c>
      <c r="B407" s="1" t="s">
        <v>14</v>
      </c>
      <c r="C407" s="1" t="s">
        <v>24</v>
      </c>
      <c r="D407" s="1">
        <v>37</v>
      </c>
      <c r="E407" s="1">
        <v>277.557165158185</v>
      </c>
      <c r="F407" s="1">
        <v>2440.46215820312</v>
      </c>
    </row>
    <row r="408" spans="1:6" x14ac:dyDescent="0.15">
      <c r="A408" s="2">
        <v>44805</v>
      </c>
      <c r="B408" s="1" t="s">
        <v>10</v>
      </c>
      <c r="C408" s="1" t="s">
        <v>19</v>
      </c>
      <c r="D408" s="1">
        <v>52</v>
      </c>
      <c r="E408" s="1">
        <v>469.98980034848603</v>
      </c>
      <c r="F408" s="1">
        <v>2080</v>
      </c>
    </row>
    <row r="409" spans="1:6" x14ac:dyDescent="0.15">
      <c r="A409" s="2">
        <v>44805</v>
      </c>
      <c r="B409" s="1" t="s">
        <v>6</v>
      </c>
      <c r="C409" s="1" t="s">
        <v>19</v>
      </c>
      <c r="D409" s="1">
        <v>52</v>
      </c>
      <c r="E409" s="1">
        <v>469.98980034848603</v>
      </c>
      <c r="F409" s="1">
        <v>2080</v>
      </c>
    </row>
    <row r="410" spans="1:6" x14ac:dyDescent="0.15">
      <c r="A410" s="2">
        <v>44805</v>
      </c>
      <c r="B410" s="1" t="s">
        <v>12</v>
      </c>
      <c r="C410" s="1" t="s">
        <v>19</v>
      </c>
      <c r="D410" s="1">
        <v>52</v>
      </c>
      <c r="E410" s="1">
        <v>469.98980034848603</v>
      </c>
      <c r="F410" s="1">
        <v>2080</v>
      </c>
    </row>
    <row r="411" spans="1:6" x14ac:dyDescent="0.15">
      <c r="A411" s="2">
        <v>44805</v>
      </c>
      <c r="B411" s="1" t="s">
        <v>13</v>
      </c>
      <c r="C411" s="1" t="s">
        <v>19</v>
      </c>
      <c r="D411" s="1">
        <v>52</v>
      </c>
      <c r="E411" s="1">
        <v>469.98980034848603</v>
      </c>
      <c r="F411" s="1">
        <v>2080</v>
      </c>
    </row>
    <row r="412" spans="1:6" x14ac:dyDescent="0.15">
      <c r="A412" s="2">
        <v>44805</v>
      </c>
      <c r="B412" s="1" t="s">
        <v>14</v>
      </c>
      <c r="C412" s="1" t="s">
        <v>19</v>
      </c>
      <c r="D412" s="1">
        <v>52</v>
      </c>
      <c r="E412" s="1">
        <v>469.98980034848603</v>
      </c>
      <c r="F412" s="1">
        <v>2080</v>
      </c>
    </row>
    <row r="413" spans="1:6" x14ac:dyDescent="0.15">
      <c r="A413" s="2">
        <v>44927</v>
      </c>
      <c r="B413" s="1" t="s">
        <v>13</v>
      </c>
      <c r="C413" s="1" t="s">
        <v>20</v>
      </c>
      <c r="D413" s="1">
        <v>4.9567809104919398</v>
      </c>
      <c r="E413" s="1">
        <v>99.796261462590707</v>
      </c>
      <c r="F413" s="1">
        <v>3760</v>
      </c>
    </row>
    <row r="414" spans="1:6" x14ac:dyDescent="0.15">
      <c r="A414" s="2">
        <v>44927</v>
      </c>
      <c r="B414" s="1" t="s">
        <v>10</v>
      </c>
      <c r="C414" s="1" t="s">
        <v>20</v>
      </c>
      <c r="D414" s="1">
        <v>4.9567809104919398</v>
      </c>
      <c r="E414" s="1">
        <v>99.796261462590707</v>
      </c>
      <c r="F414" s="1">
        <v>3760</v>
      </c>
    </row>
    <row r="415" spans="1:6" x14ac:dyDescent="0.15">
      <c r="A415" s="2">
        <v>44927</v>
      </c>
      <c r="B415" s="1" t="s">
        <v>6</v>
      </c>
      <c r="C415" s="1" t="s">
        <v>20</v>
      </c>
      <c r="D415" s="1">
        <v>4.9567809104919398</v>
      </c>
      <c r="E415" s="1">
        <v>99.796261462590707</v>
      </c>
      <c r="F415" s="1">
        <v>3760</v>
      </c>
    </row>
    <row r="416" spans="1:6" x14ac:dyDescent="0.15">
      <c r="A416" s="2">
        <v>44927</v>
      </c>
      <c r="B416" s="1" t="s">
        <v>14</v>
      </c>
      <c r="C416" s="1" t="s">
        <v>20</v>
      </c>
      <c r="D416" s="1">
        <v>4.9567809104919398</v>
      </c>
      <c r="E416" s="1">
        <v>99.796261462590707</v>
      </c>
      <c r="F416" s="1">
        <v>3760</v>
      </c>
    </row>
    <row r="417" spans="1:6" x14ac:dyDescent="0.15">
      <c r="A417" s="2">
        <v>44927</v>
      </c>
      <c r="B417" s="1" t="s">
        <v>12</v>
      </c>
      <c r="C417" s="1" t="s">
        <v>20</v>
      </c>
      <c r="D417" s="1">
        <v>4.9567809104919398</v>
      </c>
      <c r="E417" s="1">
        <v>99.796261462590707</v>
      </c>
      <c r="F417" s="1">
        <v>3760</v>
      </c>
    </row>
    <row r="418" spans="1:6" x14ac:dyDescent="0.15">
      <c r="A418" s="2">
        <v>44927</v>
      </c>
      <c r="B418" s="1" t="s">
        <v>13</v>
      </c>
      <c r="C418" s="1" t="s">
        <v>23</v>
      </c>
      <c r="D418" s="1">
        <v>41</v>
      </c>
      <c r="E418" s="1">
        <v>369.53725910721698</v>
      </c>
      <c r="F418" s="1">
        <v>3760</v>
      </c>
    </row>
    <row r="419" spans="1:6" x14ac:dyDescent="0.15">
      <c r="A419" s="2">
        <v>44927</v>
      </c>
      <c r="B419" s="1" t="s">
        <v>10</v>
      </c>
      <c r="C419" s="1" t="s">
        <v>23</v>
      </c>
      <c r="D419" s="1">
        <v>41</v>
      </c>
      <c r="E419" s="1">
        <v>369.53725910721698</v>
      </c>
      <c r="F419" s="1">
        <v>3760</v>
      </c>
    </row>
    <row r="420" spans="1:6" x14ac:dyDescent="0.15">
      <c r="A420" s="2">
        <v>44927</v>
      </c>
      <c r="B420" s="1" t="s">
        <v>6</v>
      </c>
      <c r="C420" s="1" t="s">
        <v>23</v>
      </c>
      <c r="D420" s="1">
        <v>41</v>
      </c>
      <c r="E420" s="1">
        <v>369.53725910721698</v>
      </c>
      <c r="F420" s="1">
        <v>3760</v>
      </c>
    </row>
    <row r="421" spans="1:6" x14ac:dyDescent="0.15">
      <c r="A421" s="2">
        <v>44927</v>
      </c>
      <c r="B421" s="1" t="s">
        <v>14</v>
      </c>
      <c r="C421" s="1" t="s">
        <v>23</v>
      </c>
      <c r="D421" s="1">
        <v>41</v>
      </c>
      <c r="E421" s="1">
        <v>369.53725910721698</v>
      </c>
      <c r="F421" s="1">
        <v>3760</v>
      </c>
    </row>
    <row r="422" spans="1:6" x14ac:dyDescent="0.15">
      <c r="A422" s="2">
        <v>44927</v>
      </c>
      <c r="B422" s="1" t="s">
        <v>12</v>
      </c>
      <c r="C422" s="1" t="s">
        <v>23</v>
      </c>
      <c r="D422" s="1">
        <v>41</v>
      </c>
      <c r="E422" s="1">
        <v>369.53725910721698</v>
      </c>
      <c r="F422" s="1">
        <v>3760</v>
      </c>
    </row>
    <row r="423" spans="1:6" x14ac:dyDescent="0.15">
      <c r="A423" s="2">
        <v>44652</v>
      </c>
      <c r="B423" s="1" t="s">
        <v>13</v>
      </c>
      <c r="C423" s="1" t="s">
        <v>11</v>
      </c>
      <c r="D423" s="1">
        <v>29</v>
      </c>
      <c r="E423" s="1">
        <v>215.36690876782501</v>
      </c>
      <c r="F423" s="1">
        <v>1972.16784667968</v>
      </c>
    </row>
    <row r="424" spans="1:6" x14ac:dyDescent="0.15">
      <c r="A424" s="2">
        <v>44652</v>
      </c>
      <c r="B424" s="1" t="s">
        <v>6</v>
      </c>
      <c r="C424" s="1" t="s">
        <v>11</v>
      </c>
      <c r="D424" s="1">
        <v>29</v>
      </c>
      <c r="E424" s="1">
        <v>215.36690876782501</v>
      </c>
      <c r="F424" s="1">
        <v>1972.16784667968</v>
      </c>
    </row>
    <row r="425" spans="1:6" x14ac:dyDescent="0.15">
      <c r="A425" s="2">
        <v>44652</v>
      </c>
      <c r="B425" s="1" t="s">
        <v>12</v>
      </c>
      <c r="C425" s="1" t="s">
        <v>11</v>
      </c>
      <c r="D425" s="1">
        <v>29</v>
      </c>
      <c r="E425" s="1">
        <v>215.36690876782501</v>
      </c>
      <c r="F425" s="1">
        <v>1972.16784667968</v>
      </c>
    </row>
    <row r="426" spans="1:6" x14ac:dyDescent="0.15">
      <c r="A426" s="2">
        <v>44652</v>
      </c>
      <c r="B426" s="1" t="s">
        <v>10</v>
      </c>
      <c r="C426" s="1" t="s">
        <v>11</v>
      </c>
      <c r="D426" s="1">
        <v>29</v>
      </c>
      <c r="E426" s="1">
        <v>215.36690876782501</v>
      </c>
      <c r="F426" s="1">
        <v>1972.16784667968</v>
      </c>
    </row>
    <row r="427" spans="1:6" x14ac:dyDescent="0.15">
      <c r="A427" s="2">
        <v>44652</v>
      </c>
      <c r="B427" s="1" t="s">
        <v>14</v>
      </c>
      <c r="C427" s="1" t="s">
        <v>11</v>
      </c>
      <c r="D427" s="1">
        <v>29</v>
      </c>
      <c r="E427" s="1">
        <v>215.36690876782501</v>
      </c>
      <c r="F427" s="1">
        <v>1972.16784667968</v>
      </c>
    </row>
    <row r="428" spans="1:6" x14ac:dyDescent="0.15">
      <c r="A428" s="2">
        <v>44958</v>
      </c>
      <c r="B428" s="1" t="s">
        <v>10</v>
      </c>
      <c r="C428" s="1" t="s">
        <v>8</v>
      </c>
      <c r="D428" s="1">
        <v>62.069156646728501</v>
      </c>
      <c r="E428" s="1">
        <v>432.41368559216602</v>
      </c>
      <c r="F428" s="1">
        <v>2626</v>
      </c>
    </row>
    <row r="429" spans="1:6" x14ac:dyDescent="0.15">
      <c r="A429" s="2">
        <v>44958</v>
      </c>
      <c r="B429" s="1" t="s">
        <v>14</v>
      </c>
      <c r="C429" s="1" t="s">
        <v>8</v>
      </c>
      <c r="D429" s="1">
        <v>62.069156646728501</v>
      </c>
      <c r="E429" s="1">
        <v>432.41368559216602</v>
      </c>
      <c r="F429" s="1">
        <v>2626</v>
      </c>
    </row>
    <row r="430" spans="1:6" x14ac:dyDescent="0.15">
      <c r="A430" s="2">
        <v>44958</v>
      </c>
      <c r="B430" s="1" t="s">
        <v>12</v>
      </c>
      <c r="C430" s="1" t="s">
        <v>8</v>
      </c>
      <c r="D430" s="1">
        <v>62.069156646728501</v>
      </c>
      <c r="E430" s="1">
        <v>432.41368559216602</v>
      </c>
      <c r="F430" s="1">
        <v>2626</v>
      </c>
    </row>
    <row r="431" spans="1:6" x14ac:dyDescent="0.15">
      <c r="A431" s="2">
        <v>44958</v>
      </c>
      <c r="B431" s="1" t="s">
        <v>6</v>
      </c>
      <c r="C431" s="1" t="s">
        <v>8</v>
      </c>
      <c r="D431" s="1">
        <v>62.069156646728501</v>
      </c>
      <c r="E431" s="1">
        <v>432.41368559216602</v>
      </c>
      <c r="F431" s="1">
        <v>2626</v>
      </c>
    </row>
    <row r="432" spans="1:6" x14ac:dyDescent="0.15">
      <c r="A432" s="2">
        <v>44958</v>
      </c>
      <c r="B432" s="1" t="s">
        <v>13</v>
      </c>
      <c r="C432" s="1" t="s">
        <v>8</v>
      </c>
      <c r="D432" s="1">
        <v>62.069156646728501</v>
      </c>
      <c r="E432" s="1">
        <v>432.41368559216602</v>
      </c>
      <c r="F432" s="1">
        <v>2626</v>
      </c>
    </row>
    <row r="433" spans="1:6" x14ac:dyDescent="0.15">
      <c r="A433" s="3">
        <v>44835</v>
      </c>
      <c r="B433" s="1" t="s">
        <v>12</v>
      </c>
      <c r="C433" s="1" t="s">
        <v>15</v>
      </c>
      <c r="D433" s="1">
        <v>25</v>
      </c>
      <c r="E433" s="1">
        <v>191.23856853464301</v>
      </c>
      <c r="F433" s="1">
        <v>887.48645019531205</v>
      </c>
    </row>
    <row r="434" spans="1:6" x14ac:dyDescent="0.15">
      <c r="A434" s="3">
        <v>44835</v>
      </c>
      <c r="B434" s="1" t="s">
        <v>6</v>
      </c>
      <c r="C434" s="1" t="s">
        <v>15</v>
      </c>
      <c r="D434" s="1">
        <v>25</v>
      </c>
      <c r="E434" s="1">
        <v>191.23856853464301</v>
      </c>
      <c r="F434" s="1">
        <v>887.48645019531205</v>
      </c>
    </row>
    <row r="435" spans="1:6" x14ac:dyDescent="0.15">
      <c r="A435" s="3">
        <v>44835</v>
      </c>
      <c r="B435" s="1" t="s">
        <v>13</v>
      </c>
      <c r="C435" s="1" t="s">
        <v>15</v>
      </c>
      <c r="D435" s="1">
        <v>25</v>
      </c>
      <c r="E435" s="1">
        <v>191.23856853464301</v>
      </c>
      <c r="F435" s="1">
        <v>887.48645019531205</v>
      </c>
    </row>
    <row r="436" spans="1:6" x14ac:dyDescent="0.15">
      <c r="A436" s="3">
        <v>44835</v>
      </c>
      <c r="B436" s="1" t="s">
        <v>14</v>
      </c>
      <c r="C436" s="1" t="s">
        <v>15</v>
      </c>
      <c r="D436" s="1">
        <v>25</v>
      </c>
      <c r="E436" s="1">
        <v>191.23856853464301</v>
      </c>
      <c r="F436" s="1">
        <v>887.48645019531205</v>
      </c>
    </row>
    <row r="437" spans="1:6" x14ac:dyDescent="0.15">
      <c r="A437" s="3">
        <v>44835</v>
      </c>
      <c r="B437" s="1" t="s">
        <v>10</v>
      </c>
      <c r="C437" s="1" t="s">
        <v>15</v>
      </c>
      <c r="D437" s="1">
        <v>25</v>
      </c>
      <c r="E437" s="1">
        <v>191.23856853464301</v>
      </c>
      <c r="F437" s="1">
        <v>887.48645019531205</v>
      </c>
    </row>
    <row r="438" spans="1:6" x14ac:dyDescent="0.15">
      <c r="A438" s="3">
        <v>44866</v>
      </c>
      <c r="B438" s="1" t="s">
        <v>13</v>
      </c>
      <c r="C438" s="1" t="s">
        <v>19</v>
      </c>
      <c r="D438" s="1">
        <v>52</v>
      </c>
      <c r="E438" s="1">
        <v>444.51927250867101</v>
      </c>
      <c r="F438" s="1">
        <v>1954.5</v>
      </c>
    </row>
    <row r="439" spans="1:6" x14ac:dyDescent="0.15">
      <c r="A439" s="3">
        <v>44866</v>
      </c>
      <c r="B439" s="1" t="s">
        <v>12</v>
      </c>
      <c r="C439" s="1" t="s">
        <v>19</v>
      </c>
      <c r="D439" s="1">
        <v>52</v>
      </c>
      <c r="E439" s="1">
        <v>444.51927250867101</v>
      </c>
      <c r="F439" s="1">
        <v>1954.5</v>
      </c>
    </row>
    <row r="440" spans="1:6" x14ac:dyDescent="0.15">
      <c r="A440" s="3">
        <v>44866</v>
      </c>
      <c r="B440" s="1" t="s">
        <v>6</v>
      </c>
      <c r="C440" s="1" t="s">
        <v>19</v>
      </c>
      <c r="D440" s="1">
        <v>52</v>
      </c>
      <c r="E440" s="1">
        <v>444.51927250867101</v>
      </c>
      <c r="F440" s="1">
        <v>1954.5</v>
      </c>
    </row>
    <row r="441" spans="1:6" x14ac:dyDescent="0.15">
      <c r="A441" s="3">
        <v>44866</v>
      </c>
      <c r="B441" s="1" t="s">
        <v>10</v>
      </c>
      <c r="C441" s="1" t="s">
        <v>19</v>
      </c>
      <c r="D441" s="1">
        <v>52</v>
      </c>
      <c r="E441" s="1">
        <v>444.51927250867101</v>
      </c>
      <c r="F441" s="1">
        <v>1954.5</v>
      </c>
    </row>
    <row r="442" spans="1:6" x14ac:dyDescent="0.15">
      <c r="A442" s="3">
        <v>44866</v>
      </c>
      <c r="B442" s="1" t="s">
        <v>14</v>
      </c>
      <c r="C442" s="1" t="s">
        <v>19</v>
      </c>
      <c r="D442" s="1">
        <v>52</v>
      </c>
      <c r="E442" s="1">
        <v>444.51927250867101</v>
      </c>
      <c r="F442" s="1">
        <v>1954.5</v>
      </c>
    </row>
    <row r="443" spans="1:6" x14ac:dyDescent="0.15">
      <c r="A443" s="2">
        <v>44743</v>
      </c>
      <c r="B443" s="1" t="s">
        <v>10</v>
      </c>
      <c r="C443" s="1" t="s">
        <v>8</v>
      </c>
      <c r="D443" s="1">
        <v>46</v>
      </c>
      <c r="E443" s="1">
        <v>405.827649143869</v>
      </c>
      <c r="F443" s="1">
        <v>1697.5</v>
      </c>
    </row>
    <row r="444" spans="1:6" x14ac:dyDescent="0.15">
      <c r="A444" s="2">
        <v>44743</v>
      </c>
      <c r="B444" s="1" t="s">
        <v>14</v>
      </c>
      <c r="C444" s="1" t="s">
        <v>8</v>
      </c>
      <c r="D444" s="1">
        <v>46</v>
      </c>
      <c r="E444" s="1">
        <v>405.827649143869</v>
      </c>
      <c r="F444" s="1">
        <v>1697.5</v>
      </c>
    </row>
    <row r="445" spans="1:6" x14ac:dyDescent="0.15">
      <c r="A445" s="2">
        <v>44743</v>
      </c>
      <c r="B445" s="1" t="s">
        <v>6</v>
      </c>
      <c r="C445" s="1" t="s">
        <v>8</v>
      </c>
      <c r="D445" s="1">
        <v>46</v>
      </c>
      <c r="E445" s="1">
        <v>405.827649143869</v>
      </c>
      <c r="F445" s="1">
        <v>1697.5</v>
      </c>
    </row>
    <row r="446" spans="1:6" x14ac:dyDescent="0.15">
      <c r="A446" s="2">
        <v>44743</v>
      </c>
      <c r="B446" s="1" t="s">
        <v>13</v>
      </c>
      <c r="C446" s="1" t="s">
        <v>8</v>
      </c>
      <c r="D446" s="1">
        <v>46</v>
      </c>
      <c r="E446" s="1">
        <v>405.827649143869</v>
      </c>
      <c r="F446" s="1">
        <v>1697.5</v>
      </c>
    </row>
    <row r="447" spans="1:6" x14ac:dyDescent="0.15">
      <c r="A447" s="2">
        <v>44743</v>
      </c>
      <c r="B447" s="1" t="s">
        <v>12</v>
      </c>
      <c r="C447" s="1" t="s">
        <v>8</v>
      </c>
      <c r="D447" s="1">
        <v>46</v>
      </c>
      <c r="E447" s="1">
        <v>405.827649143869</v>
      </c>
      <c r="F447" s="1">
        <v>1697.5</v>
      </c>
    </row>
    <row r="448" spans="1:6" x14ac:dyDescent="0.15">
      <c r="A448" s="2">
        <v>44743</v>
      </c>
      <c r="B448" s="1" t="s">
        <v>10</v>
      </c>
      <c r="C448" s="1" t="s">
        <v>9</v>
      </c>
      <c r="D448" s="1">
        <v>20.6301956176757</v>
      </c>
      <c r="E448" s="1">
        <v>196.097834361087</v>
      </c>
      <c r="F448" s="1">
        <v>1577.64282226562</v>
      </c>
    </row>
    <row r="449" spans="1:6" x14ac:dyDescent="0.15">
      <c r="A449" s="2">
        <v>44743</v>
      </c>
      <c r="B449" s="1" t="s">
        <v>14</v>
      </c>
      <c r="C449" s="1" t="s">
        <v>9</v>
      </c>
      <c r="D449" s="1">
        <v>20.6301956176757</v>
      </c>
      <c r="E449" s="1">
        <v>196.097834361087</v>
      </c>
      <c r="F449" s="1">
        <v>1577.64282226562</v>
      </c>
    </row>
    <row r="450" spans="1:6" x14ac:dyDescent="0.15">
      <c r="A450" s="2">
        <v>44743</v>
      </c>
      <c r="B450" s="1" t="s">
        <v>6</v>
      </c>
      <c r="C450" s="1" t="s">
        <v>9</v>
      </c>
      <c r="D450" s="1">
        <v>20.6301956176757</v>
      </c>
      <c r="E450" s="1">
        <v>196.097834361087</v>
      </c>
      <c r="F450" s="1">
        <v>1577.64282226562</v>
      </c>
    </row>
    <row r="451" spans="1:6" x14ac:dyDescent="0.15">
      <c r="A451" s="2">
        <v>44743</v>
      </c>
      <c r="B451" s="1" t="s">
        <v>13</v>
      </c>
      <c r="C451" s="1" t="s">
        <v>9</v>
      </c>
      <c r="D451" s="1">
        <v>20.6301956176757</v>
      </c>
      <c r="E451" s="1">
        <v>196.097834361087</v>
      </c>
      <c r="F451" s="1">
        <v>1577.64282226562</v>
      </c>
    </row>
    <row r="452" spans="1:6" x14ac:dyDescent="0.15">
      <c r="A452" s="2">
        <v>44743</v>
      </c>
      <c r="B452" s="1" t="s">
        <v>12</v>
      </c>
      <c r="C452" s="1" t="s">
        <v>9</v>
      </c>
      <c r="D452" s="1">
        <v>20.6301956176757</v>
      </c>
      <c r="E452" s="1">
        <v>196.097834361087</v>
      </c>
      <c r="F452" s="1">
        <v>1577.64282226562</v>
      </c>
    </row>
    <row r="453" spans="1:6" x14ac:dyDescent="0.15">
      <c r="A453" s="3">
        <v>44835</v>
      </c>
      <c r="B453" s="1" t="s">
        <v>12</v>
      </c>
      <c r="C453" s="1" t="s">
        <v>23</v>
      </c>
      <c r="D453" s="1">
        <v>41</v>
      </c>
      <c r="E453" s="1">
        <v>327.01211970590401</v>
      </c>
      <c r="F453" s="1">
        <v>1295.5</v>
      </c>
    </row>
    <row r="454" spans="1:6" x14ac:dyDescent="0.15">
      <c r="A454" s="3">
        <v>44835</v>
      </c>
      <c r="B454" s="1" t="s">
        <v>6</v>
      </c>
      <c r="C454" s="1" t="s">
        <v>23</v>
      </c>
      <c r="D454" s="1">
        <v>41</v>
      </c>
      <c r="E454" s="1">
        <v>327.01211970590401</v>
      </c>
      <c r="F454" s="1">
        <v>1295.5</v>
      </c>
    </row>
    <row r="455" spans="1:6" x14ac:dyDescent="0.15">
      <c r="A455" s="3">
        <v>44835</v>
      </c>
      <c r="B455" s="1" t="s">
        <v>13</v>
      </c>
      <c r="C455" s="1" t="s">
        <v>23</v>
      </c>
      <c r="D455" s="1">
        <v>41</v>
      </c>
      <c r="E455" s="1">
        <v>327.01211970590401</v>
      </c>
      <c r="F455" s="1">
        <v>1295.5</v>
      </c>
    </row>
    <row r="456" spans="1:6" x14ac:dyDescent="0.15">
      <c r="A456" s="3">
        <v>44835</v>
      </c>
      <c r="B456" s="1" t="s">
        <v>14</v>
      </c>
      <c r="C456" s="1" t="s">
        <v>23</v>
      </c>
      <c r="D456" s="1">
        <v>41</v>
      </c>
      <c r="E456" s="1">
        <v>327.01211970590401</v>
      </c>
      <c r="F456" s="1">
        <v>1295.5</v>
      </c>
    </row>
    <row r="457" spans="1:6" x14ac:dyDescent="0.15">
      <c r="A457" s="3">
        <v>44835</v>
      </c>
      <c r="B457" s="1" t="s">
        <v>10</v>
      </c>
      <c r="C457" s="1" t="s">
        <v>23</v>
      </c>
      <c r="D457" s="1">
        <v>41</v>
      </c>
      <c r="E457" s="1">
        <v>327.01211970590401</v>
      </c>
      <c r="F457" s="1">
        <v>1295.5</v>
      </c>
    </row>
    <row r="458" spans="1:6" x14ac:dyDescent="0.15">
      <c r="A458" s="2">
        <v>44652</v>
      </c>
      <c r="B458" s="1" t="s">
        <v>13</v>
      </c>
      <c r="C458" s="1" t="s">
        <v>17</v>
      </c>
      <c r="D458" s="1">
        <v>43.654424147172399</v>
      </c>
      <c r="E458" s="1">
        <v>579.73955840953204</v>
      </c>
      <c r="F458" s="1">
        <v>2540</v>
      </c>
    </row>
    <row r="459" spans="1:6" x14ac:dyDescent="0.15">
      <c r="A459" s="2">
        <v>44652</v>
      </c>
      <c r="B459" s="1" t="s">
        <v>6</v>
      </c>
      <c r="C459" s="1" t="s">
        <v>17</v>
      </c>
      <c r="D459" s="1">
        <v>43.654424147172399</v>
      </c>
      <c r="E459" s="1">
        <v>579.73955840953204</v>
      </c>
      <c r="F459" s="1">
        <v>2540</v>
      </c>
    </row>
    <row r="460" spans="1:6" x14ac:dyDescent="0.15">
      <c r="A460" s="2">
        <v>44652</v>
      </c>
      <c r="B460" s="1" t="s">
        <v>12</v>
      </c>
      <c r="C460" s="1" t="s">
        <v>17</v>
      </c>
      <c r="D460" s="1">
        <v>43.654424147172399</v>
      </c>
      <c r="E460" s="1">
        <v>579.73955840953204</v>
      </c>
      <c r="F460" s="1">
        <v>2540</v>
      </c>
    </row>
    <row r="461" spans="1:6" x14ac:dyDescent="0.15">
      <c r="A461" s="2">
        <v>44652</v>
      </c>
      <c r="B461" s="1" t="s">
        <v>10</v>
      </c>
      <c r="C461" s="1" t="s">
        <v>17</v>
      </c>
      <c r="D461" s="1">
        <v>43.654424147172399</v>
      </c>
      <c r="E461" s="1">
        <v>579.73955840953204</v>
      </c>
      <c r="F461" s="1">
        <v>2540</v>
      </c>
    </row>
    <row r="462" spans="1:6" x14ac:dyDescent="0.15">
      <c r="A462" s="2">
        <v>44652</v>
      </c>
      <c r="B462" s="1" t="s">
        <v>14</v>
      </c>
      <c r="C462" s="1" t="s">
        <v>17</v>
      </c>
      <c r="D462" s="1">
        <v>43.654424147172399</v>
      </c>
      <c r="E462" s="1">
        <v>579.73955840953204</v>
      </c>
      <c r="F462" s="1">
        <v>2540</v>
      </c>
    </row>
    <row r="463" spans="1:6" x14ac:dyDescent="0.15">
      <c r="A463" s="2">
        <v>44562</v>
      </c>
      <c r="B463" s="1" t="s">
        <v>14</v>
      </c>
      <c r="C463" s="1" t="s">
        <v>15</v>
      </c>
      <c r="D463" s="1">
        <v>24.869464397430399</v>
      </c>
      <c r="E463" s="1">
        <v>189.14462465609199</v>
      </c>
      <c r="F463" s="1">
        <v>1295</v>
      </c>
    </row>
    <row r="464" spans="1:6" x14ac:dyDescent="0.15">
      <c r="A464" s="2">
        <v>44562</v>
      </c>
      <c r="B464" s="1" t="s">
        <v>6</v>
      </c>
      <c r="C464" s="1" t="s">
        <v>15</v>
      </c>
      <c r="D464" s="1">
        <v>24.869464397430399</v>
      </c>
      <c r="E464" s="1">
        <v>189.14462465609199</v>
      </c>
      <c r="F464" s="1">
        <v>1295</v>
      </c>
    </row>
    <row r="465" spans="1:6" x14ac:dyDescent="0.15">
      <c r="A465" s="2">
        <v>44562</v>
      </c>
      <c r="B465" s="1" t="s">
        <v>13</v>
      </c>
      <c r="C465" s="1" t="s">
        <v>15</v>
      </c>
      <c r="D465" s="1">
        <v>24.869464397430399</v>
      </c>
      <c r="E465" s="1">
        <v>189.14462465609199</v>
      </c>
      <c r="F465" s="1">
        <v>1295</v>
      </c>
    </row>
    <row r="466" spans="1:6" x14ac:dyDescent="0.15">
      <c r="A466" s="2">
        <v>44562</v>
      </c>
      <c r="B466" s="1" t="s">
        <v>10</v>
      </c>
      <c r="C466" s="1" t="s">
        <v>15</v>
      </c>
      <c r="D466" s="1">
        <v>24.869464397430399</v>
      </c>
      <c r="E466" s="1">
        <v>189.14462465609199</v>
      </c>
      <c r="F466" s="1">
        <v>1295</v>
      </c>
    </row>
    <row r="467" spans="1:6" x14ac:dyDescent="0.15">
      <c r="A467" s="2">
        <v>44562</v>
      </c>
      <c r="B467" s="1" t="s">
        <v>12</v>
      </c>
      <c r="C467" s="1" t="s">
        <v>15</v>
      </c>
      <c r="D467" s="1">
        <v>24.869464397430399</v>
      </c>
      <c r="E467" s="1">
        <v>189.14462465609199</v>
      </c>
      <c r="F467" s="1">
        <v>1295</v>
      </c>
    </row>
    <row r="468" spans="1:6" x14ac:dyDescent="0.15">
      <c r="A468" s="2">
        <v>44805</v>
      </c>
      <c r="B468" s="1" t="s">
        <v>10</v>
      </c>
      <c r="C468" s="1" t="s">
        <v>8</v>
      </c>
      <c r="D468" s="1">
        <v>46</v>
      </c>
      <c r="E468" s="1">
        <v>390.89905913348599</v>
      </c>
      <c r="F468" s="1">
        <v>1697.5</v>
      </c>
    </row>
    <row r="469" spans="1:6" x14ac:dyDescent="0.15">
      <c r="A469" s="2">
        <v>44805</v>
      </c>
      <c r="B469" s="1" t="s">
        <v>6</v>
      </c>
      <c r="C469" s="1" t="s">
        <v>8</v>
      </c>
      <c r="D469" s="1">
        <v>46</v>
      </c>
      <c r="E469" s="1">
        <v>390.89905913348599</v>
      </c>
      <c r="F469" s="1">
        <v>1697.5</v>
      </c>
    </row>
    <row r="470" spans="1:6" x14ac:dyDescent="0.15">
      <c r="A470" s="2">
        <v>44805</v>
      </c>
      <c r="B470" s="1" t="s">
        <v>12</v>
      </c>
      <c r="C470" s="1" t="s">
        <v>8</v>
      </c>
      <c r="D470" s="1">
        <v>46</v>
      </c>
      <c r="E470" s="1">
        <v>390.89905913348599</v>
      </c>
      <c r="F470" s="1">
        <v>1697.5</v>
      </c>
    </row>
    <row r="471" spans="1:6" x14ac:dyDescent="0.15">
      <c r="A471" s="2">
        <v>44805</v>
      </c>
      <c r="B471" s="1" t="s">
        <v>13</v>
      </c>
      <c r="C471" s="1" t="s">
        <v>8</v>
      </c>
      <c r="D471" s="1">
        <v>46</v>
      </c>
      <c r="E471" s="1">
        <v>390.89905913348599</v>
      </c>
      <c r="F471" s="1">
        <v>1697.5</v>
      </c>
    </row>
    <row r="472" spans="1:6" x14ac:dyDescent="0.15">
      <c r="A472" s="2">
        <v>44805</v>
      </c>
      <c r="B472" s="1" t="s">
        <v>14</v>
      </c>
      <c r="C472" s="1" t="s">
        <v>8</v>
      </c>
      <c r="D472" s="1">
        <v>46</v>
      </c>
      <c r="E472" s="1">
        <v>390.89905913348599</v>
      </c>
      <c r="F472" s="1">
        <v>1697.5</v>
      </c>
    </row>
    <row r="473" spans="1:6" x14ac:dyDescent="0.15">
      <c r="A473" s="3">
        <v>44896</v>
      </c>
      <c r="B473" s="1" t="s">
        <v>10</v>
      </c>
      <c r="C473" s="1" t="s">
        <v>19</v>
      </c>
      <c r="D473" s="1">
        <v>52</v>
      </c>
      <c r="E473" s="1">
        <v>488.59369590184798</v>
      </c>
      <c r="F473" s="1">
        <v>2302.5</v>
      </c>
    </row>
    <row r="474" spans="1:6" x14ac:dyDescent="0.15">
      <c r="A474" s="3">
        <v>44896</v>
      </c>
      <c r="B474" s="1" t="s">
        <v>14</v>
      </c>
      <c r="C474" s="1" t="s">
        <v>19</v>
      </c>
      <c r="D474" s="1">
        <v>52</v>
      </c>
      <c r="E474" s="1">
        <v>488.59369590184798</v>
      </c>
      <c r="F474" s="1">
        <v>2302.5</v>
      </c>
    </row>
    <row r="475" spans="1:6" x14ac:dyDescent="0.15">
      <c r="A475" s="3">
        <v>44896</v>
      </c>
      <c r="B475" s="1" t="s">
        <v>6</v>
      </c>
      <c r="C475" s="1" t="s">
        <v>19</v>
      </c>
      <c r="D475" s="1">
        <v>52</v>
      </c>
      <c r="E475" s="1">
        <v>488.59369590184798</v>
      </c>
      <c r="F475" s="1">
        <v>2302.5</v>
      </c>
    </row>
    <row r="476" spans="1:6" x14ac:dyDescent="0.15">
      <c r="A476" s="3">
        <v>44896</v>
      </c>
      <c r="B476" s="1" t="s">
        <v>13</v>
      </c>
      <c r="C476" s="1" t="s">
        <v>19</v>
      </c>
      <c r="D476" s="1">
        <v>52</v>
      </c>
      <c r="E476" s="1">
        <v>488.59369590184798</v>
      </c>
      <c r="F476" s="1">
        <v>2302.5</v>
      </c>
    </row>
    <row r="477" spans="1:6" x14ac:dyDescent="0.15">
      <c r="A477" s="3">
        <v>44896</v>
      </c>
      <c r="B477" s="1" t="s">
        <v>12</v>
      </c>
      <c r="C477" s="1" t="s">
        <v>19</v>
      </c>
      <c r="D477" s="1">
        <v>52</v>
      </c>
      <c r="E477" s="1">
        <v>488.59369590184798</v>
      </c>
      <c r="F477" s="1">
        <v>2302.5</v>
      </c>
    </row>
    <row r="478" spans="1:6" x14ac:dyDescent="0.15">
      <c r="A478" s="3">
        <v>44835</v>
      </c>
      <c r="B478" s="1" t="s">
        <v>12</v>
      </c>
      <c r="C478" s="1" t="s">
        <v>8</v>
      </c>
      <c r="D478" s="1">
        <v>46</v>
      </c>
      <c r="E478" s="1">
        <v>387.611845909659</v>
      </c>
      <c r="F478" s="1">
        <v>1521</v>
      </c>
    </row>
    <row r="479" spans="1:6" x14ac:dyDescent="0.15">
      <c r="A479" s="3">
        <v>44835</v>
      </c>
      <c r="B479" s="1" t="s">
        <v>6</v>
      </c>
      <c r="C479" s="1" t="s">
        <v>8</v>
      </c>
      <c r="D479" s="1">
        <v>46</v>
      </c>
      <c r="E479" s="1">
        <v>387.611845909659</v>
      </c>
      <c r="F479" s="1">
        <v>1521</v>
      </c>
    </row>
    <row r="480" spans="1:6" x14ac:dyDescent="0.15">
      <c r="A480" s="3">
        <v>44835</v>
      </c>
      <c r="B480" s="1" t="s">
        <v>13</v>
      </c>
      <c r="C480" s="1" t="s">
        <v>8</v>
      </c>
      <c r="D480" s="1">
        <v>46</v>
      </c>
      <c r="E480" s="1">
        <v>387.611845909659</v>
      </c>
      <c r="F480" s="1">
        <v>1521</v>
      </c>
    </row>
    <row r="481" spans="1:6" x14ac:dyDescent="0.15">
      <c r="A481" s="3">
        <v>44835</v>
      </c>
      <c r="B481" s="1" t="s">
        <v>14</v>
      </c>
      <c r="C481" s="1" t="s">
        <v>8</v>
      </c>
      <c r="D481" s="1">
        <v>46</v>
      </c>
      <c r="E481" s="1">
        <v>387.611845909659</v>
      </c>
      <c r="F481" s="1">
        <v>1521</v>
      </c>
    </row>
    <row r="482" spans="1:6" x14ac:dyDescent="0.15">
      <c r="A482" s="3">
        <v>44835</v>
      </c>
      <c r="B482" s="1" t="s">
        <v>10</v>
      </c>
      <c r="C482" s="1" t="s">
        <v>8</v>
      </c>
      <c r="D482" s="1">
        <v>46</v>
      </c>
      <c r="E482" s="1">
        <v>387.611845909659</v>
      </c>
      <c r="F482" s="1">
        <v>1521</v>
      </c>
    </row>
    <row r="483" spans="1:6" x14ac:dyDescent="0.15">
      <c r="A483" s="2">
        <v>44927</v>
      </c>
      <c r="B483" s="1" t="s">
        <v>13</v>
      </c>
      <c r="C483" s="1" t="s">
        <v>18</v>
      </c>
      <c r="D483" s="1">
        <v>16.886674880981399</v>
      </c>
      <c r="E483" s="1">
        <v>183.64712885544901</v>
      </c>
      <c r="F483" s="1">
        <v>3760</v>
      </c>
    </row>
    <row r="484" spans="1:6" x14ac:dyDescent="0.15">
      <c r="A484" s="2">
        <v>44927</v>
      </c>
      <c r="B484" s="1" t="s">
        <v>10</v>
      </c>
      <c r="C484" s="1" t="s">
        <v>18</v>
      </c>
      <c r="D484" s="1">
        <v>16.886674880981399</v>
      </c>
      <c r="E484" s="1">
        <v>183.64712885544901</v>
      </c>
      <c r="F484" s="1">
        <v>3760</v>
      </c>
    </row>
    <row r="485" spans="1:6" x14ac:dyDescent="0.15">
      <c r="A485" s="2">
        <v>44927</v>
      </c>
      <c r="B485" s="1" t="s">
        <v>6</v>
      </c>
      <c r="C485" s="1" t="s">
        <v>18</v>
      </c>
      <c r="D485" s="1">
        <v>16.886674880981399</v>
      </c>
      <c r="E485" s="1">
        <v>183.64712885544901</v>
      </c>
      <c r="F485" s="1">
        <v>3760</v>
      </c>
    </row>
    <row r="486" spans="1:6" x14ac:dyDescent="0.15">
      <c r="A486" s="2">
        <v>44927</v>
      </c>
      <c r="B486" s="1" t="s">
        <v>14</v>
      </c>
      <c r="C486" s="1" t="s">
        <v>18</v>
      </c>
      <c r="D486" s="1">
        <v>16.886674880981399</v>
      </c>
      <c r="E486" s="1">
        <v>183.64712885544901</v>
      </c>
      <c r="F486" s="1">
        <v>3760</v>
      </c>
    </row>
    <row r="487" spans="1:6" x14ac:dyDescent="0.15">
      <c r="A487" s="2">
        <v>44927</v>
      </c>
      <c r="B487" s="1" t="s">
        <v>12</v>
      </c>
      <c r="C487" s="1" t="s">
        <v>18</v>
      </c>
      <c r="D487" s="1">
        <v>16.886674880981399</v>
      </c>
      <c r="E487" s="1">
        <v>183.64712885544901</v>
      </c>
      <c r="F487" s="1">
        <v>3760</v>
      </c>
    </row>
    <row r="488" spans="1:6" x14ac:dyDescent="0.15">
      <c r="A488" s="2">
        <v>44562</v>
      </c>
      <c r="B488" s="1" t="s">
        <v>14</v>
      </c>
      <c r="C488" s="1" t="s">
        <v>7</v>
      </c>
      <c r="D488" s="1">
        <v>36.260005950927699</v>
      </c>
      <c r="E488" s="1">
        <v>236.11987090641</v>
      </c>
      <c r="F488" s="1">
        <v>1375</v>
      </c>
    </row>
    <row r="489" spans="1:6" x14ac:dyDescent="0.15">
      <c r="A489" s="2">
        <v>44562</v>
      </c>
      <c r="B489" s="1" t="s">
        <v>6</v>
      </c>
      <c r="C489" s="1" t="s">
        <v>7</v>
      </c>
      <c r="D489" s="1">
        <v>36.260005950927699</v>
      </c>
      <c r="E489" s="1">
        <v>236.11987090641</v>
      </c>
      <c r="F489" s="1">
        <v>1375</v>
      </c>
    </row>
    <row r="490" spans="1:6" x14ac:dyDescent="0.15">
      <c r="A490" s="2">
        <v>44562</v>
      </c>
      <c r="B490" s="1" t="s">
        <v>13</v>
      </c>
      <c r="C490" s="1" t="s">
        <v>7</v>
      </c>
      <c r="D490" s="1">
        <v>36.260005950927699</v>
      </c>
      <c r="E490" s="1">
        <v>236.11987090641</v>
      </c>
      <c r="F490" s="1">
        <v>1375</v>
      </c>
    </row>
    <row r="491" spans="1:6" x14ac:dyDescent="0.15">
      <c r="A491" s="2">
        <v>44562</v>
      </c>
      <c r="B491" s="1" t="s">
        <v>10</v>
      </c>
      <c r="C491" s="1" t="s">
        <v>7</v>
      </c>
      <c r="D491" s="1">
        <v>36.260005950927699</v>
      </c>
      <c r="E491" s="1">
        <v>236.11987090641</v>
      </c>
      <c r="F491" s="1">
        <v>1375</v>
      </c>
    </row>
    <row r="492" spans="1:6" x14ac:dyDescent="0.15">
      <c r="A492" s="2">
        <v>44562</v>
      </c>
      <c r="B492" s="1" t="s">
        <v>12</v>
      </c>
      <c r="C492" s="1" t="s">
        <v>7</v>
      </c>
      <c r="D492" s="1">
        <v>36.260005950927699</v>
      </c>
      <c r="E492" s="1">
        <v>236.11987090641</v>
      </c>
      <c r="F492" s="1">
        <v>1375</v>
      </c>
    </row>
    <row r="493" spans="1:6" x14ac:dyDescent="0.15">
      <c r="A493" s="2">
        <v>44593</v>
      </c>
      <c r="B493" s="1" t="s">
        <v>10</v>
      </c>
      <c r="C493" s="1" t="s">
        <v>23</v>
      </c>
      <c r="D493" s="1">
        <v>41</v>
      </c>
      <c r="E493" s="1">
        <v>294.610507146028</v>
      </c>
      <c r="F493" s="1">
        <v>1604</v>
      </c>
    </row>
    <row r="494" spans="1:6" x14ac:dyDescent="0.15">
      <c r="A494" s="2">
        <v>44593</v>
      </c>
      <c r="B494" s="1" t="s">
        <v>6</v>
      </c>
      <c r="C494" s="1" t="s">
        <v>23</v>
      </c>
      <c r="D494" s="1">
        <v>41</v>
      </c>
      <c r="E494" s="1">
        <v>294.610507146028</v>
      </c>
      <c r="F494" s="1">
        <v>1604</v>
      </c>
    </row>
    <row r="495" spans="1:6" x14ac:dyDescent="0.15">
      <c r="A495" s="2">
        <v>44593</v>
      </c>
      <c r="B495" s="1" t="s">
        <v>12</v>
      </c>
      <c r="C495" s="1" t="s">
        <v>23</v>
      </c>
      <c r="D495" s="1">
        <v>41</v>
      </c>
      <c r="E495" s="1">
        <v>294.610507146028</v>
      </c>
      <c r="F495" s="1">
        <v>1604</v>
      </c>
    </row>
    <row r="496" spans="1:6" x14ac:dyDescent="0.15">
      <c r="A496" s="2">
        <v>44593</v>
      </c>
      <c r="B496" s="1" t="s">
        <v>14</v>
      </c>
      <c r="C496" s="1" t="s">
        <v>23</v>
      </c>
      <c r="D496" s="1">
        <v>41</v>
      </c>
      <c r="E496" s="1">
        <v>294.610507146028</v>
      </c>
      <c r="F496" s="1">
        <v>1604</v>
      </c>
    </row>
    <row r="497" spans="1:6" x14ac:dyDescent="0.15">
      <c r="A497" s="2">
        <v>44593</v>
      </c>
      <c r="B497" s="1" t="s">
        <v>13</v>
      </c>
      <c r="C497" s="1" t="s">
        <v>23</v>
      </c>
      <c r="D497" s="1">
        <v>41</v>
      </c>
      <c r="E497" s="1">
        <v>294.610507146028</v>
      </c>
      <c r="F497" s="1">
        <v>1604</v>
      </c>
    </row>
    <row r="498" spans="1:6" x14ac:dyDescent="0.15">
      <c r="A498" s="2">
        <v>44958</v>
      </c>
      <c r="B498" s="1" t="s">
        <v>10</v>
      </c>
      <c r="C498" s="1" t="s">
        <v>22</v>
      </c>
      <c r="D498" s="1">
        <v>15.3979845046997</v>
      </c>
      <c r="E498" s="1">
        <v>114.481683331882</v>
      </c>
      <c r="F498" s="1">
        <v>1820</v>
      </c>
    </row>
    <row r="499" spans="1:6" x14ac:dyDescent="0.15">
      <c r="A499" s="2">
        <v>44958</v>
      </c>
      <c r="B499" s="1" t="s">
        <v>14</v>
      </c>
      <c r="C499" s="1" t="s">
        <v>22</v>
      </c>
      <c r="D499" s="1">
        <v>15.3979845046997</v>
      </c>
      <c r="E499" s="1">
        <v>114.481683331882</v>
      </c>
      <c r="F499" s="1">
        <v>1820</v>
      </c>
    </row>
    <row r="500" spans="1:6" x14ac:dyDescent="0.15">
      <c r="A500" s="2">
        <v>44958</v>
      </c>
      <c r="B500" s="1" t="s">
        <v>12</v>
      </c>
      <c r="C500" s="1" t="s">
        <v>22</v>
      </c>
      <c r="D500" s="1">
        <v>15.3979845046997</v>
      </c>
      <c r="E500" s="1">
        <v>114.481683331882</v>
      </c>
      <c r="F500" s="1">
        <v>1820</v>
      </c>
    </row>
    <row r="501" spans="1:6" x14ac:dyDescent="0.15">
      <c r="A501" s="2">
        <v>44958</v>
      </c>
      <c r="B501" s="1" t="s">
        <v>6</v>
      </c>
      <c r="C501" s="1" t="s">
        <v>22</v>
      </c>
      <c r="D501" s="1">
        <v>15.3979845046997</v>
      </c>
      <c r="E501" s="1">
        <v>114.481683331882</v>
      </c>
      <c r="F501" s="1">
        <v>1820</v>
      </c>
    </row>
    <row r="502" spans="1:6" x14ac:dyDescent="0.15">
      <c r="A502" s="2">
        <v>44958</v>
      </c>
      <c r="B502" s="1" t="s">
        <v>13</v>
      </c>
      <c r="C502" s="1" t="s">
        <v>22</v>
      </c>
      <c r="D502" s="1">
        <v>15.3979845046997</v>
      </c>
      <c r="E502" s="1">
        <v>114.481683331882</v>
      </c>
      <c r="F502" s="1">
        <v>1820</v>
      </c>
    </row>
    <row r="503" spans="1:6" x14ac:dyDescent="0.15">
      <c r="A503" s="2">
        <v>44774</v>
      </c>
      <c r="B503" s="1" t="s">
        <v>13</v>
      </c>
      <c r="C503" s="1" t="s">
        <v>16</v>
      </c>
      <c r="D503" s="1">
        <v>6</v>
      </c>
      <c r="E503" s="1">
        <v>72.104488620378405</v>
      </c>
      <c r="F503" s="1">
        <v>925</v>
      </c>
    </row>
    <row r="504" spans="1:6" x14ac:dyDescent="0.15">
      <c r="A504" s="2">
        <v>44774</v>
      </c>
      <c r="B504" s="1" t="s">
        <v>10</v>
      </c>
      <c r="C504" s="1" t="s">
        <v>16</v>
      </c>
      <c r="D504" s="1">
        <v>6</v>
      </c>
      <c r="E504" s="1">
        <v>72.104488620378405</v>
      </c>
      <c r="F504" s="1">
        <v>925</v>
      </c>
    </row>
    <row r="505" spans="1:6" x14ac:dyDescent="0.15">
      <c r="A505" s="2">
        <v>44774</v>
      </c>
      <c r="B505" s="1" t="s">
        <v>14</v>
      </c>
      <c r="C505" s="1" t="s">
        <v>16</v>
      </c>
      <c r="D505" s="1">
        <v>6</v>
      </c>
      <c r="E505" s="1">
        <v>72.104488620378405</v>
      </c>
      <c r="F505" s="1">
        <v>925</v>
      </c>
    </row>
    <row r="506" spans="1:6" x14ac:dyDescent="0.15">
      <c r="A506" s="2">
        <v>44774</v>
      </c>
      <c r="B506" s="1" t="s">
        <v>6</v>
      </c>
      <c r="C506" s="1" t="s">
        <v>16</v>
      </c>
      <c r="D506" s="1">
        <v>6</v>
      </c>
      <c r="E506" s="1">
        <v>72.104488620378405</v>
      </c>
      <c r="F506" s="1">
        <v>925</v>
      </c>
    </row>
    <row r="507" spans="1:6" x14ac:dyDescent="0.15">
      <c r="A507" s="2">
        <v>44774</v>
      </c>
      <c r="B507" s="1" t="s">
        <v>12</v>
      </c>
      <c r="C507" s="1" t="s">
        <v>16</v>
      </c>
      <c r="D507" s="1">
        <v>6</v>
      </c>
      <c r="E507" s="1">
        <v>72.104488620378405</v>
      </c>
      <c r="F507" s="1">
        <v>925</v>
      </c>
    </row>
    <row r="508" spans="1:6" x14ac:dyDescent="0.15">
      <c r="A508" s="2">
        <v>44805</v>
      </c>
      <c r="B508" s="1" t="s">
        <v>10</v>
      </c>
      <c r="C508" s="1" t="s">
        <v>7</v>
      </c>
      <c r="D508" s="1">
        <v>33</v>
      </c>
      <c r="E508" s="1">
        <v>246.663170791287</v>
      </c>
      <c r="F508" s="1">
        <v>1056.26062011718</v>
      </c>
    </row>
    <row r="509" spans="1:6" x14ac:dyDescent="0.15">
      <c r="A509" s="2">
        <v>44805</v>
      </c>
      <c r="B509" s="1" t="s">
        <v>6</v>
      </c>
      <c r="C509" s="1" t="s">
        <v>7</v>
      </c>
      <c r="D509" s="1">
        <v>33</v>
      </c>
      <c r="E509" s="1">
        <v>246.663170791287</v>
      </c>
      <c r="F509" s="1">
        <v>1056.26062011718</v>
      </c>
    </row>
    <row r="510" spans="1:6" x14ac:dyDescent="0.15">
      <c r="A510" s="2">
        <v>44805</v>
      </c>
      <c r="B510" s="1" t="s">
        <v>12</v>
      </c>
      <c r="C510" s="1" t="s">
        <v>7</v>
      </c>
      <c r="D510" s="1">
        <v>33</v>
      </c>
      <c r="E510" s="1">
        <v>246.663170791287</v>
      </c>
      <c r="F510" s="1">
        <v>1056.26062011718</v>
      </c>
    </row>
    <row r="511" spans="1:6" x14ac:dyDescent="0.15">
      <c r="A511" s="2">
        <v>44805</v>
      </c>
      <c r="B511" s="1" t="s">
        <v>13</v>
      </c>
      <c r="C511" s="1" t="s">
        <v>7</v>
      </c>
      <c r="D511" s="1">
        <v>33</v>
      </c>
      <c r="E511" s="1">
        <v>246.663170791287</v>
      </c>
      <c r="F511" s="1">
        <v>1056.26062011718</v>
      </c>
    </row>
    <row r="512" spans="1:6" x14ac:dyDescent="0.15">
      <c r="A512" s="2">
        <v>44805</v>
      </c>
      <c r="B512" s="1" t="s">
        <v>14</v>
      </c>
      <c r="C512" s="1" t="s">
        <v>7</v>
      </c>
      <c r="D512" s="1">
        <v>33</v>
      </c>
      <c r="E512" s="1">
        <v>246.663170791287</v>
      </c>
      <c r="F512" s="1">
        <v>1056.26062011718</v>
      </c>
    </row>
    <row r="513" spans="1:6" x14ac:dyDescent="0.15">
      <c r="A513" s="2">
        <v>44713</v>
      </c>
      <c r="B513" s="1" t="s">
        <v>6</v>
      </c>
      <c r="C513" s="1" t="s">
        <v>11</v>
      </c>
      <c r="D513" s="1">
        <v>29</v>
      </c>
      <c r="E513" s="1">
        <v>217.05306705400099</v>
      </c>
      <c r="F513" s="1">
        <v>1972.16784667968</v>
      </c>
    </row>
    <row r="514" spans="1:6" x14ac:dyDescent="0.15">
      <c r="A514" s="2">
        <v>44713</v>
      </c>
      <c r="B514" s="1" t="s">
        <v>12</v>
      </c>
      <c r="C514" s="1" t="s">
        <v>11</v>
      </c>
      <c r="D514" s="1">
        <v>29</v>
      </c>
      <c r="E514" s="1">
        <v>217.05306705400099</v>
      </c>
      <c r="F514" s="1">
        <v>1972.16784667968</v>
      </c>
    </row>
    <row r="515" spans="1:6" x14ac:dyDescent="0.15">
      <c r="A515" s="2">
        <v>44713</v>
      </c>
      <c r="B515" s="1" t="s">
        <v>14</v>
      </c>
      <c r="C515" s="1" t="s">
        <v>11</v>
      </c>
      <c r="D515" s="1">
        <v>29</v>
      </c>
      <c r="E515" s="1">
        <v>217.05306705400099</v>
      </c>
      <c r="F515" s="1">
        <v>1972.16784667968</v>
      </c>
    </row>
    <row r="516" spans="1:6" x14ac:dyDescent="0.15">
      <c r="A516" s="2">
        <v>44713</v>
      </c>
      <c r="B516" s="1" t="s">
        <v>13</v>
      </c>
      <c r="C516" s="1" t="s">
        <v>11</v>
      </c>
      <c r="D516" s="1">
        <v>29</v>
      </c>
      <c r="E516" s="1">
        <v>217.05306705400099</v>
      </c>
      <c r="F516" s="1">
        <v>1972.16784667968</v>
      </c>
    </row>
    <row r="517" spans="1:6" x14ac:dyDescent="0.15">
      <c r="A517" s="2">
        <v>44713</v>
      </c>
      <c r="B517" s="1" t="s">
        <v>10</v>
      </c>
      <c r="C517" s="1" t="s">
        <v>11</v>
      </c>
      <c r="D517" s="1">
        <v>29</v>
      </c>
      <c r="E517" s="1">
        <v>217.05306705400099</v>
      </c>
      <c r="F517" s="1">
        <v>1972.16784667968</v>
      </c>
    </row>
    <row r="518" spans="1:6" x14ac:dyDescent="0.15">
      <c r="A518" s="2">
        <v>44805</v>
      </c>
      <c r="B518" s="1" t="s">
        <v>10</v>
      </c>
      <c r="C518" s="1" t="s">
        <v>9</v>
      </c>
      <c r="D518" s="1">
        <v>20.6301956176757</v>
      </c>
      <c r="E518" s="1">
        <v>175.148190329805</v>
      </c>
      <c r="F518" s="1">
        <v>799.87561035156205</v>
      </c>
    </row>
    <row r="519" spans="1:6" x14ac:dyDescent="0.15">
      <c r="A519" s="2">
        <v>44805</v>
      </c>
      <c r="B519" s="1" t="s">
        <v>6</v>
      </c>
      <c r="C519" s="1" t="s">
        <v>9</v>
      </c>
      <c r="D519" s="1">
        <v>20.6301956176757</v>
      </c>
      <c r="E519" s="1">
        <v>175.148190329805</v>
      </c>
      <c r="F519" s="1">
        <v>799.87561035156205</v>
      </c>
    </row>
    <row r="520" spans="1:6" x14ac:dyDescent="0.15">
      <c r="A520" s="2">
        <v>44805</v>
      </c>
      <c r="B520" s="1" t="s">
        <v>12</v>
      </c>
      <c r="C520" s="1" t="s">
        <v>9</v>
      </c>
      <c r="D520" s="1">
        <v>20.6301956176757</v>
      </c>
      <c r="E520" s="1">
        <v>175.148190329805</v>
      </c>
      <c r="F520" s="1">
        <v>799.87561035156205</v>
      </c>
    </row>
    <row r="521" spans="1:6" x14ac:dyDescent="0.15">
      <c r="A521" s="2">
        <v>44805</v>
      </c>
      <c r="B521" s="1" t="s">
        <v>13</v>
      </c>
      <c r="C521" s="1" t="s">
        <v>9</v>
      </c>
      <c r="D521" s="1">
        <v>20.6301956176757</v>
      </c>
      <c r="E521" s="1">
        <v>175.148190329805</v>
      </c>
      <c r="F521" s="1">
        <v>799.87561035156205</v>
      </c>
    </row>
    <row r="522" spans="1:6" x14ac:dyDescent="0.15">
      <c r="A522" s="2">
        <v>44805</v>
      </c>
      <c r="B522" s="1" t="s">
        <v>14</v>
      </c>
      <c r="C522" s="1" t="s">
        <v>9</v>
      </c>
      <c r="D522" s="1">
        <v>20.6301956176757</v>
      </c>
      <c r="E522" s="1">
        <v>175.148190329805</v>
      </c>
      <c r="F522" s="1">
        <v>799.87561035156205</v>
      </c>
    </row>
    <row r="523" spans="1:6" x14ac:dyDescent="0.15">
      <c r="A523" s="2">
        <v>44621</v>
      </c>
      <c r="B523" s="1" t="s">
        <v>12</v>
      </c>
      <c r="C523" s="1" t="s">
        <v>8</v>
      </c>
      <c r="D523" s="1">
        <v>46</v>
      </c>
      <c r="E523" s="1">
        <v>360.45678907277102</v>
      </c>
      <c r="F523" s="1">
        <v>2927.54931640625</v>
      </c>
    </row>
    <row r="524" spans="1:6" x14ac:dyDescent="0.15">
      <c r="A524" s="2">
        <v>44621</v>
      </c>
      <c r="B524" s="1" t="s">
        <v>6</v>
      </c>
      <c r="C524" s="1" t="s">
        <v>8</v>
      </c>
      <c r="D524" s="1">
        <v>46</v>
      </c>
      <c r="E524" s="1">
        <v>360.45678907277102</v>
      </c>
      <c r="F524" s="1">
        <v>2927.54931640625</v>
      </c>
    </row>
    <row r="525" spans="1:6" x14ac:dyDescent="0.15">
      <c r="A525" s="2">
        <v>44621</v>
      </c>
      <c r="B525" s="1" t="s">
        <v>10</v>
      </c>
      <c r="C525" s="1" t="s">
        <v>8</v>
      </c>
      <c r="D525" s="1">
        <v>46</v>
      </c>
      <c r="E525" s="1">
        <v>360.45678907277102</v>
      </c>
      <c r="F525" s="1">
        <v>2927.54931640625</v>
      </c>
    </row>
    <row r="526" spans="1:6" x14ac:dyDescent="0.15">
      <c r="A526" s="2">
        <v>44621</v>
      </c>
      <c r="B526" s="1" t="s">
        <v>13</v>
      </c>
      <c r="C526" s="1" t="s">
        <v>8</v>
      </c>
      <c r="D526" s="1">
        <v>46</v>
      </c>
      <c r="E526" s="1">
        <v>360.45678907277102</v>
      </c>
      <c r="F526" s="1">
        <v>2927.54931640625</v>
      </c>
    </row>
    <row r="527" spans="1:6" x14ac:dyDescent="0.15">
      <c r="A527" s="2">
        <v>44621</v>
      </c>
      <c r="B527" s="1" t="s">
        <v>14</v>
      </c>
      <c r="C527" s="1" t="s">
        <v>8</v>
      </c>
      <c r="D527" s="1">
        <v>46</v>
      </c>
      <c r="E527" s="1">
        <v>360.45678907277102</v>
      </c>
      <c r="F527" s="1">
        <v>2927.54931640625</v>
      </c>
    </row>
    <row r="528" spans="1:6" x14ac:dyDescent="0.15">
      <c r="A528" s="2">
        <v>44682</v>
      </c>
      <c r="B528" s="1" t="s">
        <v>12</v>
      </c>
      <c r="C528" s="1" t="s">
        <v>22</v>
      </c>
      <c r="D528" s="1">
        <v>8</v>
      </c>
      <c r="E528" s="1">
        <v>117.55215446944599</v>
      </c>
      <c r="F528" s="1">
        <v>1020.5640258789</v>
      </c>
    </row>
    <row r="529" spans="1:6" x14ac:dyDescent="0.15">
      <c r="A529" s="2">
        <v>44682</v>
      </c>
      <c r="B529" s="1" t="s">
        <v>14</v>
      </c>
      <c r="C529" s="1" t="s">
        <v>22</v>
      </c>
      <c r="D529" s="1">
        <v>8</v>
      </c>
      <c r="E529" s="1">
        <v>117.55215446944599</v>
      </c>
      <c r="F529" s="1">
        <v>1020.5640258789</v>
      </c>
    </row>
    <row r="530" spans="1:6" x14ac:dyDescent="0.15">
      <c r="A530" s="2">
        <v>44682</v>
      </c>
      <c r="B530" s="1" t="s">
        <v>6</v>
      </c>
      <c r="C530" s="1" t="s">
        <v>22</v>
      </c>
      <c r="D530" s="1">
        <v>8</v>
      </c>
      <c r="E530" s="1">
        <v>117.55215446944599</v>
      </c>
      <c r="F530" s="1">
        <v>1020.5640258789</v>
      </c>
    </row>
    <row r="531" spans="1:6" x14ac:dyDescent="0.15">
      <c r="A531" s="2">
        <v>44682</v>
      </c>
      <c r="B531" s="1" t="s">
        <v>13</v>
      </c>
      <c r="C531" s="1" t="s">
        <v>22</v>
      </c>
      <c r="D531" s="1">
        <v>8</v>
      </c>
      <c r="E531" s="1">
        <v>117.55215446944599</v>
      </c>
      <c r="F531" s="1">
        <v>1020.5640258789</v>
      </c>
    </row>
    <row r="532" spans="1:6" x14ac:dyDescent="0.15">
      <c r="A532" s="2">
        <v>44682</v>
      </c>
      <c r="B532" s="1" t="s">
        <v>10</v>
      </c>
      <c r="C532" s="1" t="s">
        <v>22</v>
      </c>
      <c r="D532" s="1">
        <v>8</v>
      </c>
      <c r="E532" s="1">
        <v>117.55215446944599</v>
      </c>
      <c r="F532" s="1">
        <v>1020.5640258789</v>
      </c>
    </row>
    <row r="533" spans="1:6" x14ac:dyDescent="0.15">
      <c r="A533" s="2">
        <v>44958</v>
      </c>
      <c r="B533" s="1" t="s">
        <v>10</v>
      </c>
      <c r="C533" s="1" t="s">
        <v>9</v>
      </c>
      <c r="D533" s="1">
        <v>23.533229827880799</v>
      </c>
      <c r="E533" s="1">
        <v>197.900212835508</v>
      </c>
      <c r="F533" s="1">
        <v>1820</v>
      </c>
    </row>
    <row r="534" spans="1:6" x14ac:dyDescent="0.15">
      <c r="A534" s="2">
        <v>44958</v>
      </c>
      <c r="B534" s="1" t="s">
        <v>14</v>
      </c>
      <c r="C534" s="1" t="s">
        <v>9</v>
      </c>
      <c r="D534" s="1">
        <v>23.533229827880799</v>
      </c>
      <c r="E534" s="1">
        <v>197.900212835508</v>
      </c>
      <c r="F534" s="1">
        <v>1820</v>
      </c>
    </row>
    <row r="535" spans="1:6" x14ac:dyDescent="0.15">
      <c r="A535" s="2">
        <v>44958</v>
      </c>
      <c r="B535" s="1" t="s">
        <v>12</v>
      </c>
      <c r="C535" s="1" t="s">
        <v>9</v>
      </c>
      <c r="D535" s="1">
        <v>23.533229827880799</v>
      </c>
      <c r="E535" s="1">
        <v>197.900212835508</v>
      </c>
      <c r="F535" s="1">
        <v>1820</v>
      </c>
    </row>
    <row r="536" spans="1:6" x14ac:dyDescent="0.15">
      <c r="A536" s="2">
        <v>44958</v>
      </c>
      <c r="B536" s="1" t="s">
        <v>6</v>
      </c>
      <c r="C536" s="1" t="s">
        <v>9</v>
      </c>
      <c r="D536" s="1">
        <v>23.533229827880799</v>
      </c>
      <c r="E536" s="1">
        <v>197.900212835508</v>
      </c>
      <c r="F536" s="1">
        <v>1820</v>
      </c>
    </row>
    <row r="537" spans="1:6" x14ac:dyDescent="0.15">
      <c r="A537" s="2">
        <v>44958</v>
      </c>
      <c r="B537" s="1" t="s">
        <v>13</v>
      </c>
      <c r="C537" s="1" t="s">
        <v>9</v>
      </c>
      <c r="D537" s="1">
        <v>23.533229827880799</v>
      </c>
      <c r="E537" s="1">
        <v>197.900212835508</v>
      </c>
      <c r="F537" s="1">
        <v>1820</v>
      </c>
    </row>
    <row r="538" spans="1:6" x14ac:dyDescent="0.15">
      <c r="A538" s="2">
        <v>44958</v>
      </c>
      <c r="B538" s="1" t="s">
        <v>10</v>
      </c>
      <c r="C538" s="1" t="s">
        <v>21</v>
      </c>
      <c r="D538" s="1">
        <v>75.711982727050696</v>
      </c>
      <c r="E538" s="1">
        <v>833.76816607819899</v>
      </c>
      <c r="F538" s="1">
        <v>4568</v>
      </c>
    </row>
    <row r="539" spans="1:6" x14ac:dyDescent="0.15">
      <c r="A539" s="2">
        <v>44958</v>
      </c>
      <c r="B539" s="1" t="s">
        <v>14</v>
      </c>
      <c r="C539" s="1" t="s">
        <v>21</v>
      </c>
      <c r="D539" s="1">
        <v>75.711982727050696</v>
      </c>
      <c r="E539" s="1">
        <v>833.76816607819899</v>
      </c>
      <c r="F539" s="1">
        <v>4568</v>
      </c>
    </row>
    <row r="540" spans="1:6" x14ac:dyDescent="0.15">
      <c r="A540" s="2">
        <v>44958</v>
      </c>
      <c r="B540" s="1" t="s">
        <v>12</v>
      </c>
      <c r="C540" s="1" t="s">
        <v>21</v>
      </c>
      <c r="D540" s="1">
        <v>75.711982727050696</v>
      </c>
      <c r="E540" s="1">
        <v>833.76816607819899</v>
      </c>
      <c r="F540" s="1">
        <v>4568</v>
      </c>
    </row>
    <row r="541" spans="1:6" x14ac:dyDescent="0.15">
      <c r="A541" s="2">
        <v>44958</v>
      </c>
      <c r="B541" s="1" t="s">
        <v>6</v>
      </c>
      <c r="C541" s="1" t="s">
        <v>21</v>
      </c>
      <c r="D541" s="1">
        <v>75.711982727050696</v>
      </c>
      <c r="E541" s="1">
        <v>833.76816607819899</v>
      </c>
      <c r="F541" s="1">
        <v>4568</v>
      </c>
    </row>
    <row r="542" spans="1:6" x14ac:dyDescent="0.15">
      <c r="A542" s="2">
        <v>44958</v>
      </c>
      <c r="B542" s="1" t="s">
        <v>13</v>
      </c>
      <c r="C542" s="1" t="s">
        <v>21</v>
      </c>
      <c r="D542" s="1">
        <v>75.711982727050696</v>
      </c>
      <c r="E542" s="1">
        <v>833.76816607819899</v>
      </c>
      <c r="F542" s="1">
        <v>4568</v>
      </c>
    </row>
    <row r="543" spans="1:6" x14ac:dyDescent="0.15">
      <c r="A543" s="3">
        <v>44896</v>
      </c>
      <c r="B543" s="1" t="s">
        <v>10</v>
      </c>
      <c r="C543" s="1" t="s">
        <v>18</v>
      </c>
      <c r="D543" s="1">
        <v>16.435888290405199</v>
      </c>
      <c r="E543" s="1">
        <v>171.413219024695</v>
      </c>
      <c r="F543" s="1">
        <v>2039.04309082031</v>
      </c>
    </row>
    <row r="544" spans="1:6" x14ac:dyDescent="0.15">
      <c r="A544" s="3">
        <v>44896</v>
      </c>
      <c r="B544" s="1" t="s">
        <v>14</v>
      </c>
      <c r="C544" s="1" t="s">
        <v>18</v>
      </c>
      <c r="D544" s="1">
        <v>16.435888290405199</v>
      </c>
      <c r="E544" s="1">
        <v>171.413219024695</v>
      </c>
      <c r="F544" s="1">
        <v>2039.04309082031</v>
      </c>
    </row>
    <row r="545" spans="1:6" x14ac:dyDescent="0.15">
      <c r="A545" s="3">
        <v>44896</v>
      </c>
      <c r="B545" s="1" t="s">
        <v>6</v>
      </c>
      <c r="C545" s="1" t="s">
        <v>18</v>
      </c>
      <c r="D545" s="1">
        <v>16.435888290405199</v>
      </c>
      <c r="E545" s="1">
        <v>171.413219024695</v>
      </c>
      <c r="F545" s="1">
        <v>2039.04309082031</v>
      </c>
    </row>
    <row r="546" spans="1:6" x14ac:dyDescent="0.15">
      <c r="A546" s="3">
        <v>44896</v>
      </c>
      <c r="B546" s="1" t="s">
        <v>13</v>
      </c>
      <c r="C546" s="1" t="s">
        <v>18</v>
      </c>
      <c r="D546" s="1">
        <v>16.435888290405199</v>
      </c>
      <c r="E546" s="1">
        <v>171.413219024695</v>
      </c>
      <c r="F546" s="1">
        <v>2039.04309082031</v>
      </c>
    </row>
    <row r="547" spans="1:6" x14ac:dyDescent="0.15">
      <c r="A547" s="3">
        <v>44896</v>
      </c>
      <c r="B547" s="1" t="s">
        <v>12</v>
      </c>
      <c r="C547" s="1" t="s">
        <v>18</v>
      </c>
      <c r="D547" s="1">
        <v>16.435888290405199</v>
      </c>
      <c r="E547" s="1">
        <v>171.413219024695</v>
      </c>
      <c r="F547" s="1">
        <v>2039.04309082031</v>
      </c>
    </row>
    <row r="548" spans="1:6" x14ac:dyDescent="0.15">
      <c r="A548" s="3">
        <v>44896</v>
      </c>
      <c r="B548" s="1" t="s">
        <v>10</v>
      </c>
      <c r="C548" s="1" t="s">
        <v>15</v>
      </c>
      <c r="D548" s="1">
        <v>25</v>
      </c>
      <c r="E548" s="1">
        <v>206.11037495672301</v>
      </c>
      <c r="F548" s="1">
        <v>2039.04309082031</v>
      </c>
    </row>
    <row r="549" spans="1:6" x14ac:dyDescent="0.15">
      <c r="A549" s="3">
        <v>44896</v>
      </c>
      <c r="B549" s="1" t="s">
        <v>14</v>
      </c>
      <c r="C549" s="1" t="s">
        <v>15</v>
      </c>
      <c r="D549" s="1">
        <v>25</v>
      </c>
      <c r="E549" s="1">
        <v>206.11037495672301</v>
      </c>
      <c r="F549" s="1">
        <v>2039.04309082031</v>
      </c>
    </row>
    <row r="550" spans="1:6" x14ac:dyDescent="0.15">
      <c r="A550" s="3">
        <v>44896</v>
      </c>
      <c r="B550" s="1" t="s">
        <v>6</v>
      </c>
      <c r="C550" s="1" t="s">
        <v>15</v>
      </c>
      <c r="D550" s="1">
        <v>25</v>
      </c>
      <c r="E550" s="1">
        <v>206.11037495672301</v>
      </c>
      <c r="F550" s="1">
        <v>2039.04309082031</v>
      </c>
    </row>
    <row r="551" spans="1:6" x14ac:dyDescent="0.15">
      <c r="A551" s="3">
        <v>44896</v>
      </c>
      <c r="B551" s="1" t="s">
        <v>13</v>
      </c>
      <c r="C551" s="1" t="s">
        <v>15</v>
      </c>
      <c r="D551" s="1">
        <v>25</v>
      </c>
      <c r="E551" s="1">
        <v>206.11037495672301</v>
      </c>
      <c r="F551" s="1">
        <v>2039.04309082031</v>
      </c>
    </row>
    <row r="552" spans="1:6" x14ac:dyDescent="0.15">
      <c r="A552" s="3">
        <v>44896</v>
      </c>
      <c r="B552" s="1" t="s">
        <v>12</v>
      </c>
      <c r="C552" s="1" t="s">
        <v>15</v>
      </c>
      <c r="D552" s="1">
        <v>25</v>
      </c>
      <c r="E552" s="1">
        <v>206.11037495672301</v>
      </c>
      <c r="F552" s="1">
        <v>2039.04309082031</v>
      </c>
    </row>
    <row r="553" spans="1:6" x14ac:dyDescent="0.15">
      <c r="A553" s="3">
        <v>44896</v>
      </c>
      <c r="B553" s="1" t="s">
        <v>10</v>
      </c>
      <c r="C553" s="1" t="s">
        <v>7</v>
      </c>
      <c r="D553" s="1">
        <v>33</v>
      </c>
      <c r="E553" s="1">
        <v>260.97519017019999</v>
      </c>
      <c r="F553" s="1">
        <v>2039.04309082031</v>
      </c>
    </row>
    <row r="554" spans="1:6" x14ac:dyDescent="0.15">
      <c r="A554" s="3">
        <v>44896</v>
      </c>
      <c r="B554" s="1" t="s">
        <v>14</v>
      </c>
      <c r="C554" s="1" t="s">
        <v>7</v>
      </c>
      <c r="D554" s="1">
        <v>33</v>
      </c>
      <c r="E554" s="1">
        <v>260.97519017019999</v>
      </c>
      <c r="F554" s="1">
        <v>2039.04309082031</v>
      </c>
    </row>
    <row r="555" spans="1:6" x14ac:dyDescent="0.15">
      <c r="A555" s="3">
        <v>44896</v>
      </c>
      <c r="B555" s="1" t="s">
        <v>6</v>
      </c>
      <c r="C555" s="1" t="s">
        <v>7</v>
      </c>
      <c r="D555" s="1">
        <v>33</v>
      </c>
      <c r="E555" s="1">
        <v>260.97519017019999</v>
      </c>
      <c r="F555" s="1">
        <v>2039.04309082031</v>
      </c>
    </row>
    <row r="556" spans="1:6" x14ac:dyDescent="0.15">
      <c r="A556" s="3">
        <v>44896</v>
      </c>
      <c r="B556" s="1" t="s">
        <v>13</v>
      </c>
      <c r="C556" s="1" t="s">
        <v>7</v>
      </c>
      <c r="D556" s="1">
        <v>33</v>
      </c>
      <c r="E556" s="1">
        <v>260.97519017019999</v>
      </c>
      <c r="F556" s="1">
        <v>2039.04309082031</v>
      </c>
    </row>
    <row r="557" spans="1:6" x14ac:dyDescent="0.15">
      <c r="A557" s="3">
        <v>44896</v>
      </c>
      <c r="B557" s="1" t="s">
        <v>12</v>
      </c>
      <c r="C557" s="1" t="s">
        <v>7</v>
      </c>
      <c r="D557" s="1">
        <v>33</v>
      </c>
      <c r="E557" s="1">
        <v>260.97519017019999</v>
      </c>
      <c r="F557" s="1">
        <v>2039.04309082031</v>
      </c>
    </row>
    <row r="558" spans="1:6" x14ac:dyDescent="0.15">
      <c r="A558" s="2">
        <v>44958</v>
      </c>
      <c r="B558" s="1" t="s">
        <v>10</v>
      </c>
      <c r="C558" s="1" t="s">
        <v>18</v>
      </c>
      <c r="D558" s="1">
        <v>18.578865051269499</v>
      </c>
      <c r="E558" s="1">
        <v>180.40723950854701</v>
      </c>
      <c r="F558" s="1">
        <v>1820</v>
      </c>
    </row>
    <row r="559" spans="1:6" x14ac:dyDescent="0.15">
      <c r="A559" s="2">
        <v>44958</v>
      </c>
      <c r="B559" s="1" t="s">
        <v>14</v>
      </c>
      <c r="C559" s="1" t="s">
        <v>18</v>
      </c>
      <c r="D559" s="1">
        <v>18.578865051269499</v>
      </c>
      <c r="E559" s="1">
        <v>180.40723950854701</v>
      </c>
      <c r="F559" s="1">
        <v>1820</v>
      </c>
    </row>
    <row r="560" spans="1:6" x14ac:dyDescent="0.15">
      <c r="A560" s="2">
        <v>44958</v>
      </c>
      <c r="B560" s="1" t="s">
        <v>12</v>
      </c>
      <c r="C560" s="1" t="s">
        <v>18</v>
      </c>
      <c r="D560" s="1">
        <v>18.578865051269499</v>
      </c>
      <c r="E560" s="1">
        <v>180.40723950854701</v>
      </c>
      <c r="F560" s="1">
        <v>1820</v>
      </c>
    </row>
    <row r="561" spans="1:6" x14ac:dyDescent="0.15">
      <c r="A561" s="2">
        <v>44958</v>
      </c>
      <c r="B561" s="1" t="s">
        <v>6</v>
      </c>
      <c r="C561" s="1" t="s">
        <v>18</v>
      </c>
      <c r="D561" s="1">
        <v>18.578865051269499</v>
      </c>
      <c r="E561" s="1">
        <v>180.40723950854701</v>
      </c>
      <c r="F561" s="1">
        <v>1820</v>
      </c>
    </row>
    <row r="562" spans="1:6" x14ac:dyDescent="0.15">
      <c r="A562" s="2">
        <v>44958</v>
      </c>
      <c r="B562" s="1" t="s">
        <v>13</v>
      </c>
      <c r="C562" s="1" t="s">
        <v>18</v>
      </c>
      <c r="D562" s="1">
        <v>18.578865051269499</v>
      </c>
      <c r="E562" s="1">
        <v>180.40723950854701</v>
      </c>
      <c r="F562" s="1">
        <v>1820</v>
      </c>
    </row>
    <row r="563" spans="1:6" x14ac:dyDescent="0.15">
      <c r="A563" s="2">
        <v>44986</v>
      </c>
      <c r="B563" s="1" t="s">
        <v>6</v>
      </c>
      <c r="C563" s="1" t="s">
        <v>22</v>
      </c>
      <c r="D563" s="1">
        <v>93.196271896362305</v>
      </c>
      <c r="E563" s="1">
        <v>344.68717840331999</v>
      </c>
      <c r="F563" s="1">
        <v>639.11721801757801</v>
      </c>
    </row>
    <row r="564" spans="1:6" x14ac:dyDescent="0.15">
      <c r="A564" s="3">
        <v>44835</v>
      </c>
      <c r="B564" s="1" t="s">
        <v>12</v>
      </c>
      <c r="C564" s="1" t="s">
        <v>9</v>
      </c>
      <c r="D564" s="1">
        <v>20.6301956176757</v>
      </c>
      <c r="E564" s="1">
        <v>172.36877358276999</v>
      </c>
      <c r="F564" s="1">
        <v>799.87561035156205</v>
      </c>
    </row>
    <row r="565" spans="1:6" x14ac:dyDescent="0.15">
      <c r="A565" s="3">
        <v>44835</v>
      </c>
      <c r="B565" s="1" t="s">
        <v>6</v>
      </c>
      <c r="C565" s="1" t="s">
        <v>9</v>
      </c>
      <c r="D565" s="1">
        <v>20.6301956176757</v>
      </c>
      <c r="E565" s="1">
        <v>172.36877358276999</v>
      </c>
      <c r="F565" s="1">
        <v>799.87561035156205</v>
      </c>
    </row>
    <row r="566" spans="1:6" x14ac:dyDescent="0.15">
      <c r="A566" s="3">
        <v>44835</v>
      </c>
      <c r="B566" s="1" t="s">
        <v>13</v>
      </c>
      <c r="C566" s="1" t="s">
        <v>9</v>
      </c>
      <c r="D566" s="1">
        <v>20.6301956176757</v>
      </c>
      <c r="E566" s="1">
        <v>172.36877358276999</v>
      </c>
      <c r="F566" s="1">
        <v>799.87561035156205</v>
      </c>
    </row>
    <row r="567" spans="1:6" x14ac:dyDescent="0.15">
      <c r="A567" s="3">
        <v>44835</v>
      </c>
      <c r="B567" s="1" t="s">
        <v>14</v>
      </c>
      <c r="C567" s="1" t="s">
        <v>9</v>
      </c>
      <c r="D567" s="1">
        <v>20.6301956176757</v>
      </c>
      <c r="E567" s="1">
        <v>172.36877358276999</v>
      </c>
      <c r="F567" s="1">
        <v>799.87561035156205</v>
      </c>
    </row>
    <row r="568" spans="1:6" x14ac:dyDescent="0.15">
      <c r="A568" s="3">
        <v>44835</v>
      </c>
      <c r="B568" s="1" t="s">
        <v>10</v>
      </c>
      <c r="C568" s="1" t="s">
        <v>9</v>
      </c>
      <c r="D568" s="1">
        <v>20.6301956176757</v>
      </c>
      <c r="E568" s="1">
        <v>172.36877358276999</v>
      </c>
      <c r="F568" s="1">
        <v>799.87561035156205</v>
      </c>
    </row>
    <row r="569" spans="1:6" x14ac:dyDescent="0.15">
      <c r="A569" s="2">
        <v>44713</v>
      </c>
      <c r="B569" s="1" t="s">
        <v>6</v>
      </c>
      <c r="C569" s="1" t="s">
        <v>23</v>
      </c>
      <c r="D569" s="1">
        <v>41</v>
      </c>
      <c r="E569" s="1">
        <v>327.66284999558599</v>
      </c>
      <c r="F569" s="1">
        <v>1488.5</v>
      </c>
    </row>
    <row r="570" spans="1:6" x14ac:dyDescent="0.15">
      <c r="A570" s="2">
        <v>44713</v>
      </c>
      <c r="B570" s="1" t="s">
        <v>12</v>
      </c>
      <c r="C570" s="1" t="s">
        <v>23</v>
      </c>
      <c r="D570" s="1">
        <v>41</v>
      </c>
      <c r="E570" s="1">
        <v>327.66284999558599</v>
      </c>
      <c r="F570" s="1">
        <v>1488.5</v>
      </c>
    </row>
    <row r="571" spans="1:6" x14ac:dyDescent="0.15">
      <c r="A571" s="2">
        <v>44713</v>
      </c>
      <c r="B571" s="1" t="s">
        <v>14</v>
      </c>
      <c r="C571" s="1" t="s">
        <v>23</v>
      </c>
      <c r="D571" s="1">
        <v>41</v>
      </c>
      <c r="E571" s="1">
        <v>327.66284999558599</v>
      </c>
      <c r="F571" s="1">
        <v>1488.5</v>
      </c>
    </row>
    <row r="572" spans="1:6" x14ac:dyDescent="0.15">
      <c r="A572" s="2">
        <v>44713</v>
      </c>
      <c r="B572" s="1" t="s">
        <v>13</v>
      </c>
      <c r="C572" s="1" t="s">
        <v>23</v>
      </c>
      <c r="D572" s="1">
        <v>41</v>
      </c>
      <c r="E572" s="1">
        <v>327.66284999558599</v>
      </c>
      <c r="F572" s="1">
        <v>1488.5</v>
      </c>
    </row>
    <row r="573" spans="1:6" x14ac:dyDescent="0.15">
      <c r="A573" s="2">
        <v>44713</v>
      </c>
      <c r="B573" s="1" t="s">
        <v>10</v>
      </c>
      <c r="C573" s="1" t="s">
        <v>23</v>
      </c>
      <c r="D573" s="1">
        <v>41</v>
      </c>
      <c r="E573" s="1">
        <v>327.66284999558599</v>
      </c>
      <c r="F573" s="1">
        <v>1488.5</v>
      </c>
    </row>
    <row r="574" spans="1:6" x14ac:dyDescent="0.15">
      <c r="A574" s="2">
        <v>44562</v>
      </c>
      <c r="B574" s="1" t="s">
        <v>14</v>
      </c>
      <c r="C574" s="1" t="s">
        <v>21</v>
      </c>
      <c r="D574" s="1">
        <v>71.048103332519503</v>
      </c>
      <c r="E574" s="1">
        <v>698.83867205545505</v>
      </c>
      <c r="F574" s="1">
        <v>3112.5</v>
      </c>
    </row>
    <row r="575" spans="1:6" x14ac:dyDescent="0.15">
      <c r="A575" s="2">
        <v>44562</v>
      </c>
      <c r="B575" s="1" t="s">
        <v>6</v>
      </c>
      <c r="C575" s="1" t="s">
        <v>21</v>
      </c>
      <c r="D575" s="1">
        <v>71.048103332519503</v>
      </c>
      <c r="E575" s="1">
        <v>698.83867205545505</v>
      </c>
      <c r="F575" s="1">
        <v>3112.5</v>
      </c>
    </row>
    <row r="576" spans="1:6" x14ac:dyDescent="0.15">
      <c r="A576" s="2">
        <v>44562</v>
      </c>
      <c r="B576" s="1" t="s">
        <v>13</v>
      </c>
      <c r="C576" s="1" t="s">
        <v>21</v>
      </c>
      <c r="D576" s="1">
        <v>71.048103332519503</v>
      </c>
      <c r="E576" s="1">
        <v>698.83867205545505</v>
      </c>
      <c r="F576" s="1">
        <v>3112.5</v>
      </c>
    </row>
    <row r="577" spans="1:6" x14ac:dyDescent="0.15">
      <c r="A577" s="2">
        <v>44562</v>
      </c>
      <c r="B577" s="1" t="s">
        <v>10</v>
      </c>
      <c r="C577" s="1" t="s">
        <v>21</v>
      </c>
      <c r="D577" s="1">
        <v>71.048103332519503</v>
      </c>
      <c r="E577" s="1">
        <v>698.83867205545505</v>
      </c>
      <c r="F577" s="1">
        <v>3112.5</v>
      </c>
    </row>
    <row r="578" spans="1:6" x14ac:dyDescent="0.15">
      <c r="A578" s="2">
        <v>44562</v>
      </c>
      <c r="B578" s="1" t="s">
        <v>12</v>
      </c>
      <c r="C578" s="1" t="s">
        <v>21</v>
      </c>
      <c r="D578" s="1">
        <v>71.048103332519503</v>
      </c>
      <c r="E578" s="1">
        <v>698.83867205545505</v>
      </c>
      <c r="F578" s="1">
        <v>3112.5</v>
      </c>
    </row>
    <row r="579" spans="1:6" x14ac:dyDescent="0.15">
      <c r="A579" s="2">
        <v>44927</v>
      </c>
      <c r="B579" s="1" t="s">
        <v>13</v>
      </c>
      <c r="C579" s="1" t="s">
        <v>7</v>
      </c>
      <c r="D579" s="1">
        <v>33</v>
      </c>
      <c r="E579" s="1">
        <v>278.23531186371599</v>
      </c>
      <c r="F579" s="1">
        <v>3760</v>
      </c>
    </row>
    <row r="580" spans="1:6" x14ac:dyDescent="0.15">
      <c r="A580" s="2">
        <v>44927</v>
      </c>
      <c r="B580" s="1" t="s">
        <v>10</v>
      </c>
      <c r="C580" s="1" t="s">
        <v>7</v>
      </c>
      <c r="D580" s="1">
        <v>33</v>
      </c>
      <c r="E580" s="1">
        <v>278.23531186371599</v>
      </c>
      <c r="F580" s="1">
        <v>3760</v>
      </c>
    </row>
    <row r="581" spans="1:6" x14ac:dyDescent="0.15">
      <c r="A581" s="2">
        <v>44927</v>
      </c>
      <c r="B581" s="1" t="s">
        <v>6</v>
      </c>
      <c r="C581" s="1" t="s">
        <v>7</v>
      </c>
      <c r="D581" s="1">
        <v>33</v>
      </c>
      <c r="E581" s="1">
        <v>278.23531186371599</v>
      </c>
      <c r="F581" s="1">
        <v>3760</v>
      </c>
    </row>
    <row r="582" spans="1:6" x14ac:dyDescent="0.15">
      <c r="A582" s="2">
        <v>44927</v>
      </c>
      <c r="B582" s="1" t="s">
        <v>14</v>
      </c>
      <c r="C582" s="1" t="s">
        <v>7</v>
      </c>
      <c r="D582" s="1">
        <v>33</v>
      </c>
      <c r="E582" s="1">
        <v>278.23531186371599</v>
      </c>
      <c r="F582" s="1">
        <v>3760</v>
      </c>
    </row>
    <row r="583" spans="1:6" x14ac:dyDescent="0.15">
      <c r="A583" s="2">
        <v>44927</v>
      </c>
      <c r="B583" s="1" t="s">
        <v>12</v>
      </c>
      <c r="C583" s="1" t="s">
        <v>7</v>
      </c>
      <c r="D583" s="1">
        <v>33</v>
      </c>
      <c r="E583" s="1">
        <v>278.23531186371599</v>
      </c>
      <c r="F583" s="1">
        <v>3760</v>
      </c>
    </row>
    <row r="584" spans="1:6" x14ac:dyDescent="0.15">
      <c r="A584" s="2">
        <v>44652</v>
      </c>
      <c r="B584" s="1" t="s">
        <v>13</v>
      </c>
      <c r="C584" s="1" t="s">
        <v>19</v>
      </c>
      <c r="D584" s="1">
        <v>43.635046872225601</v>
      </c>
      <c r="E584" s="1">
        <v>458.00773657230002</v>
      </c>
      <c r="F584" s="1">
        <v>3147.90869140625</v>
      </c>
    </row>
    <row r="585" spans="1:6" x14ac:dyDescent="0.15">
      <c r="A585" s="2">
        <v>44652</v>
      </c>
      <c r="B585" s="1" t="s">
        <v>6</v>
      </c>
      <c r="C585" s="1" t="s">
        <v>19</v>
      </c>
      <c r="D585" s="1">
        <v>43.635046872225601</v>
      </c>
      <c r="E585" s="1">
        <v>458.00773657230002</v>
      </c>
      <c r="F585" s="1">
        <v>3147.90869140625</v>
      </c>
    </row>
    <row r="586" spans="1:6" x14ac:dyDescent="0.15">
      <c r="A586" s="2">
        <v>44652</v>
      </c>
      <c r="B586" s="1" t="s">
        <v>12</v>
      </c>
      <c r="C586" s="1" t="s">
        <v>19</v>
      </c>
      <c r="D586" s="1">
        <v>43.635046872225601</v>
      </c>
      <c r="E586" s="1">
        <v>458.00773657230002</v>
      </c>
      <c r="F586" s="1">
        <v>3147.90869140625</v>
      </c>
    </row>
    <row r="587" spans="1:6" x14ac:dyDescent="0.15">
      <c r="A587" s="2">
        <v>44652</v>
      </c>
      <c r="B587" s="1" t="s">
        <v>10</v>
      </c>
      <c r="C587" s="1" t="s">
        <v>19</v>
      </c>
      <c r="D587" s="1">
        <v>43.635046872225601</v>
      </c>
      <c r="E587" s="1">
        <v>458.00773657230002</v>
      </c>
      <c r="F587" s="1">
        <v>3147.90869140625</v>
      </c>
    </row>
    <row r="588" spans="1:6" x14ac:dyDescent="0.15">
      <c r="A588" s="2">
        <v>44652</v>
      </c>
      <c r="B588" s="1" t="s">
        <v>14</v>
      </c>
      <c r="C588" s="1" t="s">
        <v>19</v>
      </c>
      <c r="D588" s="1">
        <v>43.635046872225601</v>
      </c>
      <c r="E588" s="1">
        <v>458.00773657230002</v>
      </c>
      <c r="F588" s="1">
        <v>3147.90869140625</v>
      </c>
    </row>
    <row r="589" spans="1:6" x14ac:dyDescent="0.15">
      <c r="A589" s="3">
        <v>44896</v>
      </c>
      <c r="B589" s="1" t="s">
        <v>10</v>
      </c>
      <c r="C589" s="1" t="s">
        <v>23</v>
      </c>
      <c r="D589" s="1">
        <v>41</v>
      </c>
      <c r="E589" s="1">
        <v>347.564984658448</v>
      </c>
      <c r="F589" s="1">
        <v>2039.04309082031</v>
      </c>
    </row>
    <row r="590" spans="1:6" x14ac:dyDescent="0.15">
      <c r="A590" s="3">
        <v>44896</v>
      </c>
      <c r="B590" s="1" t="s">
        <v>14</v>
      </c>
      <c r="C590" s="1" t="s">
        <v>23</v>
      </c>
      <c r="D590" s="1">
        <v>41</v>
      </c>
      <c r="E590" s="1">
        <v>347.564984658448</v>
      </c>
      <c r="F590" s="1">
        <v>2039.04309082031</v>
      </c>
    </row>
    <row r="591" spans="1:6" x14ac:dyDescent="0.15">
      <c r="A591" s="3">
        <v>44896</v>
      </c>
      <c r="B591" s="1" t="s">
        <v>6</v>
      </c>
      <c r="C591" s="1" t="s">
        <v>23</v>
      </c>
      <c r="D591" s="1">
        <v>41</v>
      </c>
      <c r="E591" s="1">
        <v>347.564984658448</v>
      </c>
      <c r="F591" s="1">
        <v>2039.04309082031</v>
      </c>
    </row>
    <row r="592" spans="1:6" x14ac:dyDescent="0.15">
      <c r="A592" s="3">
        <v>44896</v>
      </c>
      <c r="B592" s="1" t="s">
        <v>13</v>
      </c>
      <c r="C592" s="1" t="s">
        <v>23</v>
      </c>
      <c r="D592" s="1">
        <v>41</v>
      </c>
      <c r="E592" s="1">
        <v>347.564984658448</v>
      </c>
      <c r="F592" s="1">
        <v>2039.04309082031</v>
      </c>
    </row>
    <row r="593" spans="1:6" x14ac:dyDescent="0.15">
      <c r="A593" s="3">
        <v>44896</v>
      </c>
      <c r="B593" s="1" t="s">
        <v>12</v>
      </c>
      <c r="C593" s="1" t="s">
        <v>23</v>
      </c>
      <c r="D593" s="1">
        <v>41</v>
      </c>
      <c r="E593" s="1">
        <v>347.564984658448</v>
      </c>
      <c r="F593" s="1">
        <v>2039.04309082031</v>
      </c>
    </row>
    <row r="594" spans="1:6" x14ac:dyDescent="0.15">
      <c r="A594" s="3">
        <v>44896</v>
      </c>
      <c r="B594" s="1" t="s">
        <v>10</v>
      </c>
      <c r="C594" s="1" t="s">
        <v>9</v>
      </c>
      <c r="D594" s="1">
        <v>21.131856918334901</v>
      </c>
      <c r="E594" s="1">
        <v>187.46318050491101</v>
      </c>
      <c r="F594" s="1">
        <v>2039.04309082031</v>
      </c>
    </row>
    <row r="595" spans="1:6" x14ac:dyDescent="0.15">
      <c r="A595" s="3">
        <v>44896</v>
      </c>
      <c r="B595" s="1" t="s">
        <v>14</v>
      </c>
      <c r="C595" s="1" t="s">
        <v>9</v>
      </c>
      <c r="D595" s="1">
        <v>21.131856918334901</v>
      </c>
      <c r="E595" s="1">
        <v>187.46318050491101</v>
      </c>
      <c r="F595" s="1">
        <v>2039.04309082031</v>
      </c>
    </row>
    <row r="596" spans="1:6" x14ac:dyDescent="0.15">
      <c r="A596" s="3">
        <v>44896</v>
      </c>
      <c r="B596" s="1" t="s">
        <v>6</v>
      </c>
      <c r="C596" s="1" t="s">
        <v>9</v>
      </c>
      <c r="D596" s="1">
        <v>21.131856918334901</v>
      </c>
      <c r="E596" s="1">
        <v>187.46318050491101</v>
      </c>
      <c r="F596" s="1">
        <v>2039.04309082031</v>
      </c>
    </row>
    <row r="597" spans="1:6" x14ac:dyDescent="0.15">
      <c r="A597" s="3">
        <v>44896</v>
      </c>
      <c r="B597" s="1" t="s">
        <v>13</v>
      </c>
      <c r="C597" s="1" t="s">
        <v>9</v>
      </c>
      <c r="D597" s="1">
        <v>21.131856918334901</v>
      </c>
      <c r="E597" s="1">
        <v>187.46318050491101</v>
      </c>
      <c r="F597" s="1">
        <v>2039.04309082031</v>
      </c>
    </row>
    <row r="598" spans="1:6" x14ac:dyDescent="0.15">
      <c r="A598" s="3">
        <v>44896</v>
      </c>
      <c r="B598" s="1" t="s">
        <v>12</v>
      </c>
      <c r="C598" s="1" t="s">
        <v>9</v>
      </c>
      <c r="D598" s="1">
        <v>21.131856918334901</v>
      </c>
      <c r="E598" s="1">
        <v>187.46318050491101</v>
      </c>
      <c r="F598" s="1">
        <v>2039.04309082031</v>
      </c>
    </row>
    <row r="599" spans="1:6" x14ac:dyDescent="0.15">
      <c r="A599" s="2">
        <v>44562</v>
      </c>
      <c r="B599" s="1" t="s">
        <v>14</v>
      </c>
      <c r="C599" s="1" t="s">
        <v>19</v>
      </c>
      <c r="D599" s="1">
        <v>66.922064208984295</v>
      </c>
      <c r="E599" s="1">
        <v>422.10263430159102</v>
      </c>
      <c r="F599" s="1">
        <v>1879.5</v>
      </c>
    </row>
    <row r="600" spans="1:6" x14ac:dyDescent="0.15">
      <c r="A600" s="2">
        <v>44562</v>
      </c>
      <c r="B600" s="1" t="s">
        <v>6</v>
      </c>
      <c r="C600" s="1" t="s">
        <v>19</v>
      </c>
      <c r="D600" s="1">
        <v>66.922064208984295</v>
      </c>
      <c r="E600" s="1">
        <v>422.10263430159102</v>
      </c>
      <c r="F600" s="1">
        <v>1879.5</v>
      </c>
    </row>
    <row r="601" spans="1:6" x14ac:dyDescent="0.15">
      <c r="A601" s="2">
        <v>44562</v>
      </c>
      <c r="B601" s="1" t="s">
        <v>13</v>
      </c>
      <c r="C601" s="1" t="s">
        <v>19</v>
      </c>
      <c r="D601" s="1">
        <v>66.922064208984295</v>
      </c>
      <c r="E601" s="1">
        <v>422.10263430159102</v>
      </c>
      <c r="F601" s="1">
        <v>1879.5</v>
      </c>
    </row>
    <row r="602" spans="1:6" x14ac:dyDescent="0.15">
      <c r="A602" s="2">
        <v>44562</v>
      </c>
      <c r="B602" s="1" t="s">
        <v>10</v>
      </c>
      <c r="C602" s="1" t="s">
        <v>19</v>
      </c>
      <c r="D602" s="1">
        <v>66.922064208984295</v>
      </c>
      <c r="E602" s="1">
        <v>422.10263430159102</v>
      </c>
      <c r="F602" s="1">
        <v>1879.5</v>
      </c>
    </row>
    <row r="603" spans="1:6" x14ac:dyDescent="0.15">
      <c r="A603" s="2">
        <v>44562</v>
      </c>
      <c r="B603" s="1" t="s">
        <v>12</v>
      </c>
      <c r="C603" s="1" t="s">
        <v>19</v>
      </c>
      <c r="D603" s="1">
        <v>66.922064208984295</v>
      </c>
      <c r="E603" s="1">
        <v>422.10263430159102</v>
      </c>
      <c r="F603" s="1">
        <v>1879.5</v>
      </c>
    </row>
    <row r="604" spans="1:6" x14ac:dyDescent="0.15">
      <c r="A604" s="3">
        <v>44835</v>
      </c>
      <c r="B604" s="1" t="s">
        <v>12</v>
      </c>
      <c r="C604" s="1" t="s">
        <v>22</v>
      </c>
      <c r="D604" s="1">
        <v>8</v>
      </c>
      <c r="E604" s="1">
        <v>107.678133871488</v>
      </c>
      <c r="F604" s="1">
        <v>838.5</v>
      </c>
    </row>
    <row r="605" spans="1:6" x14ac:dyDescent="0.15">
      <c r="A605" s="3">
        <v>44835</v>
      </c>
      <c r="B605" s="1" t="s">
        <v>6</v>
      </c>
      <c r="C605" s="1" t="s">
        <v>22</v>
      </c>
      <c r="D605" s="1">
        <v>8</v>
      </c>
      <c r="E605" s="1">
        <v>107.678133871488</v>
      </c>
      <c r="F605" s="1">
        <v>838.5</v>
      </c>
    </row>
    <row r="606" spans="1:6" x14ac:dyDescent="0.15">
      <c r="A606" s="3">
        <v>44835</v>
      </c>
      <c r="B606" s="1" t="s">
        <v>13</v>
      </c>
      <c r="C606" s="1" t="s">
        <v>22</v>
      </c>
      <c r="D606" s="1">
        <v>8</v>
      </c>
      <c r="E606" s="1">
        <v>107.678133871488</v>
      </c>
      <c r="F606" s="1">
        <v>838.5</v>
      </c>
    </row>
    <row r="607" spans="1:6" x14ac:dyDescent="0.15">
      <c r="A607" s="3">
        <v>44835</v>
      </c>
      <c r="B607" s="1" t="s">
        <v>14</v>
      </c>
      <c r="C607" s="1" t="s">
        <v>22</v>
      </c>
      <c r="D607" s="1">
        <v>8</v>
      </c>
      <c r="E607" s="1">
        <v>107.678133871488</v>
      </c>
      <c r="F607" s="1">
        <v>838.5</v>
      </c>
    </row>
    <row r="608" spans="1:6" x14ac:dyDescent="0.15">
      <c r="A608" s="3">
        <v>44835</v>
      </c>
      <c r="B608" s="1" t="s">
        <v>10</v>
      </c>
      <c r="C608" s="1" t="s">
        <v>22</v>
      </c>
      <c r="D608" s="1">
        <v>8</v>
      </c>
      <c r="E608" s="1">
        <v>107.678133871488</v>
      </c>
      <c r="F608" s="1">
        <v>838.5</v>
      </c>
    </row>
    <row r="609" spans="1:6" x14ac:dyDescent="0.15">
      <c r="A609" s="2">
        <v>44593</v>
      </c>
      <c r="B609" s="1" t="s">
        <v>10</v>
      </c>
      <c r="C609" s="1" t="s">
        <v>22</v>
      </c>
      <c r="D609" s="1">
        <v>13.168941497802701</v>
      </c>
      <c r="E609" s="1">
        <v>103.436478069293</v>
      </c>
      <c r="F609" s="1">
        <v>1604</v>
      </c>
    </row>
    <row r="610" spans="1:6" x14ac:dyDescent="0.15">
      <c r="A610" s="2">
        <v>44593</v>
      </c>
      <c r="B610" s="1" t="s">
        <v>6</v>
      </c>
      <c r="C610" s="1" t="s">
        <v>22</v>
      </c>
      <c r="D610" s="1">
        <v>13.168941497802701</v>
      </c>
      <c r="E610" s="1">
        <v>103.436478069293</v>
      </c>
      <c r="F610" s="1">
        <v>1604</v>
      </c>
    </row>
    <row r="611" spans="1:6" x14ac:dyDescent="0.15">
      <c r="A611" s="2">
        <v>44593</v>
      </c>
      <c r="B611" s="1" t="s">
        <v>12</v>
      </c>
      <c r="C611" s="1" t="s">
        <v>22</v>
      </c>
      <c r="D611" s="1">
        <v>13.168941497802701</v>
      </c>
      <c r="E611" s="1">
        <v>103.436478069293</v>
      </c>
      <c r="F611" s="1">
        <v>1604</v>
      </c>
    </row>
    <row r="612" spans="1:6" x14ac:dyDescent="0.15">
      <c r="A612" s="2">
        <v>44593</v>
      </c>
      <c r="B612" s="1" t="s">
        <v>14</v>
      </c>
      <c r="C612" s="1" t="s">
        <v>22</v>
      </c>
      <c r="D612" s="1">
        <v>13.168941497802701</v>
      </c>
      <c r="E612" s="1">
        <v>103.436478069293</v>
      </c>
      <c r="F612" s="1">
        <v>1604</v>
      </c>
    </row>
    <row r="613" spans="1:6" x14ac:dyDescent="0.15">
      <c r="A613" s="2">
        <v>44593</v>
      </c>
      <c r="B613" s="1" t="s">
        <v>13</v>
      </c>
      <c r="C613" s="1" t="s">
        <v>22</v>
      </c>
      <c r="D613" s="1">
        <v>13.168941497802701</v>
      </c>
      <c r="E613" s="1">
        <v>103.436478069293</v>
      </c>
      <c r="F613" s="1">
        <v>1604</v>
      </c>
    </row>
    <row r="614" spans="1:6" x14ac:dyDescent="0.15">
      <c r="A614" s="2">
        <v>44958</v>
      </c>
      <c r="B614" s="1" t="s">
        <v>10</v>
      </c>
      <c r="C614" s="1" t="s">
        <v>20</v>
      </c>
      <c r="D614" s="1">
        <v>6.7743735313415501</v>
      </c>
      <c r="E614" s="1">
        <v>131.22857443211601</v>
      </c>
      <c r="F614" s="1">
        <v>1820</v>
      </c>
    </row>
    <row r="615" spans="1:6" x14ac:dyDescent="0.15">
      <c r="A615" s="2">
        <v>44958</v>
      </c>
      <c r="B615" s="1" t="s">
        <v>14</v>
      </c>
      <c r="C615" s="1" t="s">
        <v>20</v>
      </c>
      <c r="D615" s="1">
        <v>6.7743735313415501</v>
      </c>
      <c r="E615" s="1">
        <v>131.22857443211601</v>
      </c>
      <c r="F615" s="1">
        <v>1820</v>
      </c>
    </row>
    <row r="616" spans="1:6" x14ac:dyDescent="0.15">
      <c r="A616" s="2">
        <v>44958</v>
      </c>
      <c r="B616" s="1" t="s">
        <v>12</v>
      </c>
      <c r="C616" s="1" t="s">
        <v>20</v>
      </c>
      <c r="D616" s="1">
        <v>6.7743735313415501</v>
      </c>
      <c r="E616" s="1">
        <v>131.22857443211601</v>
      </c>
      <c r="F616" s="1">
        <v>1820</v>
      </c>
    </row>
    <row r="617" spans="1:6" x14ac:dyDescent="0.15">
      <c r="A617" s="2">
        <v>44958</v>
      </c>
      <c r="B617" s="1" t="s">
        <v>6</v>
      </c>
      <c r="C617" s="1" t="s">
        <v>20</v>
      </c>
      <c r="D617" s="1">
        <v>6.7743735313415501</v>
      </c>
      <c r="E617" s="1">
        <v>131.22857443211601</v>
      </c>
      <c r="F617" s="1">
        <v>1820</v>
      </c>
    </row>
    <row r="618" spans="1:6" x14ac:dyDescent="0.15">
      <c r="A618" s="2">
        <v>44958</v>
      </c>
      <c r="B618" s="1" t="s">
        <v>13</v>
      </c>
      <c r="C618" s="1" t="s">
        <v>20</v>
      </c>
      <c r="D618" s="1">
        <v>6.7743735313415501</v>
      </c>
      <c r="E618" s="1">
        <v>131.22857443211601</v>
      </c>
      <c r="F618" s="1">
        <v>1820</v>
      </c>
    </row>
    <row r="619" spans="1:6" x14ac:dyDescent="0.15">
      <c r="A619" s="2">
        <v>44713</v>
      </c>
      <c r="B619" s="1" t="s">
        <v>6</v>
      </c>
      <c r="C619" s="1" t="s">
        <v>24</v>
      </c>
      <c r="D619" s="1">
        <v>37</v>
      </c>
      <c r="E619" s="1">
        <v>281.690124021381</v>
      </c>
      <c r="F619" s="1">
        <v>1352.5</v>
      </c>
    </row>
    <row r="620" spans="1:6" x14ac:dyDescent="0.15">
      <c r="A620" s="2">
        <v>44713</v>
      </c>
      <c r="B620" s="1" t="s">
        <v>12</v>
      </c>
      <c r="C620" s="1" t="s">
        <v>24</v>
      </c>
      <c r="D620" s="1">
        <v>37</v>
      </c>
      <c r="E620" s="1">
        <v>281.690124021381</v>
      </c>
      <c r="F620" s="1">
        <v>1352.5</v>
      </c>
    </row>
    <row r="621" spans="1:6" x14ac:dyDescent="0.15">
      <c r="A621" s="2">
        <v>44713</v>
      </c>
      <c r="B621" s="1" t="s">
        <v>14</v>
      </c>
      <c r="C621" s="1" t="s">
        <v>24</v>
      </c>
      <c r="D621" s="1">
        <v>37</v>
      </c>
      <c r="E621" s="1">
        <v>281.690124021381</v>
      </c>
      <c r="F621" s="1">
        <v>1352.5</v>
      </c>
    </row>
    <row r="622" spans="1:6" x14ac:dyDescent="0.15">
      <c r="A622" s="2">
        <v>44713</v>
      </c>
      <c r="B622" s="1" t="s">
        <v>13</v>
      </c>
      <c r="C622" s="1" t="s">
        <v>24</v>
      </c>
      <c r="D622" s="1">
        <v>37</v>
      </c>
      <c r="E622" s="1">
        <v>281.690124021381</v>
      </c>
      <c r="F622" s="1">
        <v>1352.5</v>
      </c>
    </row>
    <row r="623" spans="1:6" x14ac:dyDescent="0.15">
      <c r="A623" s="2">
        <v>44713</v>
      </c>
      <c r="B623" s="1" t="s">
        <v>10</v>
      </c>
      <c r="C623" s="1" t="s">
        <v>24</v>
      </c>
      <c r="D623" s="1">
        <v>37</v>
      </c>
      <c r="E623" s="1">
        <v>281.690124021381</v>
      </c>
      <c r="F623" s="1">
        <v>1352.5</v>
      </c>
    </row>
    <row r="624" spans="1:6" x14ac:dyDescent="0.15">
      <c r="A624" s="2">
        <v>44805</v>
      </c>
      <c r="B624" s="1" t="s">
        <v>10</v>
      </c>
      <c r="C624" s="1" t="s">
        <v>20</v>
      </c>
      <c r="D624" s="1">
        <v>4</v>
      </c>
      <c r="E624" s="1">
        <v>93.268768655354293</v>
      </c>
      <c r="F624" s="1">
        <v>895</v>
      </c>
    </row>
    <row r="625" spans="1:6" x14ac:dyDescent="0.15">
      <c r="A625" s="2">
        <v>44805</v>
      </c>
      <c r="B625" s="1" t="s">
        <v>6</v>
      </c>
      <c r="C625" s="1" t="s">
        <v>20</v>
      </c>
      <c r="D625" s="1">
        <v>4</v>
      </c>
      <c r="E625" s="1">
        <v>93.268768655354293</v>
      </c>
      <c r="F625" s="1">
        <v>895</v>
      </c>
    </row>
    <row r="626" spans="1:6" x14ac:dyDescent="0.15">
      <c r="A626" s="2">
        <v>44805</v>
      </c>
      <c r="B626" s="1" t="s">
        <v>12</v>
      </c>
      <c r="C626" s="1" t="s">
        <v>20</v>
      </c>
      <c r="D626" s="1">
        <v>4</v>
      </c>
      <c r="E626" s="1">
        <v>93.268768655354293</v>
      </c>
      <c r="F626" s="1">
        <v>895</v>
      </c>
    </row>
    <row r="627" spans="1:6" x14ac:dyDescent="0.15">
      <c r="A627" s="2">
        <v>44805</v>
      </c>
      <c r="B627" s="1" t="s">
        <v>13</v>
      </c>
      <c r="C627" s="1" t="s">
        <v>20</v>
      </c>
      <c r="D627" s="1">
        <v>4</v>
      </c>
      <c r="E627" s="1">
        <v>93.268768655354293</v>
      </c>
      <c r="F627" s="1">
        <v>895</v>
      </c>
    </row>
    <row r="628" spans="1:6" x14ac:dyDescent="0.15">
      <c r="A628" s="2">
        <v>44805</v>
      </c>
      <c r="B628" s="1" t="s">
        <v>14</v>
      </c>
      <c r="C628" s="1" t="s">
        <v>20</v>
      </c>
      <c r="D628" s="1">
        <v>4</v>
      </c>
      <c r="E628" s="1">
        <v>93.268768655354293</v>
      </c>
      <c r="F628" s="1">
        <v>895</v>
      </c>
    </row>
    <row r="629" spans="1:6" x14ac:dyDescent="0.15">
      <c r="A629" s="2">
        <v>44682</v>
      </c>
      <c r="B629" s="1" t="s">
        <v>12</v>
      </c>
      <c r="C629" s="1" t="s">
        <v>11</v>
      </c>
      <c r="D629" s="1">
        <v>29</v>
      </c>
      <c r="E629" s="1">
        <v>214.05714025198</v>
      </c>
      <c r="F629" s="1">
        <v>1972.16784667968</v>
      </c>
    </row>
    <row r="630" spans="1:6" x14ac:dyDescent="0.15">
      <c r="A630" s="2">
        <v>44682</v>
      </c>
      <c r="B630" s="1" t="s">
        <v>14</v>
      </c>
      <c r="C630" s="1" t="s">
        <v>11</v>
      </c>
      <c r="D630" s="1">
        <v>29</v>
      </c>
      <c r="E630" s="1">
        <v>214.05714025198</v>
      </c>
      <c r="F630" s="1">
        <v>1972.16784667968</v>
      </c>
    </row>
    <row r="631" spans="1:6" x14ac:dyDescent="0.15">
      <c r="A631" s="2">
        <v>44682</v>
      </c>
      <c r="B631" s="1" t="s">
        <v>6</v>
      </c>
      <c r="C631" s="1" t="s">
        <v>11</v>
      </c>
      <c r="D631" s="1">
        <v>29</v>
      </c>
      <c r="E631" s="1">
        <v>214.05714025198</v>
      </c>
      <c r="F631" s="1">
        <v>1972.16784667968</v>
      </c>
    </row>
    <row r="632" spans="1:6" x14ac:dyDescent="0.15">
      <c r="A632" s="2">
        <v>44682</v>
      </c>
      <c r="B632" s="1" t="s">
        <v>13</v>
      </c>
      <c r="C632" s="1" t="s">
        <v>11</v>
      </c>
      <c r="D632" s="1">
        <v>29</v>
      </c>
      <c r="E632" s="1">
        <v>214.05714025198</v>
      </c>
      <c r="F632" s="1">
        <v>1972.16784667968</v>
      </c>
    </row>
    <row r="633" spans="1:6" x14ac:dyDescent="0.15">
      <c r="A633" s="2">
        <v>44682</v>
      </c>
      <c r="B633" s="1" t="s">
        <v>10</v>
      </c>
      <c r="C633" s="1" t="s">
        <v>11</v>
      </c>
      <c r="D633" s="1">
        <v>29</v>
      </c>
      <c r="E633" s="1">
        <v>214.05714025198</v>
      </c>
      <c r="F633" s="1">
        <v>1972.16784667968</v>
      </c>
    </row>
    <row r="634" spans="1:6" x14ac:dyDescent="0.15">
      <c r="A634" s="2">
        <v>44958</v>
      </c>
      <c r="B634" s="1" t="s">
        <v>10</v>
      </c>
      <c r="C634" s="1" t="s">
        <v>23</v>
      </c>
      <c r="D634" s="1">
        <v>53.047428131103501</v>
      </c>
      <c r="E634" s="1">
        <v>368.491174756536</v>
      </c>
      <c r="F634" s="1">
        <v>1982.21118164062</v>
      </c>
    </row>
    <row r="635" spans="1:6" x14ac:dyDescent="0.15">
      <c r="A635" s="2">
        <v>44958</v>
      </c>
      <c r="B635" s="1" t="s">
        <v>14</v>
      </c>
      <c r="C635" s="1" t="s">
        <v>23</v>
      </c>
      <c r="D635" s="1">
        <v>53.047428131103501</v>
      </c>
      <c r="E635" s="1">
        <v>368.491174756536</v>
      </c>
      <c r="F635" s="1">
        <v>1982.21118164062</v>
      </c>
    </row>
    <row r="636" spans="1:6" x14ac:dyDescent="0.15">
      <c r="A636" s="2">
        <v>44958</v>
      </c>
      <c r="B636" s="1" t="s">
        <v>12</v>
      </c>
      <c r="C636" s="1" t="s">
        <v>23</v>
      </c>
      <c r="D636" s="1">
        <v>53.047428131103501</v>
      </c>
      <c r="E636" s="1">
        <v>368.491174756536</v>
      </c>
      <c r="F636" s="1">
        <v>1982.21118164062</v>
      </c>
    </row>
    <row r="637" spans="1:6" x14ac:dyDescent="0.15">
      <c r="A637" s="2">
        <v>44958</v>
      </c>
      <c r="B637" s="1" t="s">
        <v>6</v>
      </c>
      <c r="C637" s="1" t="s">
        <v>23</v>
      </c>
      <c r="D637" s="1">
        <v>53.047428131103501</v>
      </c>
      <c r="E637" s="1">
        <v>368.491174756536</v>
      </c>
      <c r="F637" s="1">
        <v>1982.21118164062</v>
      </c>
    </row>
    <row r="638" spans="1:6" x14ac:dyDescent="0.15">
      <c r="A638" s="2">
        <v>44958</v>
      </c>
      <c r="B638" s="1" t="s">
        <v>13</v>
      </c>
      <c r="C638" s="1" t="s">
        <v>23</v>
      </c>
      <c r="D638" s="1">
        <v>53.047428131103501</v>
      </c>
      <c r="E638" s="1">
        <v>368.491174756536</v>
      </c>
      <c r="F638" s="1">
        <v>1982.21118164062</v>
      </c>
    </row>
    <row r="639" spans="1:6" x14ac:dyDescent="0.15">
      <c r="A639" s="3">
        <v>44835</v>
      </c>
      <c r="B639" s="1" t="s">
        <v>12</v>
      </c>
      <c r="C639" s="1" t="s">
        <v>21</v>
      </c>
      <c r="D639" s="1">
        <v>59.5</v>
      </c>
      <c r="E639" s="1">
        <v>770.91225334540604</v>
      </c>
      <c r="F639" s="1">
        <v>4503</v>
      </c>
    </row>
    <row r="640" spans="1:6" x14ac:dyDescent="0.15">
      <c r="A640" s="3">
        <v>44835</v>
      </c>
      <c r="B640" s="1" t="s">
        <v>6</v>
      </c>
      <c r="C640" s="1" t="s">
        <v>21</v>
      </c>
      <c r="D640" s="1">
        <v>59.5</v>
      </c>
      <c r="E640" s="1">
        <v>770.91225334540604</v>
      </c>
      <c r="F640" s="1">
        <v>4503</v>
      </c>
    </row>
    <row r="641" spans="1:6" x14ac:dyDescent="0.15">
      <c r="A641" s="3">
        <v>44835</v>
      </c>
      <c r="B641" s="1" t="s">
        <v>13</v>
      </c>
      <c r="C641" s="1" t="s">
        <v>21</v>
      </c>
      <c r="D641" s="1">
        <v>59.5</v>
      </c>
      <c r="E641" s="1">
        <v>770.91225334540604</v>
      </c>
      <c r="F641" s="1">
        <v>4503</v>
      </c>
    </row>
    <row r="642" spans="1:6" x14ac:dyDescent="0.15">
      <c r="A642" s="3">
        <v>44835</v>
      </c>
      <c r="B642" s="1" t="s">
        <v>14</v>
      </c>
      <c r="C642" s="1" t="s">
        <v>21</v>
      </c>
      <c r="D642" s="1">
        <v>59.5</v>
      </c>
      <c r="E642" s="1">
        <v>770.91225334540604</v>
      </c>
      <c r="F642" s="1">
        <v>4503</v>
      </c>
    </row>
    <row r="643" spans="1:6" x14ac:dyDescent="0.15">
      <c r="A643" s="3">
        <v>44835</v>
      </c>
      <c r="B643" s="1" t="s">
        <v>10</v>
      </c>
      <c r="C643" s="1" t="s">
        <v>21</v>
      </c>
      <c r="D643" s="1">
        <v>59.5</v>
      </c>
      <c r="E643" s="1">
        <v>770.91225334540604</v>
      </c>
      <c r="F643" s="1">
        <v>4503</v>
      </c>
    </row>
    <row r="644" spans="1:6" x14ac:dyDescent="0.15">
      <c r="A644" s="3">
        <v>44531</v>
      </c>
      <c r="B644" s="1" t="s">
        <v>14</v>
      </c>
      <c r="C644" s="1" t="s">
        <v>24</v>
      </c>
      <c r="D644" s="1">
        <v>45</v>
      </c>
      <c r="E644" s="1">
        <v>272.25635728157999</v>
      </c>
      <c r="F644" s="1">
        <v>1393.375</v>
      </c>
    </row>
    <row r="645" spans="1:6" x14ac:dyDescent="0.15">
      <c r="A645" s="3">
        <v>44531</v>
      </c>
      <c r="B645" s="1" t="s">
        <v>6</v>
      </c>
      <c r="C645" s="1" t="s">
        <v>24</v>
      </c>
      <c r="D645" s="1">
        <v>45</v>
      </c>
      <c r="E645" s="1">
        <v>272.25635728157999</v>
      </c>
      <c r="F645" s="1">
        <v>1393.375</v>
      </c>
    </row>
    <row r="646" spans="1:6" x14ac:dyDescent="0.15">
      <c r="A646" s="3">
        <v>44531</v>
      </c>
      <c r="B646" s="1" t="s">
        <v>10</v>
      </c>
      <c r="C646" s="1" t="s">
        <v>24</v>
      </c>
      <c r="D646" s="1">
        <v>45</v>
      </c>
      <c r="E646" s="1">
        <v>272.25635728157999</v>
      </c>
      <c r="F646" s="1">
        <v>1393.375</v>
      </c>
    </row>
    <row r="647" spans="1:6" x14ac:dyDescent="0.15">
      <c r="A647" s="3">
        <v>44531</v>
      </c>
      <c r="B647" s="1" t="s">
        <v>12</v>
      </c>
      <c r="C647" s="1" t="s">
        <v>24</v>
      </c>
      <c r="D647" s="1">
        <v>45</v>
      </c>
      <c r="E647" s="1">
        <v>272.25635728157999</v>
      </c>
      <c r="F647" s="1">
        <v>1393.375</v>
      </c>
    </row>
    <row r="648" spans="1:6" x14ac:dyDescent="0.15">
      <c r="A648" s="3">
        <v>44531</v>
      </c>
      <c r="B648" s="1" t="s">
        <v>13</v>
      </c>
      <c r="C648" s="1" t="s">
        <v>24</v>
      </c>
      <c r="D648" s="1">
        <v>45</v>
      </c>
      <c r="E648" s="1">
        <v>272.25635728157999</v>
      </c>
      <c r="F648" s="1">
        <v>1393.375</v>
      </c>
    </row>
    <row r="649" spans="1:6" x14ac:dyDescent="0.15">
      <c r="A649" s="2">
        <v>44652</v>
      </c>
      <c r="B649" s="1" t="s">
        <v>13</v>
      </c>
      <c r="C649" s="1" t="s">
        <v>15</v>
      </c>
      <c r="D649" s="1">
        <v>25</v>
      </c>
      <c r="E649" s="1">
        <v>193.557483343294</v>
      </c>
      <c r="F649" s="1">
        <v>1756.73498535156</v>
      </c>
    </row>
    <row r="650" spans="1:6" x14ac:dyDescent="0.15">
      <c r="A650" s="2">
        <v>44652</v>
      </c>
      <c r="B650" s="1" t="s">
        <v>6</v>
      </c>
      <c r="C650" s="1" t="s">
        <v>15</v>
      </c>
      <c r="D650" s="1">
        <v>25</v>
      </c>
      <c r="E650" s="1">
        <v>193.557483343294</v>
      </c>
      <c r="F650" s="1">
        <v>1756.73498535156</v>
      </c>
    </row>
    <row r="651" spans="1:6" x14ac:dyDescent="0.15">
      <c r="A651" s="2">
        <v>44652</v>
      </c>
      <c r="B651" s="1" t="s">
        <v>12</v>
      </c>
      <c r="C651" s="1" t="s">
        <v>15</v>
      </c>
      <c r="D651" s="1">
        <v>25</v>
      </c>
      <c r="E651" s="1">
        <v>193.557483343294</v>
      </c>
      <c r="F651" s="1">
        <v>1756.73498535156</v>
      </c>
    </row>
    <row r="652" spans="1:6" x14ac:dyDescent="0.15">
      <c r="A652" s="2">
        <v>44652</v>
      </c>
      <c r="B652" s="1" t="s">
        <v>10</v>
      </c>
      <c r="C652" s="1" t="s">
        <v>15</v>
      </c>
      <c r="D652" s="1">
        <v>25</v>
      </c>
      <c r="E652" s="1">
        <v>193.557483343294</v>
      </c>
      <c r="F652" s="1">
        <v>1756.73498535156</v>
      </c>
    </row>
    <row r="653" spans="1:6" x14ac:dyDescent="0.15">
      <c r="A653" s="2">
        <v>44652</v>
      </c>
      <c r="B653" s="1" t="s">
        <v>14</v>
      </c>
      <c r="C653" s="1" t="s">
        <v>15</v>
      </c>
      <c r="D653" s="1">
        <v>25</v>
      </c>
      <c r="E653" s="1">
        <v>193.557483343294</v>
      </c>
      <c r="F653" s="1">
        <v>1756.73498535156</v>
      </c>
    </row>
    <row r="654" spans="1:6" x14ac:dyDescent="0.15">
      <c r="A654" s="3">
        <v>44896</v>
      </c>
      <c r="B654" s="1" t="s">
        <v>10</v>
      </c>
      <c r="C654" s="1" t="s">
        <v>11</v>
      </c>
      <c r="D654" s="1">
        <v>29</v>
      </c>
      <c r="E654" s="1">
        <v>230.291718822299</v>
      </c>
      <c r="F654" s="1">
        <v>2039.04309082031</v>
      </c>
    </row>
    <row r="655" spans="1:6" x14ac:dyDescent="0.15">
      <c r="A655" s="3">
        <v>44896</v>
      </c>
      <c r="B655" s="1" t="s">
        <v>14</v>
      </c>
      <c r="C655" s="1" t="s">
        <v>11</v>
      </c>
      <c r="D655" s="1">
        <v>29</v>
      </c>
      <c r="E655" s="1">
        <v>230.291718822299</v>
      </c>
      <c r="F655" s="1">
        <v>2039.04309082031</v>
      </c>
    </row>
    <row r="656" spans="1:6" x14ac:dyDescent="0.15">
      <c r="A656" s="3">
        <v>44896</v>
      </c>
      <c r="B656" s="1" t="s">
        <v>6</v>
      </c>
      <c r="C656" s="1" t="s">
        <v>11</v>
      </c>
      <c r="D656" s="1">
        <v>29</v>
      </c>
      <c r="E656" s="1">
        <v>230.291718822299</v>
      </c>
      <c r="F656" s="1">
        <v>2039.04309082031</v>
      </c>
    </row>
    <row r="657" spans="1:6" x14ac:dyDescent="0.15">
      <c r="A657" s="3">
        <v>44896</v>
      </c>
      <c r="B657" s="1" t="s">
        <v>13</v>
      </c>
      <c r="C657" s="1" t="s">
        <v>11</v>
      </c>
      <c r="D657" s="1">
        <v>29</v>
      </c>
      <c r="E657" s="1">
        <v>230.291718822299</v>
      </c>
      <c r="F657" s="1">
        <v>2039.04309082031</v>
      </c>
    </row>
    <row r="658" spans="1:6" x14ac:dyDescent="0.15">
      <c r="A658" s="3">
        <v>44896</v>
      </c>
      <c r="B658" s="1" t="s">
        <v>12</v>
      </c>
      <c r="C658" s="1" t="s">
        <v>11</v>
      </c>
      <c r="D658" s="1">
        <v>29</v>
      </c>
      <c r="E658" s="1">
        <v>230.291718822299</v>
      </c>
      <c r="F658" s="1">
        <v>2039.04309082031</v>
      </c>
    </row>
    <row r="659" spans="1:6" x14ac:dyDescent="0.15">
      <c r="A659" s="2">
        <v>44621</v>
      </c>
      <c r="B659" s="1" t="s">
        <v>12</v>
      </c>
      <c r="C659" s="1" t="s">
        <v>9</v>
      </c>
      <c r="D659" s="1">
        <v>20.6301956176757</v>
      </c>
      <c r="E659" s="1">
        <v>160.770080908186</v>
      </c>
      <c r="F659" s="1">
        <v>1255</v>
      </c>
    </row>
    <row r="660" spans="1:6" x14ac:dyDescent="0.15">
      <c r="A660" s="2">
        <v>44621</v>
      </c>
      <c r="B660" s="1" t="s">
        <v>6</v>
      </c>
      <c r="C660" s="1" t="s">
        <v>9</v>
      </c>
      <c r="D660" s="1">
        <v>20.6301956176757</v>
      </c>
      <c r="E660" s="1">
        <v>160.770080908186</v>
      </c>
      <c r="F660" s="1">
        <v>1255</v>
      </c>
    </row>
    <row r="661" spans="1:6" x14ac:dyDescent="0.15">
      <c r="A661" s="2">
        <v>44621</v>
      </c>
      <c r="B661" s="1" t="s">
        <v>10</v>
      </c>
      <c r="C661" s="1" t="s">
        <v>9</v>
      </c>
      <c r="D661" s="1">
        <v>20.6301956176757</v>
      </c>
      <c r="E661" s="1">
        <v>160.770080908186</v>
      </c>
      <c r="F661" s="1">
        <v>1255</v>
      </c>
    </row>
    <row r="662" spans="1:6" x14ac:dyDescent="0.15">
      <c r="A662" s="2">
        <v>44621</v>
      </c>
      <c r="B662" s="1" t="s">
        <v>13</v>
      </c>
      <c r="C662" s="1" t="s">
        <v>9</v>
      </c>
      <c r="D662" s="1">
        <v>20.6301956176757</v>
      </c>
      <c r="E662" s="1">
        <v>160.770080908186</v>
      </c>
      <c r="F662" s="1">
        <v>1255</v>
      </c>
    </row>
    <row r="663" spans="1:6" x14ac:dyDescent="0.15">
      <c r="A663" s="2">
        <v>44621</v>
      </c>
      <c r="B663" s="1" t="s">
        <v>14</v>
      </c>
      <c r="C663" s="1" t="s">
        <v>9</v>
      </c>
      <c r="D663" s="1">
        <v>20.6301956176757</v>
      </c>
      <c r="E663" s="1">
        <v>160.770080908186</v>
      </c>
      <c r="F663" s="1">
        <v>1255</v>
      </c>
    </row>
    <row r="664" spans="1:6" x14ac:dyDescent="0.15">
      <c r="A664" s="2">
        <v>44682</v>
      </c>
      <c r="B664" s="1" t="s">
        <v>12</v>
      </c>
      <c r="C664" s="1" t="s">
        <v>8</v>
      </c>
      <c r="D664" s="1">
        <v>46</v>
      </c>
      <c r="E664" s="1">
        <v>386.43882700420301</v>
      </c>
      <c r="F664" s="1">
        <v>3001.0810546875</v>
      </c>
    </row>
    <row r="665" spans="1:6" x14ac:dyDescent="0.15">
      <c r="A665" s="2">
        <v>44682</v>
      </c>
      <c r="B665" s="1" t="s">
        <v>14</v>
      </c>
      <c r="C665" s="1" t="s">
        <v>8</v>
      </c>
      <c r="D665" s="1">
        <v>46</v>
      </c>
      <c r="E665" s="1">
        <v>386.43882700420301</v>
      </c>
      <c r="F665" s="1">
        <v>3001.0810546875</v>
      </c>
    </row>
    <row r="666" spans="1:6" x14ac:dyDescent="0.15">
      <c r="A666" s="2">
        <v>44682</v>
      </c>
      <c r="B666" s="1" t="s">
        <v>6</v>
      </c>
      <c r="C666" s="1" t="s">
        <v>8</v>
      </c>
      <c r="D666" s="1">
        <v>46</v>
      </c>
      <c r="E666" s="1">
        <v>386.43882700420301</v>
      </c>
      <c r="F666" s="1">
        <v>3001.0810546875</v>
      </c>
    </row>
    <row r="667" spans="1:6" x14ac:dyDescent="0.15">
      <c r="A667" s="2">
        <v>44682</v>
      </c>
      <c r="B667" s="1" t="s">
        <v>13</v>
      </c>
      <c r="C667" s="1" t="s">
        <v>8</v>
      </c>
      <c r="D667" s="1">
        <v>46</v>
      </c>
      <c r="E667" s="1">
        <v>386.43882700420301</v>
      </c>
      <c r="F667" s="1">
        <v>3001.0810546875</v>
      </c>
    </row>
    <row r="668" spans="1:6" x14ac:dyDescent="0.15">
      <c r="A668" s="2">
        <v>44682</v>
      </c>
      <c r="B668" s="1" t="s">
        <v>10</v>
      </c>
      <c r="C668" s="1" t="s">
        <v>8</v>
      </c>
      <c r="D668" s="1">
        <v>46</v>
      </c>
      <c r="E668" s="1">
        <v>386.43882700420301</v>
      </c>
      <c r="F668" s="1">
        <v>3001.0810546875</v>
      </c>
    </row>
    <row r="669" spans="1:6" x14ac:dyDescent="0.15">
      <c r="A669" s="3">
        <v>44835</v>
      </c>
      <c r="B669" s="1" t="s">
        <v>12</v>
      </c>
      <c r="C669" s="1" t="s">
        <v>16</v>
      </c>
      <c r="D669" s="1">
        <v>6.6666666666666599</v>
      </c>
      <c r="E669" s="1">
        <v>72.692728913508603</v>
      </c>
      <c r="F669" s="1">
        <v>925</v>
      </c>
    </row>
    <row r="670" spans="1:6" x14ac:dyDescent="0.15">
      <c r="A670" s="3">
        <v>44835</v>
      </c>
      <c r="B670" s="1" t="s">
        <v>6</v>
      </c>
      <c r="C670" s="1" t="s">
        <v>16</v>
      </c>
      <c r="D670" s="1">
        <v>6.6666666666666599</v>
      </c>
      <c r="E670" s="1">
        <v>72.692728913508603</v>
      </c>
      <c r="F670" s="1">
        <v>925</v>
      </c>
    </row>
    <row r="671" spans="1:6" x14ac:dyDescent="0.15">
      <c r="A671" s="3">
        <v>44835</v>
      </c>
      <c r="B671" s="1" t="s">
        <v>13</v>
      </c>
      <c r="C671" s="1" t="s">
        <v>16</v>
      </c>
      <c r="D671" s="1">
        <v>6.6666666666666599</v>
      </c>
      <c r="E671" s="1">
        <v>72.692728913508603</v>
      </c>
      <c r="F671" s="1">
        <v>925</v>
      </c>
    </row>
    <row r="672" spans="1:6" x14ac:dyDescent="0.15">
      <c r="A672" s="3">
        <v>44835</v>
      </c>
      <c r="B672" s="1" t="s">
        <v>14</v>
      </c>
      <c r="C672" s="1" t="s">
        <v>16</v>
      </c>
      <c r="D672" s="1">
        <v>6.6666666666666599</v>
      </c>
      <c r="E672" s="1">
        <v>72.692728913508603</v>
      </c>
      <c r="F672" s="1">
        <v>925</v>
      </c>
    </row>
    <row r="673" spans="1:6" x14ac:dyDescent="0.15">
      <c r="A673" s="3">
        <v>44835</v>
      </c>
      <c r="B673" s="1" t="s">
        <v>10</v>
      </c>
      <c r="C673" s="1" t="s">
        <v>16</v>
      </c>
      <c r="D673" s="1">
        <v>6.6666666666666599</v>
      </c>
      <c r="E673" s="1">
        <v>72.692728913508603</v>
      </c>
      <c r="F673" s="1">
        <v>925</v>
      </c>
    </row>
    <row r="674" spans="1:6" x14ac:dyDescent="0.15">
      <c r="A674" s="2">
        <v>44774</v>
      </c>
      <c r="B674" s="1" t="s">
        <v>13</v>
      </c>
      <c r="C674" s="1" t="s">
        <v>9</v>
      </c>
      <c r="D674" s="1">
        <v>20.6301956176757</v>
      </c>
      <c r="E674" s="1">
        <v>178.89032031202501</v>
      </c>
      <c r="F674" s="1">
        <v>1577.64282226562</v>
      </c>
    </row>
    <row r="675" spans="1:6" x14ac:dyDescent="0.15">
      <c r="A675" s="2">
        <v>44774</v>
      </c>
      <c r="B675" s="1" t="s">
        <v>10</v>
      </c>
      <c r="C675" s="1" t="s">
        <v>9</v>
      </c>
      <c r="D675" s="1">
        <v>20.6301956176757</v>
      </c>
      <c r="E675" s="1">
        <v>178.89032031202501</v>
      </c>
      <c r="F675" s="1">
        <v>1577.64282226562</v>
      </c>
    </row>
    <row r="676" spans="1:6" x14ac:dyDescent="0.15">
      <c r="A676" s="2">
        <v>44774</v>
      </c>
      <c r="B676" s="1" t="s">
        <v>14</v>
      </c>
      <c r="C676" s="1" t="s">
        <v>9</v>
      </c>
      <c r="D676" s="1">
        <v>20.6301956176757</v>
      </c>
      <c r="E676" s="1">
        <v>178.89032031202501</v>
      </c>
      <c r="F676" s="1">
        <v>1577.64282226562</v>
      </c>
    </row>
    <row r="677" spans="1:6" x14ac:dyDescent="0.15">
      <c r="A677" s="2">
        <v>44774</v>
      </c>
      <c r="B677" s="1" t="s">
        <v>6</v>
      </c>
      <c r="C677" s="1" t="s">
        <v>9</v>
      </c>
      <c r="D677" s="1">
        <v>20.6301956176757</v>
      </c>
      <c r="E677" s="1">
        <v>178.89032031202501</v>
      </c>
      <c r="F677" s="1">
        <v>1577.64282226562</v>
      </c>
    </row>
    <row r="678" spans="1:6" x14ac:dyDescent="0.15">
      <c r="A678" s="2">
        <v>44774</v>
      </c>
      <c r="B678" s="1" t="s">
        <v>12</v>
      </c>
      <c r="C678" s="1" t="s">
        <v>9</v>
      </c>
      <c r="D678" s="1">
        <v>20.6301956176757</v>
      </c>
      <c r="E678" s="1">
        <v>178.89032031202501</v>
      </c>
      <c r="F678" s="1">
        <v>1577.64282226562</v>
      </c>
    </row>
    <row r="679" spans="1:6" x14ac:dyDescent="0.15">
      <c r="A679" s="2">
        <v>44682</v>
      </c>
      <c r="B679" s="1" t="s">
        <v>12</v>
      </c>
      <c r="C679" s="1" t="s">
        <v>20</v>
      </c>
      <c r="D679" s="1">
        <v>1</v>
      </c>
      <c r="E679" s="1">
        <v>101.06040040875</v>
      </c>
      <c r="F679" s="1">
        <v>895</v>
      </c>
    </row>
    <row r="680" spans="1:6" x14ac:dyDescent="0.15">
      <c r="A680" s="2">
        <v>44682</v>
      </c>
      <c r="B680" s="1" t="s">
        <v>14</v>
      </c>
      <c r="C680" s="1" t="s">
        <v>20</v>
      </c>
      <c r="D680" s="1">
        <v>1</v>
      </c>
      <c r="E680" s="1">
        <v>101.06040040875</v>
      </c>
      <c r="F680" s="1">
        <v>895</v>
      </c>
    </row>
    <row r="681" spans="1:6" x14ac:dyDescent="0.15">
      <c r="A681" s="2">
        <v>44682</v>
      </c>
      <c r="B681" s="1" t="s">
        <v>6</v>
      </c>
      <c r="C681" s="1" t="s">
        <v>20</v>
      </c>
      <c r="D681" s="1">
        <v>1</v>
      </c>
      <c r="E681" s="1">
        <v>101.06040040875</v>
      </c>
      <c r="F681" s="1">
        <v>895</v>
      </c>
    </row>
    <row r="682" spans="1:6" x14ac:dyDescent="0.15">
      <c r="A682" s="2">
        <v>44682</v>
      </c>
      <c r="B682" s="1" t="s">
        <v>13</v>
      </c>
      <c r="C682" s="1" t="s">
        <v>20</v>
      </c>
      <c r="D682" s="1">
        <v>1</v>
      </c>
      <c r="E682" s="1">
        <v>101.06040040875</v>
      </c>
      <c r="F682" s="1">
        <v>895</v>
      </c>
    </row>
    <row r="683" spans="1:6" x14ac:dyDescent="0.15">
      <c r="A683" s="2">
        <v>44682</v>
      </c>
      <c r="B683" s="1" t="s">
        <v>10</v>
      </c>
      <c r="C683" s="1" t="s">
        <v>20</v>
      </c>
      <c r="D683" s="1">
        <v>1</v>
      </c>
      <c r="E683" s="1">
        <v>101.06040040875</v>
      </c>
      <c r="F683" s="1">
        <v>895</v>
      </c>
    </row>
    <row r="684" spans="1:6" x14ac:dyDescent="0.15">
      <c r="A684" s="3">
        <v>44866</v>
      </c>
      <c r="B684" s="1" t="s">
        <v>13</v>
      </c>
      <c r="C684" s="1" t="s">
        <v>20</v>
      </c>
      <c r="D684" s="1">
        <v>4.9567809104919398</v>
      </c>
      <c r="E684" s="1">
        <v>92.720529280742895</v>
      </c>
      <c r="F684" s="1">
        <v>1164</v>
      </c>
    </row>
    <row r="685" spans="1:6" x14ac:dyDescent="0.15">
      <c r="A685" s="3">
        <v>44866</v>
      </c>
      <c r="B685" s="1" t="s">
        <v>12</v>
      </c>
      <c r="C685" s="1" t="s">
        <v>20</v>
      </c>
      <c r="D685" s="1">
        <v>4.9567809104919398</v>
      </c>
      <c r="E685" s="1">
        <v>92.720529280742895</v>
      </c>
      <c r="F685" s="1">
        <v>1164</v>
      </c>
    </row>
    <row r="686" spans="1:6" x14ac:dyDescent="0.15">
      <c r="A686" s="3">
        <v>44866</v>
      </c>
      <c r="B686" s="1" t="s">
        <v>6</v>
      </c>
      <c r="C686" s="1" t="s">
        <v>20</v>
      </c>
      <c r="D686" s="1">
        <v>4.9567809104919398</v>
      </c>
      <c r="E686" s="1">
        <v>92.720529280742895</v>
      </c>
      <c r="F686" s="1">
        <v>1164</v>
      </c>
    </row>
    <row r="687" spans="1:6" x14ac:dyDescent="0.15">
      <c r="A687" s="3">
        <v>44866</v>
      </c>
      <c r="B687" s="1" t="s">
        <v>10</v>
      </c>
      <c r="C687" s="1" t="s">
        <v>20</v>
      </c>
      <c r="D687" s="1">
        <v>4.9567809104919398</v>
      </c>
      <c r="E687" s="1">
        <v>92.720529280742895</v>
      </c>
      <c r="F687" s="1">
        <v>1164</v>
      </c>
    </row>
    <row r="688" spans="1:6" x14ac:dyDescent="0.15">
      <c r="A688" s="3">
        <v>44866</v>
      </c>
      <c r="B688" s="1" t="s">
        <v>14</v>
      </c>
      <c r="C688" s="1" t="s">
        <v>20</v>
      </c>
      <c r="D688" s="1">
        <v>4.9567809104919398</v>
      </c>
      <c r="E688" s="1">
        <v>92.720529280742895</v>
      </c>
      <c r="F688" s="1">
        <v>1164</v>
      </c>
    </row>
    <row r="689" spans="1:6" x14ac:dyDescent="0.15">
      <c r="A689" s="2">
        <v>44958</v>
      </c>
      <c r="B689" s="1" t="s">
        <v>10</v>
      </c>
      <c r="C689" s="1" t="s">
        <v>24</v>
      </c>
      <c r="D689" s="1">
        <v>44.7572021484375</v>
      </c>
      <c r="E689" s="1">
        <v>318.76071629454901</v>
      </c>
      <c r="F689" s="1">
        <v>1820</v>
      </c>
    </row>
    <row r="690" spans="1:6" x14ac:dyDescent="0.15">
      <c r="A690" s="2">
        <v>44958</v>
      </c>
      <c r="B690" s="1" t="s">
        <v>14</v>
      </c>
      <c r="C690" s="1" t="s">
        <v>24</v>
      </c>
      <c r="D690" s="1">
        <v>44.7572021484375</v>
      </c>
      <c r="E690" s="1">
        <v>318.76071629454901</v>
      </c>
      <c r="F690" s="1">
        <v>1820</v>
      </c>
    </row>
    <row r="691" spans="1:6" x14ac:dyDescent="0.15">
      <c r="A691" s="2">
        <v>44958</v>
      </c>
      <c r="B691" s="1" t="s">
        <v>12</v>
      </c>
      <c r="C691" s="1" t="s">
        <v>24</v>
      </c>
      <c r="D691" s="1">
        <v>44.7572021484375</v>
      </c>
      <c r="E691" s="1">
        <v>318.76071629454901</v>
      </c>
      <c r="F691" s="1">
        <v>1820</v>
      </c>
    </row>
    <row r="692" spans="1:6" x14ac:dyDescent="0.15">
      <c r="A692" s="2">
        <v>44958</v>
      </c>
      <c r="B692" s="1" t="s">
        <v>6</v>
      </c>
      <c r="C692" s="1" t="s">
        <v>24</v>
      </c>
      <c r="D692" s="1">
        <v>44.7572021484375</v>
      </c>
      <c r="E692" s="1">
        <v>318.76071629454901</v>
      </c>
      <c r="F692" s="1">
        <v>1820</v>
      </c>
    </row>
    <row r="693" spans="1:6" x14ac:dyDescent="0.15">
      <c r="A693" s="2">
        <v>44958</v>
      </c>
      <c r="B693" s="1" t="s">
        <v>13</v>
      </c>
      <c r="C693" s="1" t="s">
        <v>24</v>
      </c>
      <c r="D693" s="1">
        <v>44.7572021484375</v>
      </c>
      <c r="E693" s="1">
        <v>318.76071629454901</v>
      </c>
      <c r="F693" s="1">
        <v>1820</v>
      </c>
    </row>
    <row r="694" spans="1:6" x14ac:dyDescent="0.15">
      <c r="A694" s="2">
        <v>44743</v>
      </c>
      <c r="B694" s="1" t="s">
        <v>10</v>
      </c>
      <c r="C694" s="1" t="s">
        <v>22</v>
      </c>
      <c r="D694" s="1">
        <v>8</v>
      </c>
      <c r="E694" s="1">
        <v>103.796670971092</v>
      </c>
      <c r="F694" s="1">
        <v>991</v>
      </c>
    </row>
    <row r="695" spans="1:6" x14ac:dyDescent="0.15">
      <c r="A695" s="2">
        <v>44743</v>
      </c>
      <c r="B695" s="1" t="s">
        <v>14</v>
      </c>
      <c r="C695" s="1" t="s">
        <v>22</v>
      </c>
      <c r="D695" s="1">
        <v>8</v>
      </c>
      <c r="E695" s="1">
        <v>103.796670971092</v>
      </c>
      <c r="F695" s="1">
        <v>991</v>
      </c>
    </row>
    <row r="696" spans="1:6" x14ac:dyDescent="0.15">
      <c r="A696" s="2">
        <v>44743</v>
      </c>
      <c r="B696" s="1" t="s">
        <v>6</v>
      </c>
      <c r="C696" s="1" t="s">
        <v>22</v>
      </c>
      <c r="D696" s="1">
        <v>8</v>
      </c>
      <c r="E696" s="1">
        <v>103.796670971092</v>
      </c>
      <c r="F696" s="1">
        <v>991</v>
      </c>
    </row>
    <row r="697" spans="1:6" x14ac:dyDescent="0.15">
      <c r="A697" s="2">
        <v>44743</v>
      </c>
      <c r="B697" s="1" t="s">
        <v>13</v>
      </c>
      <c r="C697" s="1" t="s">
        <v>22</v>
      </c>
      <c r="D697" s="1">
        <v>8</v>
      </c>
      <c r="E697" s="1">
        <v>103.796670971092</v>
      </c>
      <c r="F697" s="1">
        <v>991</v>
      </c>
    </row>
    <row r="698" spans="1:6" x14ac:dyDescent="0.15">
      <c r="A698" s="2">
        <v>44743</v>
      </c>
      <c r="B698" s="1" t="s">
        <v>12</v>
      </c>
      <c r="C698" s="1" t="s">
        <v>22</v>
      </c>
      <c r="D698" s="1">
        <v>8</v>
      </c>
      <c r="E698" s="1">
        <v>103.796670971092</v>
      </c>
      <c r="F698" s="1">
        <v>991</v>
      </c>
    </row>
    <row r="699" spans="1:6" x14ac:dyDescent="0.15">
      <c r="A699" s="2">
        <v>44958</v>
      </c>
      <c r="B699" s="1" t="s">
        <v>10</v>
      </c>
      <c r="C699" s="1" t="s">
        <v>17</v>
      </c>
      <c r="D699" s="1">
        <v>74.779998779296804</v>
      </c>
      <c r="E699" s="1">
        <v>642.79243865175602</v>
      </c>
      <c r="F699" s="1">
        <v>2699.12036132812</v>
      </c>
    </row>
    <row r="700" spans="1:6" x14ac:dyDescent="0.15">
      <c r="A700" s="2">
        <v>44958</v>
      </c>
      <c r="B700" s="1" t="s">
        <v>14</v>
      </c>
      <c r="C700" s="1" t="s">
        <v>17</v>
      </c>
      <c r="D700" s="1">
        <v>74.779998779296804</v>
      </c>
      <c r="E700" s="1">
        <v>642.79243865175602</v>
      </c>
      <c r="F700" s="1">
        <v>2699.12036132812</v>
      </c>
    </row>
    <row r="701" spans="1:6" x14ac:dyDescent="0.15">
      <c r="A701" s="2">
        <v>44958</v>
      </c>
      <c r="B701" s="1" t="s">
        <v>12</v>
      </c>
      <c r="C701" s="1" t="s">
        <v>17</v>
      </c>
      <c r="D701" s="1">
        <v>74.779998779296804</v>
      </c>
      <c r="E701" s="1">
        <v>642.79243865175602</v>
      </c>
      <c r="F701" s="1">
        <v>2699.12036132812</v>
      </c>
    </row>
    <row r="702" spans="1:6" x14ac:dyDescent="0.15">
      <c r="A702" s="2">
        <v>44958</v>
      </c>
      <c r="B702" s="1" t="s">
        <v>6</v>
      </c>
      <c r="C702" s="1" t="s">
        <v>17</v>
      </c>
      <c r="D702" s="1">
        <v>74.779998779296804</v>
      </c>
      <c r="E702" s="1">
        <v>642.79243865175602</v>
      </c>
      <c r="F702" s="1">
        <v>2699.12036132812</v>
      </c>
    </row>
    <row r="703" spans="1:6" x14ac:dyDescent="0.15">
      <c r="A703" s="2">
        <v>44958</v>
      </c>
      <c r="B703" s="1" t="s">
        <v>13</v>
      </c>
      <c r="C703" s="1" t="s">
        <v>17</v>
      </c>
      <c r="D703" s="1">
        <v>74.779998779296804</v>
      </c>
      <c r="E703" s="1">
        <v>642.79243865175602</v>
      </c>
      <c r="F703" s="1">
        <v>2699.12036132812</v>
      </c>
    </row>
    <row r="704" spans="1:6" x14ac:dyDescent="0.15">
      <c r="A704" s="2">
        <v>44743</v>
      </c>
      <c r="B704" s="1" t="s">
        <v>10</v>
      </c>
      <c r="C704" s="1" t="s">
        <v>7</v>
      </c>
      <c r="D704" s="1">
        <v>33</v>
      </c>
      <c r="E704" s="1">
        <v>271.44564672107902</v>
      </c>
      <c r="F704" s="1">
        <v>2194.56420898437</v>
      </c>
    </row>
    <row r="705" spans="1:6" x14ac:dyDescent="0.15">
      <c r="A705" s="2">
        <v>44743</v>
      </c>
      <c r="B705" s="1" t="s">
        <v>14</v>
      </c>
      <c r="C705" s="1" t="s">
        <v>7</v>
      </c>
      <c r="D705" s="1">
        <v>33</v>
      </c>
      <c r="E705" s="1">
        <v>271.44564672107902</v>
      </c>
      <c r="F705" s="1">
        <v>2194.56420898437</v>
      </c>
    </row>
    <row r="706" spans="1:6" x14ac:dyDescent="0.15">
      <c r="A706" s="2">
        <v>44743</v>
      </c>
      <c r="B706" s="1" t="s">
        <v>6</v>
      </c>
      <c r="C706" s="1" t="s">
        <v>7</v>
      </c>
      <c r="D706" s="1">
        <v>33</v>
      </c>
      <c r="E706" s="1">
        <v>271.44564672107902</v>
      </c>
      <c r="F706" s="1">
        <v>2194.56420898437</v>
      </c>
    </row>
    <row r="707" spans="1:6" x14ac:dyDescent="0.15">
      <c r="A707" s="2">
        <v>44743</v>
      </c>
      <c r="B707" s="1" t="s">
        <v>13</v>
      </c>
      <c r="C707" s="1" t="s">
        <v>7</v>
      </c>
      <c r="D707" s="1">
        <v>33</v>
      </c>
      <c r="E707" s="1">
        <v>271.44564672107902</v>
      </c>
      <c r="F707" s="1">
        <v>2194.56420898437</v>
      </c>
    </row>
    <row r="708" spans="1:6" x14ac:dyDescent="0.15">
      <c r="A708" s="2">
        <v>44743</v>
      </c>
      <c r="B708" s="1" t="s">
        <v>12</v>
      </c>
      <c r="C708" s="1" t="s">
        <v>7</v>
      </c>
      <c r="D708" s="1">
        <v>33</v>
      </c>
      <c r="E708" s="1">
        <v>271.44564672107902</v>
      </c>
      <c r="F708" s="1">
        <v>2194.56420898437</v>
      </c>
    </row>
    <row r="709" spans="1:6" x14ac:dyDescent="0.15">
      <c r="A709" s="2">
        <v>44774</v>
      </c>
      <c r="B709" s="1" t="s">
        <v>13</v>
      </c>
      <c r="C709" s="1" t="s">
        <v>7</v>
      </c>
      <c r="D709" s="1">
        <v>33</v>
      </c>
      <c r="E709" s="1">
        <v>250.41501863753399</v>
      </c>
      <c r="F709" s="1">
        <v>2194.56420898437</v>
      </c>
    </row>
    <row r="710" spans="1:6" x14ac:dyDescent="0.15">
      <c r="A710" s="2">
        <v>44774</v>
      </c>
      <c r="B710" s="1" t="s">
        <v>10</v>
      </c>
      <c r="C710" s="1" t="s">
        <v>7</v>
      </c>
      <c r="D710" s="1">
        <v>33</v>
      </c>
      <c r="E710" s="1">
        <v>250.41501863753399</v>
      </c>
      <c r="F710" s="1">
        <v>2194.56420898437</v>
      </c>
    </row>
    <row r="711" spans="1:6" x14ac:dyDescent="0.15">
      <c r="A711" s="2">
        <v>44774</v>
      </c>
      <c r="B711" s="1" t="s">
        <v>14</v>
      </c>
      <c r="C711" s="1" t="s">
        <v>7</v>
      </c>
      <c r="D711" s="1">
        <v>33</v>
      </c>
      <c r="E711" s="1">
        <v>250.41501863753399</v>
      </c>
      <c r="F711" s="1">
        <v>2194.56420898437</v>
      </c>
    </row>
    <row r="712" spans="1:6" x14ac:dyDescent="0.15">
      <c r="A712" s="2">
        <v>44774</v>
      </c>
      <c r="B712" s="1" t="s">
        <v>6</v>
      </c>
      <c r="C712" s="1" t="s">
        <v>7</v>
      </c>
      <c r="D712" s="1">
        <v>33</v>
      </c>
      <c r="E712" s="1">
        <v>250.41501863753399</v>
      </c>
      <c r="F712" s="1">
        <v>2194.56420898437</v>
      </c>
    </row>
    <row r="713" spans="1:6" x14ac:dyDescent="0.15">
      <c r="A713" s="2">
        <v>44774</v>
      </c>
      <c r="B713" s="1" t="s">
        <v>12</v>
      </c>
      <c r="C713" s="1" t="s">
        <v>7</v>
      </c>
      <c r="D713" s="1">
        <v>33</v>
      </c>
      <c r="E713" s="1">
        <v>250.41501863753399</v>
      </c>
      <c r="F713" s="1">
        <v>2194.56420898437</v>
      </c>
    </row>
    <row r="714" spans="1:6" x14ac:dyDescent="0.15">
      <c r="A714" s="3">
        <v>44531</v>
      </c>
      <c r="B714" s="1" t="s">
        <v>14</v>
      </c>
      <c r="C714" s="1" t="s">
        <v>18</v>
      </c>
      <c r="D714" s="1">
        <v>16.045707702636701</v>
      </c>
      <c r="E714" s="1">
        <v>172.403719469636</v>
      </c>
      <c r="F714" s="1">
        <v>1304.3125</v>
      </c>
    </row>
    <row r="715" spans="1:6" x14ac:dyDescent="0.15">
      <c r="A715" s="3">
        <v>44531</v>
      </c>
      <c r="B715" s="1" t="s">
        <v>6</v>
      </c>
      <c r="C715" s="1" t="s">
        <v>18</v>
      </c>
      <c r="D715" s="1">
        <v>16.045707702636701</v>
      </c>
      <c r="E715" s="1">
        <v>172.403719469636</v>
      </c>
      <c r="F715" s="1">
        <v>1304.3125</v>
      </c>
    </row>
    <row r="716" spans="1:6" x14ac:dyDescent="0.15">
      <c r="A716" s="3">
        <v>44531</v>
      </c>
      <c r="B716" s="1" t="s">
        <v>10</v>
      </c>
      <c r="C716" s="1" t="s">
        <v>18</v>
      </c>
      <c r="D716" s="1">
        <v>16.045707702636701</v>
      </c>
      <c r="E716" s="1">
        <v>172.403719469636</v>
      </c>
      <c r="F716" s="1">
        <v>1304.3125</v>
      </c>
    </row>
    <row r="717" spans="1:6" x14ac:dyDescent="0.15">
      <c r="A717" s="3">
        <v>44531</v>
      </c>
      <c r="B717" s="1" t="s">
        <v>12</v>
      </c>
      <c r="C717" s="1" t="s">
        <v>18</v>
      </c>
      <c r="D717" s="1">
        <v>16.045707702636701</v>
      </c>
      <c r="E717" s="1">
        <v>172.403719469636</v>
      </c>
      <c r="F717" s="1">
        <v>1304.3125</v>
      </c>
    </row>
    <row r="718" spans="1:6" x14ac:dyDescent="0.15">
      <c r="A718" s="3">
        <v>44531</v>
      </c>
      <c r="B718" s="1" t="s">
        <v>13</v>
      </c>
      <c r="C718" s="1" t="s">
        <v>18</v>
      </c>
      <c r="D718" s="1">
        <v>16.045707702636701</v>
      </c>
      <c r="E718" s="1">
        <v>172.403719469636</v>
      </c>
      <c r="F718" s="1">
        <v>1304.3125</v>
      </c>
    </row>
    <row r="719" spans="1:6" x14ac:dyDescent="0.15">
      <c r="A719" s="2">
        <v>44774</v>
      </c>
      <c r="B719" s="1" t="s">
        <v>13</v>
      </c>
      <c r="C719" s="1" t="s">
        <v>8</v>
      </c>
      <c r="D719" s="1">
        <v>46</v>
      </c>
      <c r="E719" s="1">
        <v>394.82709553680399</v>
      </c>
      <c r="F719" s="1">
        <v>1697.5</v>
      </c>
    </row>
    <row r="720" spans="1:6" x14ac:dyDescent="0.15">
      <c r="A720" s="2">
        <v>44774</v>
      </c>
      <c r="B720" s="1" t="s">
        <v>10</v>
      </c>
      <c r="C720" s="1" t="s">
        <v>8</v>
      </c>
      <c r="D720" s="1">
        <v>46</v>
      </c>
      <c r="E720" s="1">
        <v>394.82709553680399</v>
      </c>
      <c r="F720" s="1">
        <v>1697.5</v>
      </c>
    </row>
    <row r="721" spans="1:6" x14ac:dyDescent="0.15">
      <c r="A721" s="2">
        <v>44774</v>
      </c>
      <c r="B721" s="1" t="s">
        <v>14</v>
      </c>
      <c r="C721" s="1" t="s">
        <v>8</v>
      </c>
      <c r="D721" s="1">
        <v>46</v>
      </c>
      <c r="E721" s="1">
        <v>394.82709553680399</v>
      </c>
      <c r="F721" s="1">
        <v>1697.5</v>
      </c>
    </row>
    <row r="722" spans="1:6" x14ac:dyDescent="0.15">
      <c r="A722" s="2">
        <v>44774</v>
      </c>
      <c r="B722" s="1" t="s">
        <v>6</v>
      </c>
      <c r="C722" s="1" t="s">
        <v>8</v>
      </c>
      <c r="D722" s="1">
        <v>46</v>
      </c>
      <c r="E722" s="1">
        <v>394.82709553680399</v>
      </c>
      <c r="F722" s="1">
        <v>1697.5</v>
      </c>
    </row>
    <row r="723" spans="1:6" x14ac:dyDescent="0.15">
      <c r="A723" s="2">
        <v>44774</v>
      </c>
      <c r="B723" s="1" t="s">
        <v>12</v>
      </c>
      <c r="C723" s="1" t="s">
        <v>8</v>
      </c>
      <c r="D723" s="1">
        <v>46</v>
      </c>
      <c r="E723" s="1">
        <v>394.82709553680399</v>
      </c>
      <c r="F723" s="1">
        <v>1697.5</v>
      </c>
    </row>
    <row r="724" spans="1:6" x14ac:dyDescent="0.15">
      <c r="A724" s="3">
        <v>44531</v>
      </c>
      <c r="B724" s="1" t="s">
        <v>14</v>
      </c>
      <c r="C724" s="1" t="s">
        <v>22</v>
      </c>
      <c r="D724" s="1">
        <v>13.168941497802701</v>
      </c>
      <c r="E724" s="1">
        <v>112.801981189901</v>
      </c>
      <c r="F724" s="1">
        <v>1286.5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8"/>
  <sheetViews>
    <sheetView showGridLines="0" workbookViewId="0">
      <selection activeCell="J14" sqref="J14"/>
    </sheetView>
  </sheetViews>
  <sheetFormatPr baseColWidth="10" defaultColWidth="12.6640625" defaultRowHeight="15.75" customHeight="1" x14ac:dyDescent="0.15"/>
  <sheetData>
    <row r="1" spans="1:16" ht="15.75" customHeight="1" x14ac:dyDescent="0.15">
      <c r="A1" s="4" t="s">
        <v>25</v>
      </c>
      <c r="B1" s="4" t="s">
        <v>2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6"/>
    </row>
    <row r="2" spans="1:16" ht="15.75" customHeight="1" x14ac:dyDescent="0.15">
      <c r="A2" s="4" t="s">
        <v>1</v>
      </c>
      <c r="B2" s="7" t="s">
        <v>20</v>
      </c>
      <c r="C2" s="8" t="s">
        <v>17</v>
      </c>
      <c r="D2" s="8" t="s">
        <v>16</v>
      </c>
      <c r="E2" s="8" t="s">
        <v>19</v>
      </c>
      <c r="F2" s="8" t="s">
        <v>8</v>
      </c>
      <c r="G2" s="8" t="s">
        <v>24</v>
      </c>
      <c r="H2" s="8" t="s">
        <v>23</v>
      </c>
      <c r="I2" s="8" t="s">
        <v>9</v>
      </c>
      <c r="J2" s="8" t="s">
        <v>22</v>
      </c>
      <c r="K2" s="8" t="s">
        <v>18</v>
      </c>
      <c r="L2" s="8" t="s">
        <v>15</v>
      </c>
      <c r="M2" s="8" t="s">
        <v>7</v>
      </c>
      <c r="N2" s="8" t="s">
        <v>11</v>
      </c>
      <c r="O2" s="8" t="s">
        <v>21</v>
      </c>
      <c r="P2" s="9" t="s">
        <v>26</v>
      </c>
    </row>
    <row r="3" spans="1:16" ht="15.75" customHeight="1" x14ac:dyDescent="0.15">
      <c r="A3" s="7" t="s">
        <v>14</v>
      </c>
      <c r="B3" s="10">
        <v>94.251064747740642</v>
      </c>
      <c r="C3" s="11">
        <v>582.26542475787778</v>
      </c>
      <c r="D3" s="11">
        <v>72.98370935179355</v>
      </c>
      <c r="E3" s="11">
        <v>463.22917389313739</v>
      </c>
      <c r="F3" s="11">
        <v>386.34239757102949</v>
      </c>
      <c r="G3" s="11">
        <v>282.64882214204312</v>
      </c>
      <c r="H3" s="11">
        <v>327.29953971183056</v>
      </c>
      <c r="I3" s="11">
        <v>178.24872689066385</v>
      </c>
      <c r="J3" s="11">
        <v>108.1464722577123</v>
      </c>
      <c r="K3" s="11">
        <v>160.67409981597041</v>
      </c>
      <c r="L3" s="11">
        <v>197.21945044142848</v>
      </c>
      <c r="M3" s="11">
        <v>249.2970667430418</v>
      </c>
      <c r="N3" s="11">
        <v>219.37230456842741</v>
      </c>
      <c r="O3" s="11">
        <v>761.82975246601313</v>
      </c>
      <c r="P3" s="12">
        <v>291.70057181133637</v>
      </c>
    </row>
    <row r="4" spans="1:16" ht="15.75" customHeight="1" x14ac:dyDescent="0.15">
      <c r="A4" s="13" t="s">
        <v>13</v>
      </c>
      <c r="B4" s="14">
        <v>94.251064747740642</v>
      </c>
      <c r="C4" s="15">
        <v>582.26542475787778</v>
      </c>
      <c r="D4" s="15">
        <v>72.98370935179355</v>
      </c>
      <c r="E4" s="15">
        <v>463.22917389313739</v>
      </c>
      <c r="F4" s="15">
        <v>386.34239757102949</v>
      </c>
      <c r="G4" s="15">
        <v>282.64882214204312</v>
      </c>
      <c r="H4" s="15">
        <v>327.29953971183056</v>
      </c>
      <c r="I4" s="15">
        <v>178.24872689066385</v>
      </c>
      <c r="J4" s="15">
        <v>108.1464722577123</v>
      </c>
      <c r="K4" s="15">
        <v>160.67409981597041</v>
      </c>
      <c r="L4" s="15">
        <v>197.21945044142848</v>
      </c>
      <c r="M4" s="15">
        <v>249.2970667430418</v>
      </c>
      <c r="N4" s="15">
        <v>219.37230456842741</v>
      </c>
      <c r="O4" s="15">
        <v>761.82975246601313</v>
      </c>
      <c r="P4" s="16">
        <v>291.70057181133637</v>
      </c>
    </row>
    <row r="5" spans="1:16" ht="15.75" customHeight="1" x14ac:dyDescent="0.15">
      <c r="A5" s="13" t="s">
        <v>12</v>
      </c>
      <c r="B5" s="14">
        <v>94.251064747740642</v>
      </c>
      <c r="C5" s="15">
        <v>582.26542475787778</v>
      </c>
      <c r="D5" s="15">
        <v>72.98370935179355</v>
      </c>
      <c r="E5" s="15">
        <v>463.22917389313739</v>
      </c>
      <c r="F5" s="15">
        <v>386.34239757102949</v>
      </c>
      <c r="G5" s="15">
        <v>282.64882214204312</v>
      </c>
      <c r="H5" s="15">
        <v>327.29953971183056</v>
      </c>
      <c r="I5" s="15">
        <v>178.24872689066385</v>
      </c>
      <c r="J5" s="15">
        <v>108.1464722577123</v>
      </c>
      <c r="K5" s="15">
        <v>160.67409981597041</v>
      </c>
      <c r="L5" s="15">
        <v>197.21945044142848</v>
      </c>
      <c r="M5" s="15">
        <v>249.2970667430418</v>
      </c>
      <c r="N5" s="15">
        <v>219.37230456842741</v>
      </c>
      <c r="O5" s="15">
        <v>761.82975246601313</v>
      </c>
      <c r="P5" s="16">
        <v>291.70057181133637</v>
      </c>
    </row>
    <row r="6" spans="1:16" ht="15.75" customHeight="1" x14ac:dyDescent="0.15">
      <c r="A6" s="13" t="s">
        <v>6</v>
      </c>
      <c r="B6" s="14">
        <v>107.84223264870042</v>
      </c>
      <c r="C6" s="15">
        <v>630.01704872289429</v>
      </c>
      <c r="D6" s="15">
        <v>87.776874844110139</v>
      </c>
      <c r="E6" s="15">
        <v>495.97458637196661</v>
      </c>
      <c r="F6" s="15">
        <v>412.9768072931418</v>
      </c>
      <c r="G6" s="15">
        <v>303.04167077880322</v>
      </c>
      <c r="H6" s="15">
        <v>349.66038623655254</v>
      </c>
      <c r="I6" s="15">
        <v>193.91384204025692</v>
      </c>
      <c r="J6" s="15">
        <v>122.93026639181278</v>
      </c>
      <c r="K6" s="15">
        <v>174.97680220278156</v>
      </c>
      <c r="L6" s="15">
        <v>213.80295634911715</v>
      </c>
      <c r="M6" s="15">
        <v>267.93636130384715</v>
      </c>
      <c r="N6" s="15">
        <v>237.04519856661159</v>
      </c>
      <c r="O6" s="15">
        <v>830.81820654557293</v>
      </c>
      <c r="P6" s="16">
        <v>316.33666002115484</v>
      </c>
    </row>
    <row r="7" spans="1:16" ht="15.75" customHeight="1" x14ac:dyDescent="0.15">
      <c r="A7" s="13" t="s">
        <v>10</v>
      </c>
      <c r="B7" s="14">
        <v>94.251064747740642</v>
      </c>
      <c r="C7" s="15">
        <v>582.26542475787778</v>
      </c>
      <c r="D7" s="15">
        <v>72.98370935179355</v>
      </c>
      <c r="E7" s="15">
        <v>463.22917389313739</v>
      </c>
      <c r="F7" s="15">
        <v>386.34239757102949</v>
      </c>
      <c r="G7" s="15">
        <v>282.64882214204312</v>
      </c>
      <c r="H7" s="15">
        <v>327.29953971183056</v>
      </c>
      <c r="I7" s="15">
        <v>178.24872689066385</v>
      </c>
      <c r="J7" s="15">
        <v>108.1464722577123</v>
      </c>
      <c r="K7" s="15">
        <v>160.67409981597041</v>
      </c>
      <c r="L7" s="15">
        <v>197.21945044142848</v>
      </c>
      <c r="M7" s="15">
        <v>249.2970667430418</v>
      </c>
      <c r="N7" s="15">
        <v>219.37230456842741</v>
      </c>
      <c r="O7" s="15">
        <v>761.82975246601313</v>
      </c>
      <c r="P7" s="16">
        <v>291.70057181133637</v>
      </c>
    </row>
    <row r="8" spans="1:16" ht="15.75" customHeight="1" x14ac:dyDescent="0.15">
      <c r="A8" s="17" t="s">
        <v>26</v>
      </c>
      <c r="B8" s="18">
        <v>97.112363253205856</v>
      </c>
      <c r="C8" s="19">
        <v>592.31839822419715</v>
      </c>
      <c r="D8" s="19">
        <v>76.098059981754929</v>
      </c>
      <c r="E8" s="19">
        <v>470.12294494131174</v>
      </c>
      <c r="F8" s="19">
        <v>391.94964172305299</v>
      </c>
      <c r="G8" s="19">
        <v>286.94205343399256</v>
      </c>
      <c r="H8" s="19">
        <v>332.00708634861422</v>
      </c>
      <c r="I8" s="19">
        <v>181.54664586952543</v>
      </c>
      <c r="J8" s="19">
        <v>111.25884997015454</v>
      </c>
      <c r="K8" s="19">
        <v>163.68519505529903</v>
      </c>
      <c r="L8" s="19">
        <v>200.71071484304719</v>
      </c>
      <c r="M8" s="19">
        <v>253.22112875584293</v>
      </c>
      <c r="N8" s="19">
        <v>223.09291383120294</v>
      </c>
      <c r="O8" s="19">
        <v>776.35363753539411</v>
      </c>
      <c r="P8" s="20">
        <v>296.88711669761392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P19"/>
  <sheetViews>
    <sheetView showGridLines="0" workbookViewId="0"/>
  </sheetViews>
  <sheetFormatPr baseColWidth="10" defaultColWidth="12.6640625" defaultRowHeight="15.75" customHeight="1" x14ac:dyDescent="0.15"/>
  <sheetData>
    <row r="1" spans="1:16" ht="15.75" customHeight="1" x14ac:dyDescent="0.15">
      <c r="A1" s="4" t="s">
        <v>25</v>
      </c>
      <c r="B1" s="4" t="s">
        <v>2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6"/>
    </row>
    <row r="2" spans="1:16" ht="15.75" customHeight="1" x14ac:dyDescent="0.15">
      <c r="A2" s="4" t="s">
        <v>0</v>
      </c>
      <c r="B2" s="7" t="s">
        <v>20</v>
      </c>
      <c r="C2" s="8" t="s">
        <v>17</v>
      </c>
      <c r="D2" s="8" t="s">
        <v>16</v>
      </c>
      <c r="E2" s="8" t="s">
        <v>19</v>
      </c>
      <c r="F2" s="8" t="s">
        <v>8</v>
      </c>
      <c r="G2" s="8" t="s">
        <v>24</v>
      </c>
      <c r="H2" s="8" t="s">
        <v>23</v>
      </c>
      <c r="I2" s="8" t="s">
        <v>9</v>
      </c>
      <c r="J2" s="8" t="s">
        <v>22</v>
      </c>
      <c r="K2" s="8" t="s">
        <v>18</v>
      </c>
      <c r="L2" s="8" t="s">
        <v>15</v>
      </c>
      <c r="M2" s="8" t="s">
        <v>7</v>
      </c>
      <c r="N2" s="8" t="s">
        <v>11</v>
      </c>
      <c r="O2" s="8" t="s">
        <v>21</v>
      </c>
      <c r="P2" s="9" t="s">
        <v>26</v>
      </c>
    </row>
    <row r="3" spans="1:16" ht="15.75" customHeight="1" x14ac:dyDescent="0.15">
      <c r="A3" s="21">
        <v>44531</v>
      </c>
      <c r="B3" s="10">
        <v>84.742477777688705</v>
      </c>
      <c r="C3" s="11">
        <v>527.881311823592</v>
      </c>
      <c r="D3" s="11">
        <v>77.598852266513603</v>
      </c>
      <c r="E3" s="11">
        <v>421.58462188064294</v>
      </c>
      <c r="F3" s="11">
        <v>352.78548805864301</v>
      </c>
      <c r="G3" s="11">
        <v>272.25635728157999</v>
      </c>
      <c r="H3" s="11">
        <v>304.60094109584998</v>
      </c>
      <c r="I3" s="11">
        <v>193.432763938844</v>
      </c>
      <c r="J3" s="11">
        <v>112.801981189901</v>
      </c>
      <c r="K3" s="11">
        <v>172.403719469636</v>
      </c>
      <c r="L3" s="11">
        <v>211.49162812994399</v>
      </c>
      <c r="M3" s="11">
        <v>255.22311342675999</v>
      </c>
      <c r="N3" s="11">
        <v>227.57572933089401</v>
      </c>
      <c r="O3" s="11">
        <v>697.76344247078498</v>
      </c>
      <c r="P3" s="12">
        <v>279.43874486723416</v>
      </c>
    </row>
    <row r="4" spans="1:16" ht="15.75" customHeight="1" x14ac:dyDescent="0.15">
      <c r="A4" s="22">
        <v>44562</v>
      </c>
      <c r="B4" s="14">
        <v>92.179647373450095</v>
      </c>
      <c r="C4" s="15">
        <v>531.77385233994096</v>
      </c>
      <c r="D4" s="15">
        <v>72.593713891102695</v>
      </c>
      <c r="E4" s="15">
        <v>422.10263430159102</v>
      </c>
      <c r="F4" s="15">
        <v>350.80601629449302</v>
      </c>
      <c r="G4" s="15">
        <v>258.74918626825098</v>
      </c>
      <c r="H4" s="15">
        <v>297.35591036667199</v>
      </c>
      <c r="I4" s="15">
        <v>170.578919526807</v>
      </c>
      <c r="J4" s="15">
        <v>107.67036144829999</v>
      </c>
      <c r="K4" s="15">
        <v>150.74422729516101</v>
      </c>
      <c r="L4" s="15">
        <v>189.14462465609199</v>
      </c>
      <c r="M4" s="15">
        <v>236.11987090641</v>
      </c>
      <c r="N4" s="15">
        <v>207.33141061383498</v>
      </c>
      <c r="O4" s="15">
        <v>698.83867205545505</v>
      </c>
      <c r="P4" s="16">
        <v>270.42778909553999</v>
      </c>
    </row>
    <row r="5" spans="1:16" ht="15.75" customHeight="1" x14ac:dyDescent="0.15">
      <c r="A5" s="22">
        <v>44593</v>
      </c>
      <c r="B5" s="14">
        <v>97.479642338152402</v>
      </c>
      <c r="C5" s="15">
        <v>531.18064533721702</v>
      </c>
      <c r="D5" s="15">
        <v>69.440762730760596</v>
      </c>
      <c r="E5" s="15">
        <v>420.85933472027801</v>
      </c>
      <c r="F5" s="15">
        <v>349.57640692257399</v>
      </c>
      <c r="G5" s="15">
        <v>253.70413235606196</v>
      </c>
      <c r="H5" s="15">
        <v>294.610507146028</v>
      </c>
      <c r="I5" s="15">
        <v>157.21747193799899</v>
      </c>
      <c r="J5" s="15">
        <v>103.436478069293</v>
      </c>
      <c r="K5" s="15">
        <v>140.712635335513</v>
      </c>
      <c r="L5" s="15">
        <v>175.16751093871099</v>
      </c>
      <c r="M5" s="15">
        <v>222.46183162582003</v>
      </c>
      <c r="N5" s="15">
        <v>194.51887903105199</v>
      </c>
      <c r="O5" s="15">
        <v>698.03355963271201</v>
      </c>
      <c r="P5" s="16">
        <v>264.88569986586924</v>
      </c>
    </row>
    <row r="6" spans="1:16" ht="15.75" customHeight="1" x14ac:dyDescent="0.15">
      <c r="A6" s="22">
        <v>44621</v>
      </c>
      <c r="B6" s="14">
        <v>96.002566327166406</v>
      </c>
      <c r="C6" s="15">
        <v>544.87181109786002</v>
      </c>
      <c r="D6" s="15">
        <v>76.4242555328739</v>
      </c>
      <c r="E6" s="15">
        <v>433.15203716660096</v>
      </c>
      <c r="F6" s="15">
        <v>360.45678907277102</v>
      </c>
      <c r="G6" s="15">
        <v>261.35142227166301</v>
      </c>
      <c r="H6" s="15">
        <v>303.97195562621198</v>
      </c>
      <c r="I6" s="15">
        <v>160.770080908186</v>
      </c>
      <c r="J6" s="15">
        <v>109.91060072033</v>
      </c>
      <c r="K6" s="15">
        <v>143.88338968446101</v>
      </c>
      <c r="L6" s="15">
        <v>179.39246368145601</v>
      </c>
      <c r="M6" s="15">
        <v>228.65575292549596</v>
      </c>
      <c r="N6" s="15">
        <v>200.01835251521601</v>
      </c>
      <c r="O6" s="15">
        <v>713.78969506702197</v>
      </c>
      <c r="P6" s="16">
        <v>272.3322266140936</v>
      </c>
    </row>
    <row r="7" spans="1:16" ht="15.75" customHeight="1" x14ac:dyDescent="0.15">
      <c r="A7" s="22">
        <v>44652</v>
      </c>
      <c r="B7" s="14">
        <v>96.869516284826304</v>
      </c>
      <c r="C7" s="15">
        <v>579.73955840953204</v>
      </c>
      <c r="D7" s="15">
        <v>83.089599197719593</v>
      </c>
      <c r="E7" s="15">
        <v>458.00773657230002</v>
      </c>
      <c r="F7" s="15">
        <v>381.44976043361299</v>
      </c>
      <c r="G7" s="15">
        <v>277.557165158185</v>
      </c>
      <c r="H7" s="15">
        <v>322.06384346956298</v>
      </c>
      <c r="I7" s="15">
        <v>174.198605196925</v>
      </c>
      <c r="J7" s="15">
        <v>118.62173176469101</v>
      </c>
      <c r="K7" s="15">
        <v>156.18415945218001</v>
      </c>
      <c r="L7" s="15">
        <v>193.557483343294</v>
      </c>
      <c r="M7" s="15">
        <v>244.663393888256</v>
      </c>
      <c r="N7" s="15">
        <v>215.36690876782501</v>
      </c>
      <c r="O7" s="15">
        <v>765.31831584798397</v>
      </c>
      <c r="P7" s="16">
        <v>290.47769841334951</v>
      </c>
    </row>
    <row r="8" spans="1:16" ht="15.75" customHeight="1" x14ac:dyDescent="0.15">
      <c r="A8" s="22">
        <v>44682</v>
      </c>
      <c r="B8" s="14">
        <v>101.06040040875</v>
      </c>
      <c r="C8" s="15">
        <v>588.46032726745398</v>
      </c>
      <c r="D8" s="15">
        <v>80.622654574438599</v>
      </c>
      <c r="E8" s="15">
        <v>464.40075954990408</v>
      </c>
      <c r="F8" s="15">
        <v>386.43882700420301</v>
      </c>
      <c r="G8" s="15">
        <v>280.105848918937</v>
      </c>
      <c r="H8" s="15">
        <v>325.85729168814601</v>
      </c>
      <c r="I8" s="15">
        <v>171.943329986555</v>
      </c>
      <c r="J8" s="15">
        <v>117.55215446944598</v>
      </c>
      <c r="K8" s="15">
        <v>155.36411212342799</v>
      </c>
      <c r="L8" s="15">
        <v>191.68260371895599</v>
      </c>
      <c r="M8" s="15">
        <v>243.69845021218799</v>
      </c>
      <c r="N8" s="15">
        <v>214.05714025198</v>
      </c>
      <c r="O8" s="15">
        <v>777.42753338643001</v>
      </c>
      <c r="P8" s="16">
        <v>292.76224525434418</v>
      </c>
    </row>
    <row r="9" spans="1:16" ht="15.75" customHeight="1" x14ac:dyDescent="0.15">
      <c r="A9" s="22">
        <v>44713</v>
      </c>
      <c r="B9" s="14">
        <v>89.076176927241704</v>
      </c>
      <c r="C9" s="15">
        <v>591.44352256288198</v>
      </c>
      <c r="D9" s="15">
        <v>75.095710935733194</v>
      </c>
      <c r="E9" s="15">
        <v>466.82525556520505</v>
      </c>
      <c r="F9" s="15">
        <v>388.33786990491097</v>
      </c>
      <c r="G9" s="15">
        <v>281.690124021381</v>
      </c>
      <c r="H9" s="15">
        <v>327.66284999558599</v>
      </c>
      <c r="I9" s="15">
        <v>174.79286917086301</v>
      </c>
      <c r="J9" s="15">
        <v>113.650645287439</v>
      </c>
      <c r="K9" s="15">
        <v>157.407186864366</v>
      </c>
      <c r="L9" s="15">
        <v>194.38031713026399</v>
      </c>
      <c r="M9" s="15">
        <v>247.05766860419098</v>
      </c>
      <c r="N9" s="15">
        <v>217.05306705400099</v>
      </c>
      <c r="O9" s="15">
        <v>780.81449823100797</v>
      </c>
      <c r="P9" s="16">
        <v>293.23484016107642</v>
      </c>
    </row>
    <row r="10" spans="1:16" ht="15.75" customHeight="1" x14ac:dyDescent="0.15">
      <c r="A10" s="22">
        <v>44743</v>
      </c>
      <c r="B10" s="14">
        <v>75.906196455876398</v>
      </c>
      <c r="C10" s="15">
        <v>610.16218429303399</v>
      </c>
      <c r="D10" s="15">
        <v>68.390190887901497</v>
      </c>
      <c r="E10" s="15">
        <v>486.08189006899102</v>
      </c>
      <c r="F10" s="15">
        <v>405.827649143869</v>
      </c>
      <c r="G10" s="15">
        <v>296.55635422467299</v>
      </c>
      <c r="H10" s="15">
        <v>343.80124112400199</v>
      </c>
      <c r="I10" s="15">
        <v>196.097834361087</v>
      </c>
      <c r="J10" s="15">
        <v>103.796670971092</v>
      </c>
      <c r="K10" s="15">
        <v>172.66390139123601</v>
      </c>
      <c r="L10" s="15">
        <v>215.266524428515</v>
      </c>
      <c r="M10" s="15">
        <v>271.44564672107902</v>
      </c>
      <c r="N10" s="15">
        <v>238.82772633760601</v>
      </c>
      <c r="O10" s="15">
        <v>800.15201723287305</v>
      </c>
      <c r="P10" s="16">
        <v>306.0697162601312</v>
      </c>
    </row>
    <row r="11" spans="1:16" ht="15.75" customHeight="1" x14ac:dyDescent="0.15">
      <c r="A11" s="22">
        <v>44774</v>
      </c>
      <c r="B11" s="14">
        <v>88.064290150582806</v>
      </c>
      <c r="C11" s="15">
        <v>598.40872625146801</v>
      </c>
      <c r="D11" s="15">
        <v>72.104488620378405</v>
      </c>
      <c r="E11" s="15">
        <v>474.363395075016</v>
      </c>
      <c r="F11" s="15">
        <v>394.82709553680399</v>
      </c>
      <c r="G11" s="15">
        <v>287.12167036344999</v>
      </c>
      <c r="H11" s="15">
        <v>333.67192719585398</v>
      </c>
      <c r="I11" s="15">
        <v>178.89032031202501</v>
      </c>
      <c r="J11" s="15">
        <v>108.56871415468399</v>
      </c>
      <c r="K11" s="15">
        <v>162.69436427873799</v>
      </c>
      <c r="L11" s="15">
        <v>197.417486086612</v>
      </c>
      <c r="M11" s="15">
        <v>250.41501863753402</v>
      </c>
      <c r="N11" s="15">
        <v>219.431937918823</v>
      </c>
      <c r="O11" s="15">
        <v>784.17792567844106</v>
      </c>
      <c r="P11" s="16">
        <v>296.43981144717191</v>
      </c>
    </row>
    <row r="12" spans="1:16" ht="15.75" customHeight="1" x14ac:dyDescent="0.15">
      <c r="A12" s="22">
        <v>44805</v>
      </c>
      <c r="B12" s="14">
        <v>93.268768655354293</v>
      </c>
      <c r="C12" s="15">
        <v>593.41155534060101</v>
      </c>
      <c r="D12" s="15">
        <v>70.721849702923805</v>
      </c>
      <c r="E12" s="15">
        <v>469.98980034848603</v>
      </c>
      <c r="F12" s="15">
        <v>390.89905913348599</v>
      </c>
      <c r="G12" s="15">
        <v>283.61080014297897</v>
      </c>
      <c r="H12" s="15">
        <v>330.00684920484002</v>
      </c>
      <c r="I12" s="15">
        <v>175.148190329805</v>
      </c>
      <c r="J12" s="15">
        <v>107.831327985916</v>
      </c>
      <c r="K12" s="15">
        <v>159.216042944674</v>
      </c>
      <c r="L12" s="15">
        <v>193.942563919023</v>
      </c>
      <c r="M12" s="15">
        <v>246.66317079128697</v>
      </c>
      <c r="N12" s="15">
        <v>216.48793162963403</v>
      </c>
      <c r="O12" s="15">
        <v>776.82800344059899</v>
      </c>
      <c r="P12" s="16">
        <v>293.43042239782903</v>
      </c>
    </row>
    <row r="13" spans="1:16" ht="15.75" customHeight="1" x14ac:dyDescent="0.15">
      <c r="A13" s="22">
        <v>44835</v>
      </c>
      <c r="B13" s="14">
        <v>103.13063527055598</v>
      </c>
      <c r="C13" s="15">
        <v>588.81133427065402</v>
      </c>
      <c r="D13" s="15">
        <v>72.692728913508603</v>
      </c>
      <c r="E13" s="15">
        <v>466.35683522453098</v>
      </c>
      <c r="F13" s="15">
        <v>387.611845909659</v>
      </c>
      <c r="G13" s="15">
        <v>280.77753396956803</v>
      </c>
      <c r="H13" s="15">
        <v>327.01211970590401</v>
      </c>
      <c r="I13" s="15">
        <v>172.36877358276999</v>
      </c>
      <c r="J13" s="15">
        <v>107.67813387148799</v>
      </c>
      <c r="K13" s="15">
        <v>156.58611877041599</v>
      </c>
      <c r="L13" s="15">
        <v>191.23856853464301</v>
      </c>
      <c r="M13" s="15">
        <v>243.93398220999697</v>
      </c>
      <c r="N13" s="15">
        <v>214.14088818536203</v>
      </c>
      <c r="O13" s="15">
        <v>770.91225334540604</v>
      </c>
      <c r="P13" s="16">
        <v>291.6608394117473</v>
      </c>
    </row>
    <row r="14" spans="1:16" ht="15.75" customHeight="1" x14ac:dyDescent="0.15">
      <c r="A14" s="22">
        <v>44866</v>
      </c>
      <c r="B14" s="14">
        <v>92.720529280742895</v>
      </c>
      <c r="C14" s="15">
        <v>557.30108303629004</v>
      </c>
      <c r="D14" s="15">
        <v>64.355886437903195</v>
      </c>
      <c r="E14" s="15">
        <v>444.51927250867101</v>
      </c>
      <c r="F14" s="15">
        <v>370.56127719367498</v>
      </c>
      <c r="G14" s="15">
        <v>268.68522792992098</v>
      </c>
      <c r="H14" s="15">
        <v>313.28424053660098</v>
      </c>
      <c r="I14" s="15">
        <v>162.34834946079599</v>
      </c>
      <c r="J14" s="15">
        <v>95.622567687908301</v>
      </c>
      <c r="K14" s="15">
        <v>146.784052241056</v>
      </c>
      <c r="L14" s="15">
        <v>180.734986536527</v>
      </c>
      <c r="M14" s="15">
        <v>232.67695187048199</v>
      </c>
      <c r="N14" s="15">
        <v>203.895265803472</v>
      </c>
      <c r="O14" s="15">
        <v>722.30571058676298</v>
      </c>
      <c r="P14" s="16">
        <v>275.41395722220045</v>
      </c>
    </row>
    <row r="15" spans="1:16" ht="15.75" customHeight="1" x14ac:dyDescent="0.15">
      <c r="A15" s="22">
        <v>44896</v>
      </c>
      <c r="B15" s="14">
        <v>72.240288071014902</v>
      </c>
      <c r="C15" s="15">
        <v>607.88058614859403</v>
      </c>
      <c r="D15" s="15">
        <v>61.38225901797459</v>
      </c>
      <c r="E15" s="15">
        <v>488.59369590184798</v>
      </c>
      <c r="F15" s="15">
        <v>409.31149455962498</v>
      </c>
      <c r="G15" s="15">
        <v>299.51891353527202</v>
      </c>
      <c r="H15" s="15">
        <v>347.564984658448</v>
      </c>
      <c r="I15" s="15">
        <v>187.46318050491101</v>
      </c>
      <c r="J15" s="15">
        <v>94.874811899995606</v>
      </c>
      <c r="K15" s="15">
        <v>171.413219024695</v>
      </c>
      <c r="L15" s="15">
        <v>206.11037495672298</v>
      </c>
      <c r="M15" s="15">
        <v>260.97519017019999</v>
      </c>
      <c r="N15" s="15">
        <v>230.29171882229903</v>
      </c>
      <c r="O15" s="15">
        <v>786.16203179380602</v>
      </c>
      <c r="P15" s="16">
        <v>301.69876779038617</v>
      </c>
    </row>
    <row r="16" spans="1:16" ht="15.75" customHeight="1" x14ac:dyDescent="0.15">
      <c r="A16" s="22">
        <v>44927</v>
      </c>
      <c r="B16" s="14">
        <v>99.796261462590707</v>
      </c>
      <c r="C16" s="15">
        <v>639.86243453729196</v>
      </c>
      <c r="D16" s="15">
        <v>67.801068207911598</v>
      </c>
      <c r="E16" s="15">
        <v>516.69228013723705</v>
      </c>
      <c r="F16" s="15">
        <v>433.83269880494902</v>
      </c>
      <c r="G16" s="15">
        <v>319.28687939417603</v>
      </c>
      <c r="H16" s="15">
        <v>369.53725910721698</v>
      </c>
      <c r="I16" s="15">
        <v>200.58000130687699</v>
      </c>
      <c r="J16" s="15">
        <v>105.69922101331899</v>
      </c>
      <c r="K16" s="15">
        <v>183.64712885544901</v>
      </c>
      <c r="L16" s="15">
        <v>220.625016733135</v>
      </c>
      <c r="M16" s="15">
        <v>278.23531186371599</v>
      </c>
      <c r="N16" s="15">
        <v>246.055843186023</v>
      </c>
      <c r="O16" s="15">
        <v>821.15446214271196</v>
      </c>
      <c r="P16" s="16">
        <v>321.6289904823289</v>
      </c>
    </row>
    <row r="17" spans="1:16" ht="15.75" customHeight="1" x14ac:dyDescent="0.15">
      <c r="A17" s="22">
        <v>44958</v>
      </c>
      <c r="B17" s="14">
        <v>131.22857443211601</v>
      </c>
      <c r="C17" s="15">
        <v>642.79243865175602</v>
      </c>
      <c r="D17" s="15">
        <v>82.441619359259306</v>
      </c>
      <c r="E17" s="15">
        <v>514.90805937575794</v>
      </c>
      <c r="F17" s="15">
        <v>432.41368559216596</v>
      </c>
      <c r="G17" s="15">
        <v>318.76071629454901</v>
      </c>
      <c r="H17" s="15">
        <v>368.491174756536</v>
      </c>
      <c r="I17" s="15">
        <v>197.900212835508</v>
      </c>
      <c r="J17" s="15">
        <v>114.48168333188201</v>
      </c>
      <c r="K17" s="15">
        <v>180.40723950854701</v>
      </c>
      <c r="L17" s="15">
        <v>218.13960382753299</v>
      </c>
      <c r="M17" s="15">
        <v>277.23064729221102</v>
      </c>
      <c r="N17" s="15">
        <v>245.531769078389</v>
      </c>
      <c r="O17" s="15">
        <v>833.76816607819887</v>
      </c>
      <c r="P17" s="16">
        <v>325.60682788674364</v>
      </c>
    </row>
    <row r="18" spans="1:16" ht="15.75" customHeight="1" x14ac:dyDescent="0.15">
      <c r="A18" s="22">
        <v>44986</v>
      </c>
      <c r="B18" s="14">
        <v>311.709751163097</v>
      </c>
      <c r="C18" s="15">
        <v>1346.2914081981401</v>
      </c>
      <c r="D18" s="15">
        <v>309.67435722885898</v>
      </c>
      <c r="E18" s="15">
        <v>987.15577355440496</v>
      </c>
      <c r="F18" s="15">
        <v>812.49295312482695</v>
      </c>
      <c r="G18" s="15">
        <v>608.93440033020499</v>
      </c>
      <c r="H18" s="15">
        <v>685.07308410738199</v>
      </c>
      <c r="I18" s="15">
        <v>428.890569284153</v>
      </c>
      <c r="J18" s="15">
        <v>344.68717840331999</v>
      </c>
      <c r="K18" s="15">
        <v>389.51733800494901</v>
      </c>
      <c r="L18" s="15">
        <v>462.55554496444699</v>
      </c>
      <c r="M18" s="15">
        <v>547.52577971592802</v>
      </c>
      <c r="N18" s="15">
        <v>502.13860853937399</v>
      </c>
      <c r="O18" s="15">
        <v>1865.64501773897</v>
      </c>
      <c r="P18" s="16">
        <v>685.87798316843259</v>
      </c>
    </row>
    <row r="19" spans="1:16" ht="15.75" customHeight="1" x14ac:dyDescent="0.15">
      <c r="A19" s="23" t="s">
        <v>26</v>
      </c>
      <c r="B19" s="18">
        <v>97.112363253205899</v>
      </c>
      <c r="C19" s="19">
        <v>592.31839822419738</v>
      </c>
      <c r="D19" s="19">
        <v>76.098059981754929</v>
      </c>
      <c r="E19" s="19">
        <v>470.12294494131203</v>
      </c>
      <c r="F19" s="19">
        <v>391.94964172305305</v>
      </c>
      <c r="G19" s="19">
        <v>286.94205343399227</v>
      </c>
      <c r="H19" s="19">
        <v>332.00708634861411</v>
      </c>
      <c r="I19" s="19">
        <v>181.54664586952543</v>
      </c>
      <c r="J19" s="19">
        <v>111.25884997015457</v>
      </c>
      <c r="K19" s="19">
        <v>163.68519505529906</v>
      </c>
      <c r="L19" s="19">
        <v>200.71071484304716</v>
      </c>
      <c r="M19" s="19">
        <v>253.2211287558429</v>
      </c>
      <c r="N19" s="19">
        <v>223.09291383120302</v>
      </c>
      <c r="O19" s="19">
        <v>776.35363753539389</v>
      </c>
      <c r="P19" s="20">
        <v>296.88711669761398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P20"/>
  <sheetViews>
    <sheetView showGridLines="0" workbookViewId="0"/>
  </sheetViews>
  <sheetFormatPr baseColWidth="10" defaultColWidth="12.6640625" defaultRowHeight="15.75" customHeight="1" x14ac:dyDescent="0.15"/>
  <sheetData>
    <row r="1" spans="1:16" ht="15.75" customHeight="1" x14ac:dyDescent="0.15">
      <c r="A1" s="24" t="s">
        <v>1</v>
      </c>
      <c r="B1" s="25" t="s">
        <v>14</v>
      </c>
    </row>
    <row r="3" spans="1:16" ht="15.75" customHeight="1" x14ac:dyDescent="0.15">
      <c r="A3" s="4" t="s">
        <v>25</v>
      </c>
      <c r="B3" s="4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/>
    </row>
    <row r="4" spans="1:16" ht="15.75" customHeight="1" x14ac:dyDescent="0.15">
      <c r="A4" s="4" t="s">
        <v>0</v>
      </c>
      <c r="B4" s="7" t="s">
        <v>20</v>
      </c>
      <c r="C4" s="8" t="s">
        <v>17</v>
      </c>
      <c r="D4" s="8" t="s">
        <v>16</v>
      </c>
      <c r="E4" s="8" t="s">
        <v>19</v>
      </c>
      <c r="F4" s="8" t="s">
        <v>8</v>
      </c>
      <c r="G4" s="8" t="s">
        <v>24</v>
      </c>
      <c r="H4" s="8" t="s">
        <v>23</v>
      </c>
      <c r="I4" s="8" t="s">
        <v>9</v>
      </c>
      <c r="J4" s="8" t="s">
        <v>22</v>
      </c>
      <c r="K4" s="8" t="s">
        <v>18</v>
      </c>
      <c r="L4" s="8" t="s">
        <v>15</v>
      </c>
      <c r="M4" s="8" t="s">
        <v>7</v>
      </c>
      <c r="N4" s="8" t="s">
        <v>11</v>
      </c>
      <c r="O4" s="8" t="s">
        <v>21</v>
      </c>
      <c r="P4" s="9" t="s">
        <v>26</v>
      </c>
    </row>
    <row r="5" spans="1:16" ht="15.75" customHeight="1" x14ac:dyDescent="0.15">
      <c r="A5" s="21">
        <v>44531</v>
      </c>
      <c r="B5" s="10">
        <v>84.742477777688705</v>
      </c>
      <c r="C5" s="11">
        <v>527.881311823592</v>
      </c>
      <c r="D5" s="11">
        <v>77.598852266513603</v>
      </c>
      <c r="E5" s="11">
        <v>421.584621880643</v>
      </c>
      <c r="F5" s="11">
        <v>352.78548805864301</v>
      </c>
      <c r="G5" s="11">
        <v>272.25635728157999</v>
      </c>
      <c r="H5" s="11">
        <v>304.60094109584998</v>
      </c>
      <c r="I5" s="11">
        <v>193.432763938844</v>
      </c>
      <c r="J5" s="11">
        <v>112.801981189901</v>
      </c>
      <c r="K5" s="11">
        <v>172.403719469636</v>
      </c>
      <c r="L5" s="11">
        <v>211.49162812994399</v>
      </c>
      <c r="M5" s="11">
        <v>255.22311342675999</v>
      </c>
      <c r="N5" s="11">
        <v>227.57572933089401</v>
      </c>
      <c r="O5" s="11">
        <v>697.76344247078498</v>
      </c>
      <c r="P5" s="12">
        <v>279.43874486723388</v>
      </c>
    </row>
    <row r="6" spans="1:16" ht="15.75" customHeight="1" x14ac:dyDescent="0.15">
      <c r="A6" s="22">
        <v>44562</v>
      </c>
      <c r="B6" s="14">
        <v>92.179647373450095</v>
      </c>
      <c r="C6" s="15">
        <v>531.77385233994096</v>
      </c>
      <c r="D6" s="15">
        <v>72.593713891102695</v>
      </c>
      <c r="E6" s="15">
        <v>422.10263430159102</v>
      </c>
      <c r="F6" s="15">
        <v>350.80601629449302</v>
      </c>
      <c r="G6" s="15">
        <v>258.74918626825098</v>
      </c>
      <c r="H6" s="15">
        <v>297.35591036667199</v>
      </c>
      <c r="I6" s="15">
        <v>170.578919526807</v>
      </c>
      <c r="J6" s="15">
        <v>107.6703614483</v>
      </c>
      <c r="K6" s="15">
        <v>150.74422729516101</v>
      </c>
      <c r="L6" s="15">
        <v>189.14462465609199</v>
      </c>
      <c r="M6" s="15">
        <v>236.11987090641</v>
      </c>
      <c r="N6" s="15">
        <v>207.331410613835</v>
      </c>
      <c r="O6" s="15">
        <v>698.83867205545505</v>
      </c>
      <c r="P6" s="16">
        <v>270.42778909554011</v>
      </c>
    </row>
    <row r="7" spans="1:16" ht="15.75" customHeight="1" x14ac:dyDescent="0.15">
      <c r="A7" s="22">
        <v>44593</v>
      </c>
      <c r="B7" s="14">
        <v>97.479642338152402</v>
      </c>
      <c r="C7" s="15">
        <v>531.18064533721702</v>
      </c>
      <c r="D7" s="15">
        <v>69.440762730760596</v>
      </c>
      <c r="E7" s="15">
        <v>420.85933472027801</v>
      </c>
      <c r="F7" s="15">
        <v>349.57640692257399</v>
      </c>
      <c r="G7" s="15">
        <v>253.70413235606199</v>
      </c>
      <c r="H7" s="15">
        <v>294.610507146028</v>
      </c>
      <c r="I7" s="15">
        <v>157.21747193799899</v>
      </c>
      <c r="J7" s="15">
        <v>103.436478069293</v>
      </c>
      <c r="K7" s="15">
        <v>140.712635335513</v>
      </c>
      <c r="L7" s="15">
        <v>175.16751093871099</v>
      </c>
      <c r="M7" s="15">
        <v>222.46183162582</v>
      </c>
      <c r="N7" s="15">
        <v>194.51887903105199</v>
      </c>
      <c r="O7" s="15">
        <v>698.03355963271201</v>
      </c>
      <c r="P7" s="16">
        <v>264.88569986586947</v>
      </c>
    </row>
    <row r="8" spans="1:16" ht="15.75" customHeight="1" x14ac:dyDescent="0.15">
      <c r="A8" s="22">
        <v>44621</v>
      </c>
      <c r="B8" s="14">
        <v>96.002566327166406</v>
      </c>
      <c r="C8" s="15">
        <v>544.87181109786002</v>
      </c>
      <c r="D8" s="15">
        <v>76.4242555328739</v>
      </c>
      <c r="E8" s="15">
        <v>433.15203716660102</v>
      </c>
      <c r="F8" s="15">
        <v>360.45678907277102</v>
      </c>
      <c r="G8" s="15">
        <v>261.35142227166301</v>
      </c>
      <c r="H8" s="15">
        <v>303.97195562621198</v>
      </c>
      <c r="I8" s="15">
        <v>160.770080908186</v>
      </c>
      <c r="J8" s="15">
        <v>109.91060072033</v>
      </c>
      <c r="K8" s="15">
        <v>143.88338968446101</v>
      </c>
      <c r="L8" s="15">
        <v>179.39246368145601</v>
      </c>
      <c r="M8" s="15">
        <v>228.65575292549599</v>
      </c>
      <c r="N8" s="15">
        <v>200.01835251521601</v>
      </c>
      <c r="O8" s="15">
        <v>713.78969506702197</v>
      </c>
      <c r="P8" s="16">
        <v>272.33222661409388</v>
      </c>
    </row>
    <row r="9" spans="1:16" ht="15.75" customHeight="1" x14ac:dyDescent="0.15">
      <c r="A9" s="22">
        <v>44652</v>
      </c>
      <c r="B9" s="14">
        <v>96.869516284826304</v>
      </c>
      <c r="C9" s="15">
        <v>579.73955840953204</v>
      </c>
      <c r="D9" s="15">
        <v>83.089599197719593</v>
      </c>
      <c r="E9" s="15">
        <v>458.00773657230002</v>
      </c>
      <c r="F9" s="15">
        <v>381.44976043361299</v>
      </c>
      <c r="G9" s="15">
        <v>277.557165158185</v>
      </c>
      <c r="H9" s="15">
        <v>322.06384346956298</v>
      </c>
      <c r="I9" s="15">
        <v>174.198605196925</v>
      </c>
      <c r="J9" s="15">
        <v>118.62173176469101</v>
      </c>
      <c r="K9" s="15">
        <v>156.18415945218001</v>
      </c>
      <c r="L9" s="15">
        <v>193.557483343294</v>
      </c>
      <c r="M9" s="15">
        <v>244.663393888256</v>
      </c>
      <c r="N9" s="15">
        <v>215.36690876782501</v>
      </c>
      <c r="O9" s="15">
        <v>765.31831584798397</v>
      </c>
      <c r="P9" s="16">
        <v>290.47769841334957</v>
      </c>
    </row>
    <row r="10" spans="1:16" ht="15.75" customHeight="1" x14ac:dyDescent="0.15">
      <c r="A10" s="22">
        <v>44682</v>
      </c>
      <c r="B10" s="14">
        <v>101.06040040875</v>
      </c>
      <c r="C10" s="15">
        <v>588.46032726745398</v>
      </c>
      <c r="D10" s="15">
        <v>80.622654574438599</v>
      </c>
      <c r="E10" s="15">
        <v>464.40075954990402</v>
      </c>
      <c r="F10" s="15">
        <v>386.43882700420301</v>
      </c>
      <c r="G10" s="15">
        <v>280.105848918937</v>
      </c>
      <c r="H10" s="15">
        <v>325.85729168814601</v>
      </c>
      <c r="I10" s="15">
        <v>171.943329986555</v>
      </c>
      <c r="J10" s="15">
        <v>117.55215446944599</v>
      </c>
      <c r="K10" s="15">
        <v>155.36411212342799</v>
      </c>
      <c r="L10" s="15">
        <v>191.68260371895599</v>
      </c>
      <c r="M10" s="15">
        <v>243.69845021218799</v>
      </c>
      <c r="N10" s="15">
        <v>214.05714025198</v>
      </c>
      <c r="O10" s="15">
        <v>777.42753338643001</v>
      </c>
      <c r="P10" s="16">
        <v>292.76224525434401</v>
      </c>
    </row>
    <row r="11" spans="1:16" ht="15.75" customHeight="1" x14ac:dyDescent="0.15">
      <c r="A11" s="22">
        <v>44713</v>
      </c>
      <c r="B11" s="14">
        <v>89.076176927241704</v>
      </c>
      <c r="C11" s="15">
        <v>591.44352256288198</v>
      </c>
      <c r="D11" s="15">
        <v>75.095710935733194</v>
      </c>
      <c r="E11" s="15">
        <v>466.825255565205</v>
      </c>
      <c r="F11" s="15">
        <v>388.33786990491097</v>
      </c>
      <c r="G11" s="15">
        <v>281.690124021381</v>
      </c>
      <c r="H11" s="15">
        <v>327.66284999558599</v>
      </c>
      <c r="I11" s="15">
        <v>174.79286917086301</v>
      </c>
      <c r="J11" s="15">
        <v>113.650645287439</v>
      </c>
      <c r="K11" s="15">
        <v>157.407186864366</v>
      </c>
      <c r="L11" s="15">
        <v>194.38031713026399</v>
      </c>
      <c r="M11" s="15">
        <v>247.05766860419101</v>
      </c>
      <c r="N11" s="15">
        <v>217.05306705400099</v>
      </c>
      <c r="O11" s="15">
        <v>780.81449823100797</v>
      </c>
      <c r="P11" s="16">
        <v>293.23484016107659</v>
      </c>
    </row>
    <row r="12" spans="1:16" ht="15.75" customHeight="1" x14ac:dyDescent="0.15">
      <c r="A12" s="22">
        <v>44743</v>
      </c>
      <c r="B12" s="14">
        <v>75.906196455876398</v>
      </c>
      <c r="C12" s="15">
        <v>610.16218429303399</v>
      </c>
      <c r="D12" s="15">
        <v>68.390190887901497</v>
      </c>
      <c r="E12" s="15">
        <v>486.08189006899102</v>
      </c>
      <c r="F12" s="15">
        <v>405.827649143869</v>
      </c>
      <c r="G12" s="15">
        <v>296.55635422467299</v>
      </c>
      <c r="H12" s="15">
        <v>343.80124112400199</v>
      </c>
      <c r="I12" s="15">
        <v>196.097834361087</v>
      </c>
      <c r="J12" s="15">
        <v>103.796670971092</v>
      </c>
      <c r="K12" s="15">
        <v>172.66390139123601</v>
      </c>
      <c r="L12" s="15">
        <v>215.266524428515</v>
      </c>
      <c r="M12" s="15">
        <v>271.44564672107902</v>
      </c>
      <c r="N12" s="15">
        <v>238.82772633760601</v>
      </c>
      <c r="O12" s="15">
        <v>800.15201723287305</v>
      </c>
      <c r="P12" s="16">
        <v>306.06971626013103</v>
      </c>
    </row>
    <row r="13" spans="1:16" ht="15.75" customHeight="1" x14ac:dyDescent="0.15">
      <c r="A13" s="22">
        <v>44774</v>
      </c>
      <c r="B13" s="14">
        <v>88.064290150582806</v>
      </c>
      <c r="C13" s="15">
        <v>598.40872625146801</v>
      </c>
      <c r="D13" s="15">
        <v>72.104488620378405</v>
      </c>
      <c r="E13" s="15">
        <v>474.363395075016</v>
      </c>
      <c r="F13" s="15">
        <v>394.82709553680399</v>
      </c>
      <c r="G13" s="15">
        <v>287.12167036344999</v>
      </c>
      <c r="H13" s="15">
        <v>333.67192719585398</v>
      </c>
      <c r="I13" s="15">
        <v>178.89032031202501</v>
      </c>
      <c r="J13" s="15">
        <v>108.568714154684</v>
      </c>
      <c r="K13" s="15">
        <v>162.69436427873799</v>
      </c>
      <c r="L13" s="15">
        <v>197.417486086612</v>
      </c>
      <c r="M13" s="15">
        <v>250.41501863753399</v>
      </c>
      <c r="N13" s="15">
        <v>219.431937918823</v>
      </c>
      <c r="O13" s="15">
        <v>784.17792567844106</v>
      </c>
      <c r="P13" s="16">
        <v>296.43981144717219</v>
      </c>
    </row>
    <row r="14" spans="1:16" ht="15.75" customHeight="1" x14ac:dyDescent="0.15">
      <c r="A14" s="22">
        <v>44805</v>
      </c>
      <c r="B14" s="14">
        <v>93.268768655354293</v>
      </c>
      <c r="C14" s="15">
        <v>593.41155534060101</v>
      </c>
      <c r="D14" s="15">
        <v>70.721849702923805</v>
      </c>
      <c r="E14" s="15">
        <v>469.98980034848603</v>
      </c>
      <c r="F14" s="15">
        <v>390.89905913348599</v>
      </c>
      <c r="G14" s="15">
        <v>283.61080014297897</v>
      </c>
      <c r="H14" s="15">
        <v>330.00684920484002</v>
      </c>
      <c r="I14" s="15">
        <v>175.148190329805</v>
      </c>
      <c r="J14" s="15">
        <v>107.831327985916</v>
      </c>
      <c r="K14" s="15">
        <v>159.216042944674</v>
      </c>
      <c r="L14" s="15">
        <v>193.942563919023</v>
      </c>
      <c r="M14" s="15">
        <v>246.663170791287</v>
      </c>
      <c r="N14" s="15">
        <v>216.48793162963401</v>
      </c>
      <c r="O14" s="15">
        <v>776.82800344059899</v>
      </c>
      <c r="P14" s="16">
        <v>293.43042239782915</v>
      </c>
    </row>
    <row r="15" spans="1:16" ht="15.75" customHeight="1" x14ac:dyDescent="0.15">
      <c r="A15" s="22">
        <v>44835</v>
      </c>
      <c r="B15" s="14">
        <v>103.130635270556</v>
      </c>
      <c r="C15" s="15">
        <v>588.81133427065402</v>
      </c>
      <c r="D15" s="15">
        <v>72.692728913508603</v>
      </c>
      <c r="E15" s="15">
        <v>466.35683522453098</v>
      </c>
      <c r="F15" s="15">
        <v>387.611845909659</v>
      </c>
      <c r="G15" s="15">
        <v>280.77753396956803</v>
      </c>
      <c r="H15" s="15">
        <v>327.01211970590401</v>
      </c>
      <c r="I15" s="15">
        <v>172.36877358276999</v>
      </c>
      <c r="J15" s="15">
        <v>107.678133871488</v>
      </c>
      <c r="K15" s="15">
        <v>156.58611877041599</v>
      </c>
      <c r="L15" s="15">
        <v>191.23856853464301</v>
      </c>
      <c r="M15" s="15">
        <v>243.933982209997</v>
      </c>
      <c r="N15" s="15">
        <v>214.140888185362</v>
      </c>
      <c r="O15" s="15">
        <v>770.91225334540604</v>
      </c>
      <c r="P15" s="16">
        <v>291.6608394117473</v>
      </c>
    </row>
    <row r="16" spans="1:16" ht="15.75" customHeight="1" x14ac:dyDescent="0.15">
      <c r="A16" s="22">
        <v>44866</v>
      </c>
      <c r="B16" s="14">
        <v>92.720529280742895</v>
      </c>
      <c r="C16" s="15">
        <v>557.30108303629004</v>
      </c>
      <c r="D16" s="15">
        <v>64.355886437903195</v>
      </c>
      <c r="E16" s="15">
        <v>444.51927250867101</v>
      </c>
      <c r="F16" s="15">
        <v>370.56127719367498</v>
      </c>
      <c r="G16" s="15">
        <v>268.68522792992098</v>
      </c>
      <c r="H16" s="15">
        <v>313.28424053660098</v>
      </c>
      <c r="I16" s="15">
        <v>162.34834946079599</v>
      </c>
      <c r="J16" s="15">
        <v>95.622567687908301</v>
      </c>
      <c r="K16" s="15">
        <v>146.784052241056</v>
      </c>
      <c r="L16" s="15">
        <v>180.734986536527</v>
      </c>
      <c r="M16" s="15">
        <v>232.67695187048199</v>
      </c>
      <c r="N16" s="15">
        <v>203.895265803472</v>
      </c>
      <c r="O16" s="15">
        <v>722.30571058676298</v>
      </c>
      <c r="P16" s="16">
        <v>275.41395722220057</v>
      </c>
    </row>
    <row r="17" spans="1:16" ht="15.75" customHeight="1" x14ac:dyDescent="0.15">
      <c r="A17" s="22">
        <v>44896</v>
      </c>
      <c r="B17" s="14">
        <v>72.240288071014902</v>
      </c>
      <c r="C17" s="15">
        <v>607.88058614859403</v>
      </c>
      <c r="D17" s="15">
        <v>61.382259017974597</v>
      </c>
      <c r="E17" s="15">
        <v>488.59369590184798</v>
      </c>
      <c r="F17" s="15">
        <v>409.31149455962498</v>
      </c>
      <c r="G17" s="15">
        <v>299.51891353527202</v>
      </c>
      <c r="H17" s="15">
        <v>347.564984658448</v>
      </c>
      <c r="I17" s="15">
        <v>187.46318050491101</v>
      </c>
      <c r="J17" s="15">
        <v>94.874811899995606</v>
      </c>
      <c r="K17" s="15">
        <v>171.413219024695</v>
      </c>
      <c r="L17" s="15">
        <v>206.11037495672301</v>
      </c>
      <c r="M17" s="15">
        <v>260.97519017019999</v>
      </c>
      <c r="N17" s="15">
        <v>230.291718822299</v>
      </c>
      <c r="O17" s="15">
        <v>786.16203179380602</v>
      </c>
      <c r="P17" s="16">
        <v>301.69876779038617</v>
      </c>
    </row>
    <row r="18" spans="1:16" ht="15.75" customHeight="1" x14ac:dyDescent="0.15">
      <c r="A18" s="22">
        <v>44927</v>
      </c>
      <c r="B18" s="14">
        <v>99.796261462590707</v>
      </c>
      <c r="C18" s="15">
        <v>639.86243453729196</v>
      </c>
      <c r="D18" s="15">
        <v>67.801068207911598</v>
      </c>
      <c r="E18" s="15">
        <v>516.69228013723705</v>
      </c>
      <c r="F18" s="15">
        <v>433.83269880494902</v>
      </c>
      <c r="G18" s="15">
        <v>319.28687939417603</v>
      </c>
      <c r="H18" s="15">
        <v>369.53725910721698</v>
      </c>
      <c r="I18" s="15">
        <v>200.58000130687699</v>
      </c>
      <c r="J18" s="15">
        <v>105.699221013319</v>
      </c>
      <c r="K18" s="15">
        <v>183.64712885544901</v>
      </c>
      <c r="L18" s="15">
        <v>220.625016733135</v>
      </c>
      <c r="M18" s="15">
        <v>278.23531186371599</v>
      </c>
      <c r="N18" s="15">
        <v>246.055843186023</v>
      </c>
      <c r="O18" s="15">
        <v>821.15446214271196</v>
      </c>
      <c r="P18" s="16">
        <v>321.62899048232885</v>
      </c>
    </row>
    <row r="19" spans="1:16" ht="15.75" customHeight="1" x14ac:dyDescent="0.15">
      <c r="A19" s="22">
        <v>44958</v>
      </c>
      <c r="B19" s="14">
        <v>131.22857443211601</v>
      </c>
      <c r="C19" s="15">
        <v>642.79243865175602</v>
      </c>
      <c r="D19" s="15">
        <v>82.441619359259306</v>
      </c>
      <c r="E19" s="15">
        <v>514.90805937575794</v>
      </c>
      <c r="F19" s="15">
        <v>432.41368559216602</v>
      </c>
      <c r="G19" s="15">
        <v>318.76071629454901</v>
      </c>
      <c r="H19" s="15">
        <v>368.491174756536</v>
      </c>
      <c r="I19" s="15">
        <v>197.900212835508</v>
      </c>
      <c r="J19" s="15">
        <v>114.481683331882</v>
      </c>
      <c r="K19" s="15">
        <v>180.40723950854701</v>
      </c>
      <c r="L19" s="15">
        <v>218.13960382753299</v>
      </c>
      <c r="M19" s="15">
        <v>277.23064729221102</v>
      </c>
      <c r="N19" s="15">
        <v>245.531769078389</v>
      </c>
      <c r="O19" s="15">
        <v>833.76816607819899</v>
      </c>
      <c r="P19" s="16">
        <v>325.60682788674347</v>
      </c>
    </row>
    <row r="20" spans="1:16" ht="15.75" customHeight="1" x14ac:dyDescent="0.15">
      <c r="A20" s="23" t="s">
        <v>26</v>
      </c>
      <c r="B20" s="18">
        <v>94.251064747740642</v>
      </c>
      <c r="C20" s="19">
        <v>582.26542475787767</v>
      </c>
      <c r="D20" s="19">
        <v>72.98370935179355</v>
      </c>
      <c r="E20" s="19">
        <v>463.22917389313739</v>
      </c>
      <c r="F20" s="19">
        <v>386.34239757102944</v>
      </c>
      <c r="G20" s="19">
        <v>282.64882214204317</v>
      </c>
      <c r="H20" s="19">
        <v>327.29953971183056</v>
      </c>
      <c r="I20" s="19">
        <v>178.2487268906639</v>
      </c>
      <c r="J20" s="19">
        <v>108.14647225771233</v>
      </c>
      <c r="K20" s="19">
        <v>160.67409981597041</v>
      </c>
      <c r="L20" s="19">
        <v>197.21945044142848</v>
      </c>
      <c r="M20" s="19">
        <v>249.29706674304177</v>
      </c>
      <c r="N20" s="19">
        <v>219.37230456842744</v>
      </c>
      <c r="O20" s="19">
        <v>761.82975246601279</v>
      </c>
      <c r="P20" s="20">
        <v>291.70057181133643</v>
      </c>
    </row>
  </sheetData>
  <customSheetViews>
    <customSheetView guid="{7D8504A3-6E0B-4B20-86F0-C74DACFEBABA}" filter="1" showAutoFilter="1">
      <pageMargins left="0.7" right="0.7" top="0.75" bottom="0.75" header="0.3" footer="0.3"/>
      <autoFilter ref="A1:P19" xr:uid="{1434EBE8-00F5-464C-8419-3FD927B9AB3D}"/>
    </customSheetView>
  </customSheetViews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P20"/>
  <sheetViews>
    <sheetView showGridLines="0" topLeftCell="A22" workbookViewId="0"/>
  </sheetViews>
  <sheetFormatPr baseColWidth="10" defaultColWidth="12.6640625" defaultRowHeight="15.75" customHeight="1" x14ac:dyDescent="0.15"/>
  <sheetData>
    <row r="1" spans="1:16" ht="15.75" customHeight="1" x14ac:dyDescent="0.15">
      <c r="A1" s="24" t="s">
        <v>1</v>
      </c>
      <c r="B1" s="25" t="s">
        <v>13</v>
      </c>
    </row>
    <row r="3" spans="1:16" ht="15.75" customHeight="1" x14ac:dyDescent="0.15">
      <c r="A3" s="4" t="s">
        <v>25</v>
      </c>
      <c r="B3" s="4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/>
    </row>
    <row r="4" spans="1:16" ht="15.75" customHeight="1" x14ac:dyDescent="0.15">
      <c r="A4" s="4" t="s">
        <v>0</v>
      </c>
      <c r="B4" s="7" t="s">
        <v>20</v>
      </c>
      <c r="C4" s="8" t="s">
        <v>17</v>
      </c>
      <c r="D4" s="8" t="s">
        <v>16</v>
      </c>
      <c r="E4" s="8" t="s">
        <v>19</v>
      </c>
      <c r="F4" s="8" t="s">
        <v>8</v>
      </c>
      <c r="G4" s="8" t="s">
        <v>24</v>
      </c>
      <c r="H4" s="8" t="s">
        <v>23</v>
      </c>
      <c r="I4" s="8" t="s">
        <v>9</v>
      </c>
      <c r="J4" s="8" t="s">
        <v>22</v>
      </c>
      <c r="K4" s="8" t="s">
        <v>18</v>
      </c>
      <c r="L4" s="8" t="s">
        <v>15</v>
      </c>
      <c r="M4" s="8" t="s">
        <v>7</v>
      </c>
      <c r="N4" s="8" t="s">
        <v>11</v>
      </c>
      <c r="O4" s="8" t="s">
        <v>21</v>
      </c>
      <c r="P4" s="9" t="s">
        <v>26</v>
      </c>
    </row>
    <row r="5" spans="1:16" ht="15.75" customHeight="1" x14ac:dyDescent="0.15">
      <c r="A5" s="21">
        <v>44531</v>
      </c>
      <c r="B5" s="10">
        <v>84.742477777688705</v>
      </c>
      <c r="C5" s="11">
        <v>527.881311823592</v>
      </c>
      <c r="D5" s="11">
        <v>77.598852266513603</v>
      </c>
      <c r="E5" s="11">
        <v>421.584621880643</v>
      </c>
      <c r="F5" s="11">
        <v>352.78548805864301</v>
      </c>
      <c r="G5" s="11">
        <v>272.25635728157999</v>
      </c>
      <c r="H5" s="11">
        <v>304.60094109584998</v>
      </c>
      <c r="I5" s="11">
        <v>193.432763938844</v>
      </c>
      <c r="J5" s="11">
        <v>112.801981189901</v>
      </c>
      <c r="K5" s="11">
        <v>172.403719469636</v>
      </c>
      <c r="L5" s="11">
        <v>211.49162812994399</v>
      </c>
      <c r="M5" s="11">
        <v>255.22311342675999</v>
      </c>
      <c r="N5" s="11">
        <v>227.57572933089401</v>
      </c>
      <c r="O5" s="11">
        <v>697.76344247078498</v>
      </c>
      <c r="P5" s="12">
        <v>279.43874486723388</v>
      </c>
    </row>
    <row r="6" spans="1:16" ht="15.75" customHeight="1" x14ac:dyDescent="0.15">
      <c r="A6" s="22">
        <v>44562</v>
      </c>
      <c r="B6" s="14">
        <v>92.179647373450095</v>
      </c>
      <c r="C6" s="15">
        <v>531.77385233994096</v>
      </c>
      <c r="D6" s="15">
        <v>72.593713891102695</v>
      </c>
      <c r="E6" s="15">
        <v>422.10263430159102</v>
      </c>
      <c r="F6" s="15">
        <v>350.80601629449302</v>
      </c>
      <c r="G6" s="15">
        <v>258.74918626825098</v>
      </c>
      <c r="H6" s="15">
        <v>297.35591036667199</v>
      </c>
      <c r="I6" s="15">
        <v>170.578919526807</v>
      </c>
      <c r="J6" s="15">
        <v>107.6703614483</v>
      </c>
      <c r="K6" s="15">
        <v>150.74422729516101</v>
      </c>
      <c r="L6" s="15">
        <v>189.14462465609199</v>
      </c>
      <c r="M6" s="15">
        <v>236.11987090641</v>
      </c>
      <c r="N6" s="15">
        <v>207.331410613835</v>
      </c>
      <c r="O6" s="15">
        <v>698.83867205545505</v>
      </c>
      <c r="P6" s="16">
        <v>270.42778909554011</v>
      </c>
    </row>
    <row r="7" spans="1:16" ht="15.75" customHeight="1" x14ac:dyDescent="0.15">
      <c r="A7" s="22">
        <v>44593</v>
      </c>
      <c r="B7" s="14">
        <v>97.479642338152402</v>
      </c>
      <c r="C7" s="15">
        <v>531.18064533721702</v>
      </c>
      <c r="D7" s="15">
        <v>69.440762730760596</v>
      </c>
      <c r="E7" s="15">
        <v>420.85933472027801</v>
      </c>
      <c r="F7" s="15">
        <v>349.57640692257399</v>
      </c>
      <c r="G7" s="15">
        <v>253.70413235606199</v>
      </c>
      <c r="H7" s="15">
        <v>294.610507146028</v>
      </c>
      <c r="I7" s="15">
        <v>157.21747193799899</v>
      </c>
      <c r="J7" s="15">
        <v>103.436478069293</v>
      </c>
      <c r="K7" s="15">
        <v>140.712635335513</v>
      </c>
      <c r="L7" s="15">
        <v>175.16751093871099</v>
      </c>
      <c r="M7" s="15">
        <v>222.46183162582</v>
      </c>
      <c r="N7" s="15">
        <v>194.51887903105199</v>
      </c>
      <c r="O7" s="15">
        <v>698.03355963271201</v>
      </c>
      <c r="P7" s="16">
        <v>264.88569986586947</v>
      </c>
    </row>
    <row r="8" spans="1:16" ht="15.75" customHeight="1" x14ac:dyDescent="0.15">
      <c r="A8" s="22">
        <v>44621</v>
      </c>
      <c r="B8" s="14">
        <v>96.002566327166406</v>
      </c>
      <c r="C8" s="15">
        <v>544.87181109786002</v>
      </c>
      <c r="D8" s="15">
        <v>76.4242555328739</v>
      </c>
      <c r="E8" s="15">
        <v>433.15203716660102</v>
      </c>
      <c r="F8" s="15">
        <v>360.45678907277102</v>
      </c>
      <c r="G8" s="15">
        <v>261.35142227166301</v>
      </c>
      <c r="H8" s="15">
        <v>303.97195562621198</v>
      </c>
      <c r="I8" s="15">
        <v>160.770080908186</v>
      </c>
      <c r="J8" s="15">
        <v>109.91060072033</v>
      </c>
      <c r="K8" s="15">
        <v>143.88338968446101</v>
      </c>
      <c r="L8" s="15">
        <v>179.39246368145601</v>
      </c>
      <c r="M8" s="15">
        <v>228.65575292549599</v>
      </c>
      <c r="N8" s="15">
        <v>200.01835251521601</v>
      </c>
      <c r="O8" s="15">
        <v>713.78969506702197</v>
      </c>
      <c r="P8" s="16">
        <v>272.33222661409388</v>
      </c>
    </row>
    <row r="9" spans="1:16" ht="15.75" customHeight="1" x14ac:dyDescent="0.15">
      <c r="A9" s="22">
        <v>44652</v>
      </c>
      <c r="B9" s="14">
        <v>96.869516284826304</v>
      </c>
      <c r="C9" s="15">
        <v>579.73955840953204</v>
      </c>
      <c r="D9" s="15">
        <v>83.089599197719593</v>
      </c>
      <c r="E9" s="15">
        <v>458.00773657230002</v>
      </c>
      <c r="F9" s="15">
        <v>381.44976043361299</v>
      </c>
      <c r="G9" s="15">
        <v>277.557165158185</v>
      </c>
      <c r="H9" s="15">
        <v>322.06384346956298</v>
      </c>
      <c r="I9" s="15">
        <v>174.198605196925</v>
      </c>
      <c r="J9" s="15">
        <v>118.62173176469101</v>
      </c>
      <c r="K9" s="15">
        <v>156.18415945218001</v>
      </c>
      <c r="L9" s="15">
        <v>193.557483343294</v>
      </c>
      <c r="M9" s="15">
        <v>244.663393888256</v>
      </c>
      <c r="N9" s="15">
        <v>215.36690876782501</v>
      </c>
      <c r="O9" s="15">
        <v>765.31831584798397</v>
      </c>
      <c r="P9" s="16">
        <v>290.47769841334957</v>
      </c>
    </row>
    <row r="10" spans="1:16" ht="15.75" customHeight="1" x14ac:dyDescent="0.15">
      <c r="A10" s="22">
        <v>44682</v>
      </c>
      <c r="B10" s="14">
        <v>101.06040040875</v>
      </c>
      <c r="C10" s="15">
        <v>588.46032726745398</v>
      </c>
      <c r="D10" s="15">
        <v>80.622654574438599</v>
      </c>
      <c r="E10" s="15">
        <v>464.40075954990402</v>
      </c>
      <c r="F10" s="15">
        <v>386.43882700420301</v>
      </c>
      <c r="G10" s="15">
        <v>280.105848918937</v>
      </c>
      <c r="H10" s="15">
        <v>325.85729168814601</v>
      </c>
      <c r="I10" s="15">
        <v>171.943329986555</v>
      </c>
      <c r="J10" s="15">
        <v>117.55215446944599</v>
      </c>
      <c r="K10" s="15">
        <v>155.36411212342799</v>
      </c>
      <c r="L10" s="15">
        <v>191.68260371895599</v>
      </c>
      <c r="M10" s="15">
        <v>243.69845021218799</v>
      </c>
      <c r="N10" s="15">
        <v>214.05714025198</v>
      </c>
      <c r="O10" s="15">
        <v>777.42753338643001</v>
      </c>
      <c r="P10" s="16">
        <v>292.76224525434401</v>
      </c>
    </row>
    <row r="11" spans="1:16" ht="15.75" customHeight="1" x14ac:dyDescent="0.15">
      <c r="A11" s="22">
        <v>44713</v>
      </c>
      <c r="B11" s="14">
        <v>89.076176927241704</v>
      </c>
      <c r="C11" s="15">
        <v>591.44352256288198</v>
      </c>
      <c r="D11" s="15">
        <v>75.095710935733194</v>
      </c>
      <c r="E11" s="15">
        <v>466.825255565205</v>
      </c>
      <c r="F11" s="15">
        <v>388.33786990491097</v>
      </c>
      <c r="G11" s="15">
        <v>281.690124021381</v>
      </c>
      <c r="H11" s="15">
        <v>327.66284999558599</v>
      </c>
      <c r="I11" s="15">
        <v>174.79286917086301</v>
      </c>
      <c r="J11" s="15">
        <v>113.650645287439</v>
      </c>
      <c r="K11" s="15">
        <v>157.407186864366</v>
      </c>
      <c r="L11" s="15">
        <v>194.38031713026399</v>
      </c>
      <c r="M11" s="15">
        <v>247.05766860419101</v>
      </c>
      <c r="N11" s="15">
        <v>217.05306705400099</v>
      </c>
      <c r="O11" s="15">
        <v>780.81449823100797</v>
      </c>
      <c r="P11" s="16">
        <v>293.23484016107659</v>
      </c>
    </row>
    <row r="12" spans="1:16" ht="15.75" customHeight="1" x14ac:dyDescent="0.15">
      <c r="A12" s="22">
        <v>44743</v>
      </c>
      <c r="B12" s="14">
        <v>75.906196455876398</v>
      </c>
      <c r="C12" s="15">
        <v>610.16218429303399</v>
      </c>
      <c r="D12" s="15">
        <v>68.390190887901497</v>
      </c>
      <c r="E12" s="15">
        <v>486.08189006899102</v>
      </c>
      <c r="F12" s="15">
        <v>405.827649143869</v>
      </c>
      <c r="G12" s="15">
        <v>296.55635422467299</v>
      </c>
      <c r="H12" s="15">
        <v>343.80124112400199</v>
      </c>
      <c r="I12" s="15">
        <v>196.097834361087</v>
      </c>
      <c r="J12" s="15">
        <v>103.796670971092</v>
      </c>
      <c r="K12" s="15">
        <v>172.66390139123601</v>
      </c>
      <c r="L12" s="15">
        <v>215.266524428515</v>
      </c>
      <c r="M12" s="15">
        <v>271.44564672107902</v>
      </c>
      <c r="N12" s="15">
        <v>238.82772633760601</v>
      </c>
      <c r="O12" s="15">
        <v>800.15201723287305</v>
      </c>
      <c r="P12" s="16">
        <v>306.06971626013103</v>
      </c>
    </row>
    <row r="13" spans="1:16" ht="15.75" customHeight="1" x14ac:dyDescent="0.15">
      <c r="A13" s="22">
        <v>44774</v>
      </c>
      <c r="B13" s="14">
        <v>88.064290150582806</v>
      </c>
      <c r="C13" s="15">
        <v>598.40872625146801</v>
      </c>
      <c r="D13" s="15">
        <v>72.104488620378405</v>
      </c>
      <c r="E13" s="15">
        <v>474.363395075016</v>
      </c>
      <c r="F13" s="15">
        <v>394.82709553680399</v>
      </c>
      <c r="G13" s="15">
        <v>287.12167036344999</v>
      </c>
      <c r="H13" s="15">
        <v>333.67192719585398</v>
      </c>
      <c r="I13" s="15">
        <v>178.89032031202501</v>
      </c>
      <c r="J13" s="15">
        <v>108.568714154684</v>
      </c>
      <c r="K13" s="15">
        <v>162.69436427873799</v>
      </c>
      <c r="L13" s="15">
        <v>197.417486086612</v>
      </c>
      <c r="M13" s="15">
        <v>250.41501863753399</v>
      </c>
      <c r="N13" s="15">
        <v>219.431937918823</v>
      </c>
      <c r="O13" s="15">
        <v>784.17792567844106</v>
      </c>
      <c r="P13" s="16">
        <v>296.43981144717219</v>
      </c>
    </row>
    <row r="14" spans="1:16" ht="15.75" customHeight="1" x14ac:dyDescent="0.15">
      <c r="A14" s="22">
        <v>44805</v>
      </c>
      <c r="B14" s="14">
        <v>93.268768655354293</v>
      </c>
      <c r="C14" s="15">
        <v>593.41155534060101</v>
      </c>
      <c r="D14" s="15">
        <v>70.721849702923805</v>
      </c>
      <c r="E14" s="15">
        <v>469.98980034848603</v>
      </c>
      <c r="F14" s="15">
        <v>390.89905913348599</v>
      </c>
      <c r="G14" s="15">
        <v>283.61080014297897</v>
      </c>
      <c r="H14" s="15">
        <v>330.00684920484002</v>
      </c>
      <c r="I14" s="15">
        <v>175.148190329805</v>
      </c>
      <c r="J14" s="15">
        <v>107.831327985916</v>
      </c>
      <c r="K14" s="15">
        <v>159.216042944674</v>
      </c>
      <c r="L14" s="15">
        <v>193.942563919023</v>
      </c>
      <c r="M14" s="15">
        <v>246.663170791287</v>
      </c>
      <c r="N14" s="15">
        <v>216.48793162963401</v>
      </c>
      <c r="O14" s="15">
        <v>776.82800344059899</v>
      </c>
      <c r="P14" s="16">
        <v>293.43042239782915</v>
      </c>
    </row>
    <row r="15" spans="1:16" ht="15.75" customHeight="1" x14ac:dyDescent="0.15">
      <c r="A15" s="22">
        <v>44835</v>
      </c>
      <c r="B15" s="14">
        <v>103.130635270556</v>
      </c>
      <c r="C15" s="15">
        <v>588.81133427065402</v>
      </c>
      <c r="D15" s="15">
        <v>72.692728913508603</v>
      </c>
      <c r="E15" s="15">
        <v>466.35683522453098</v>
      </c>
      <c r="F15" s="15">
        <v>387.611845909659</v>
      </c>
      <c r="G15" s="15">
        <v>280.77753396956803</v>
      </c>
      <c r="H15" s="15">
        <v>327.01211970590401</v>
      </c>
      <c r="I15" s="15">
        <v>172.36877358276999</v>
      </c>
      <c r="J15" s="15">
        <v>107.678133871488</v>
      </c>
      <c r="K15" s="15">
        <v>156.58611877041599</v>
      </c>
      <c r="L15" s="15">
        <v>191.23856853464301</v>
      </c>
      <c r="M15" s="15">
        <v>243.933982209997</v>
      </c>
      <c r="N15" s="15">
        <v>214.140888185362</v>
      </c>
      <c r="O15" s="15">
        <v>770.91225334540604</v>
      </c>
      <c r="P15" s="16">
        <v>291.6608394117473</v>
      </c>
    </row>
    <row r="16" spans="1:16" ht="15.75" customHeight="1" x14ac:dyDescent="0.15">
      <c r="A16" s="22">
        <v>44866</v>
      </c>
      <c r="B16" s="14">
        <v>92.720529280742895</v>
      </c>
      <c r="C16" s="15">
        <v>557.30108303629004</v>
      </c>
      <c r="D16" s="15">
        <v>64.355886437903195</v>
      </c>
      <c r="E16" s="15">
        <v>444.51927250867101</v>
      </c>
      <c r="F16" s="15">
        <v>370.56127719367498</v>
      </c>
      <c r="G16" s="15">
        <v>268.68522792992098</v>
      </c>
      <c r="H16" s="15">
        <v>313.28424053660098</v>
      </c>
      <c r="I16" s="15">
        <v>162.34834946079599</v>
      </c>
      <c r="J16" s="15">
        <v>95.622567687908301</v>
      </c>
      <c r="K16" s="15">
        <v>146.784052241056</v>
      </c>
      <c r="L16" s="15">
        <v>180.734986536527</v>
      </c>
      <c r="M16" s="15">
        <v>232.67695187048199</v>
      </c>
      <c r="N16" s="15">
        <v>203.895265803472</v>
      </c>
      <c r="O16" s="15">
        <v>722.30571058676298</v>
      </c>
      <c r="P16" s="16">
        <v>275.41395722220057</v>
      </c>
    </row>
    <row r="17" spans="1:16" ht="15.75" customHeight="1" x14ac:dyDescent="0.15">
      <c r="A17" s="22">
        <v>44896</v>
      </c>
      <c r="B17" s="14">
        <v>72.240288071014902</v>
      </c>
      <c r="C17" s="15">
        <v>607.88058614859403</v>
      </c>
      <c r="D17" s="15">
        <v>61.382259017974597</v>
      </c>
      <c r="E17" s="15">
        <v>488.59369590184798</v>
      </c>
      <c r="F17" s="15">
        <v>409.31149455962498</v>
      </c>
      <c r="G17" s="15">
        <v>299.51891353527202</v>
      </c>
      <c r="H17" s="15">
        <v>347.564984658448</v>
      </c>
      <c r="I17" s="15">
        <v>187.46318050491101</v>
      </c>
      <c r="J17" s="15">
        <v>94.874811899995606</v>
      </c>
      <c r="K17" s="15">
        <v>171.413219024695</v>
      </c>
      <c r="L17" s="15">
        <v>206.11037495672301</v>
      </c>
      <c r="M17" s="15">
        <v>260.97519017019999</v>
      </c>
      <c r="N17" s="15">
        <v>230.291718822299</v>
      </c>
      <c r="O17" s="15">
        <v>786.16203179380602</v>
      </c>
      <c r="P17" s="16">
        <v>301.69876779038617</v>
      </c>
    </row>
    <row r="18" spans="1:16" ht="15.75" customHeight="1" x14ac:dyDescent="0.15">
      <c r="A18" s="22">
        <v>44927</v>
      </c>
      <c r="B18" s="14">
        <v>99.796261462590707</v>
      </c>
      <c r="C18" s="15">
        <v>639.86243453729196</v>
      </c>
      <c r="D18" s="15">
        <v>67.801068207911598</v>
      </c>
      <c r="E18" s="15">
        <v>516.69228013723705</v>
      </c>
      <c r="F18" s="15">
        <v>433.83269880494902</v>
      </c>
      <c r="G18" s="15">
        <v>319.28687939417603</v>
      </c>
      <c r="H18" s="15">
        <v>369.53725910721698</v>
      </c>
      <c r="I18" s="15">
        <v>200.58000130687699</v>
      </c>
      <c r="J18" s="15">
        <v>105.699221013319</v>
      </c>
      <c r="K18" s="15">
        <v>183.64712885544901</v>
      </c>
      <c r="L18" s="15">
        <v>220.625016733135</v>
      </c>
      <c r="M18" s="15">
        <v>278.23531186371599</v>
      </c>
      <c r="N18" s="15">
        <v>246.055843186023</v>
      </c>
      <c r="O18" s="15">
        <v>821.15446214271196</v>
      </c>
      <c r="P18" s="16">
        <v>321.62899048232885</v>
      </c>
    </row>
    <row r="19" spans="1:16" ht="15.75" customHeight="1" x14ac:dyDescent="0.15">
      <c r="A19" s="22">
        <v>44958</v>
      </c>
      <c r="B19" s="14">
        <v>131.22857443211601</v>
      </c>
      <c r="C19" s="15">
        <v>642.79243865175602</v>
      </c>
      <c r="D19" s="15">
        <v>82.441619359259306</v>
      </c>
      <c r="E19" s="15">
        <v>514.90805937575794</v>
      </c>
      <c r="F19" s="15">
        <v>432.41368559216602</v>
      </c>
      <c r="G19" s="15">
        <v>318.76071629454901</v>
      </c>
      <c r="H19" s="15">
        <v>368.491174756536</v>
      </c>
      <c r="I19" s="15">
        <v>197.900212835508</v>
      </c>
      <c r="J19" s="15">
        <v>114.481683331882</v>
      </c>
      <c r="K19" s="15">
        <v>180.40723950854701</v>
      </c>
      <c r="L19" s="15">
        <v>218.13960382753299</v>
      </c>
      <c r="M19" s="15">
        <v>277.23064729221102</v>
      </c>
      <c r="N19" s="15">
        <v>245.531769078389</v>
      </c>
      <c r="O19" s="15">
        <v>833.76816607819899</v>
      </c>
      <c r="P19" s="16">
        <v>325.60682788674347</v>
      </c>
    </row>
    <row r="20" spans="1:16" ht="15.75" customHeight="1" x14ac:dyDescent="0.15">
      <c r="A20" s="23" t="s">
        <v>26</v>
      </c>
      <c r="B20" s="18">
        <v>94.251064747740642</v>
      </c>
      <c r="C20" s="19">
        <v>582.26542475787767</v>
      </c>
      <c r="D20" s="19">
        <v>72.98370935179355</v>
      </c>
      <c r="E20" s="19">
        <v>463.22917389313739</v>
      </c>
      <c r="F20" s="19">
        <v>386.34239757102944</v>
      </c>
      <c r="G20" s="19">
        <v>282.64882214204317</v>
      </c>
      <c r="H20" s="19">
        <v>327.29953971183056</v>
      </c>
      <c r="I20" s="19">
        <v>178.2487268906639</v>
      </c>
      <c r="J20" s="19">
        <v>108.14647225771233</v>
      </c>
      <c r="K20" s="19">
        <v>160.67409981597041</v>
      </c>
      <c r="L20" s="19">
        <v>197.21945044142848</v>
      </c>
      <c r="M20" s="19">
        <v>249.29706674304177</v>
      </c>
      <c r="N20" s="19">
        <v>219.37230456842744</v>
      </c>
      <c r="O20" s="19">
        <v>761.82975246601279</v>
      </c>
      <c r="P20" s="20">
        <v>291.70057181133643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P20"/>
  <sheetViews>
    <sheetView showGridLines="0" workbookViewId="0"/>
  </sheetViews>
  <sheetFormatPr baseColWidth="10" defaultColWidth="12.6640625" defaultRowHeight="15.75" customHeight="1" x14ac:dyDescent="0.15"/>
  <sheetData>
    <row r="1" spans="1:16" ht="15.75" customHeight="1" x14ac:dyDescent="0.15">
      <c r="A1" s="24" t="s">
        <v>1</v>
      </c>
      <c r="B1" s="25" t="s">
        <v>12</v>
      </c>
    </row>
    <row r="3" spans="1:16" ht="15.75" customHeight="1" x14ac:dyDescent="0.15">
      <c r="A3" s="4" t="s">
        <v>25</v>
      </c>
      <c r="B3" s="4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/>
    </row>
    <row r="4" spans="1:16" ht="15.75" customHeight="1" x14ac:dyDescent="0.15">
      <c r="A4" s="4" t="s">
        <v>0</v>
      </c>
      <c r="B4" s="7" t="s">
        <v>20</v>
      </c>
      <c r="C4" s="8" t="s">
        <v>17</v>
      </c>
      <c r="D4" s="8" t="s">
        <v>16</v>
      </c>
      <c r="E4" s="8" t="s">
        <v>19</v>
      </c>
      <c r="F4" s="8" t="s">
        <v>8</v>
      </c>
      <c r="G4" s="8" t="s">
        <v>24</v>
      </c>
      <c r="H4" s="8" t="s">
        <v>23</v>
      </c>
      <c r="I4" s="8" t="s">
        <v>9</v>
      </c>
      <c r="J4" s="8" t="s">
        <v>22</v>
      </c>
      <c r="K4" s="8" t="s">
        <v>18</v>
      </c>
      <c r="L4" s="8" t="s">
        <v>15</v>
      </c>
      <c r="M4" s="8" t="s">
        <v>7</v>
      </c>
      <c r="N4" s="8" t="s">
        <v>11</v>
      </c>
      <c r="O4" s="8" t="s">
        <v>21</v>
      </c>
      <c r="P4" s="9" t="s">
        <v>26</v>
      </c>
    </row>
    <row r="5" spans="1:16" ht="15.75" customHeight="1" x14ac:dyDescent="0.15">
      <c r="A5" s="21">
        <v>44531</v>
      </c>
      <c r="B5" s="10">
        <v>84.742477777688705</v>
      </c>
      <c r="C5" s="11">
        <v>527.881311823592</v>
      </c>
      <c r="D5" s="11">
        <v>77.598852266513603</v>
      </c>
      <c r="E5" s="11">
        <v>421.584621880643</v>
      </c>
      <c r="F5" s="11">
        <v>352.78548805864301</v>
      </c>
      <c r="G5" s="11">
        <v>272.25635728157999</v>
      </c>
      <c r="H5" s="11">
        <v>304.60094109584998</v>
      </c>
      <c r="I5" s="11">
        <v>193.432763938844</v>
      </c>
      <c r="J5" s="11">
        <v>112.801981189901</v>
      </c>
      <c r="K5" s="11">
        <v>172.403719469636</v>
      </c>
      <c r="L5" s="11">
        <v>211.49162812994399</v>
      </c>
      <c r="M5" s="11">
        <v>255.22311342675999</v>
      </c>
      <c r="N5" s="11">
        <v>227.57572933089401</v>
      </c>
      <c r="O5" s="11">
        <v>697.76344247078498</v>
      </c>
      <c r="P5" s="12">
        <v>279.43874486723388</v>
      </c>
    </row>
    <row r="6" spans="1:16" ht="15.75" customHeight="1" x14ac:dyDescent="0.15">
      <c r="A6" s="22">
        <v>44562</v>
      </c>
      <c r="B6" s="14">
        <v>92.179647373450095</v>
      </c>
      <c r="C6" s="15">
        <v>531.77385233994096</v>
      </c>
      <c r="D6" s="15">
        <v>72.593713891102695</v>
      </c>
      <c r="E6" s="15">
        <v>422.10263430159102</v>
      </c>
      <c r="F6" s="15">
        <v>350.80601629449302</v>
      </c>
      <c r="G6" s="15">
        <v>258.74918626825098</v>
      </c>
      <c r="H6" s="15">
        <v>297.35591036667199</v>
      </c>
      <c r="I6" s="15">
        <v>170.578919526807</v>
      </c>
      <c r="J6" s="15">
        <v>107.6703614483</v>
      </c>
      <c r="K6" s="15">
        <v>150.74422729516101</v>
      </c>
      <c r="L6" s="15">
        <v>189.14462465609199</v>
      </c>
      <c r="M6" s="15">
        <v>236.11987090641</v>
      </c>
      <c r="N6" s="15">
        <v>207.331410613835</v>
      </c>
      <c r="O6" s="15">
        <v>698.83867205545505</v>
      </c>
      <c r="P6" s="16">
        <v>270.42778909554011</v>
      </c>
    </row>
    <row r="7" spans="1:16" ht="15.75" customHeight="1" x14ac:dyDescent="0.15">
      <c r="A7" s="22">
        <v>44593</v>
      </c>
      <c r="B7" s="14">
        <v>97.479642338152402</v>
      </c>
      <c r="C7" s="15">
        <v>531.18064533721702</v>
      </c>
      <c r="D7" s="15">
        <v>69.440762730760596</v>
      </c>
      <c r="E7" s="15">
        <v>420.85933472027801</v>
      </c>
      <c r="F7" s="15">
        <v>349.57640692257399</v>
      </c>
      <c r="G7" s="15">
        <v>253.70413235606199</v>
      </c>
      <c r="H7" s="15">
        <v>294.610507146028</v>
      </c>
      <c r="I7" s="15">
        <v>157.21747193799899</v>
      </c>
      <c r="J7" s="15">
        <v>103.436478069293</v>
      </c>
      <c r="K7" s="15">
        <v>140.712635335513</v>
      </c>
      <c r="L7" s="15">
        <v>175.16751093871099</v>
      </c>
      <c r="M7" s="15">
        <v>222.46183162582</v>
      </c>
      <c r="N7" s="15">
        <v>194.51887903105199</v>
      </c>
      <c r="O7" s="15">
        <v>698.03355963271201</v>
      </c>
      <c r="P7" s="16">
        <v>264.88569986586947</v>
      </c>
    </row>
    <row r="8" spans="1:16" ht="15.75" customHeight="1" x14ac:dyDescent="0.15">
      <c r="A8" s="22">
        <v>44621</v>
      </c>
      <c r="B8" s="14">
        <v>96.002566327166406</v>
      </c>
      <c r="C8" s="15">
        <v>544.87181109786002</v>
      </c>
      <c r="D8" s="15">
        <v>76.4242555328739</v>
      </c>
      <c r="E8" s="15">
        <v>433.15203716660102</v>
      </c>
      <c r="F8" s="15">
        <v>360.45678907277102</v>
      </c>
      <c r="G8" s="15">
        <v>261.35142227166301</v>
      </c>
      <c r="H8" s="15">
        <v>303.97195562621198</v>
      </c>
      <c r="I8" s="15">
        <v>160.770080908186</v>
      </c>
      <c r="J8" s="15">
        <v>109.91060072033</v>
      </c>
      <c r="K8" s="15">
        <v>143.88338968446101</v>
      </c>
      <c r="L8" s="15">
        <v>179.39246368145601</v>
      </c>
      <c r="M8" s="15">
        <v>228.65575292549599</v>
      </c>
      <c r="N8" s="15">
        <v>200.01835251521601</v>
      </c>
      <c r="O8" s="15">
        <v>713.78969506702197</v>
      </c>
      <c r="P8" s="16">
        <v>272.33222661409388</v>
      </c>
    </row>
    <row r="9" spans="1:16" ht="15.75" customHeight="1" x14ac:dyDescent="0.15">
      <c r="A9" s="22">
        <v>44652</v>
      </c>
      <c r="B9" s="14">
        <v>96.869516284826304</v>
      </c>
      <c r="C9" s="15">
        <v>579.73955840953204</v>
      </c>
      <c r="D9" s="15">
        <v>83.089599197719593</v>
      </c>
      <c r="E9" s="15">
        <v>458.00773657230002</v>
      </c>
      <c r="F9" s="15">
        <v>381.44976043361299</v>
      </c>
      <c r="G9" s="15">
        <v>277.557165158185</v>
      </c>
      <c r="H9" s="15">
        <v>322.06384346956298</v>
      </c>
      <c r="I9" s="15">
        <v>174.198605196925</v>
      </c>
      <c r="J9" s="15">
        <v>118.62173176469101</v>
      </c>
      <c r="K9" s="15">
        <v>156.18415945218001</v>
      </c>
      <c r="L9" s="15">
        <v>193.557483343294</v>
      </c>
      <c r="M9" s="15">
        <v>244.663393888256</v>
      </c>
      <c r="N9" s="15">
        <v>215.36690876782501</v>
      </c>
      <c r="O9" s="15">
        <v>765.31831584798397</v>
      </c>
      <c r="P9" s="16">
        <v>290.47769841334957</v>
      </c>
    </row>
    <row r="10" spans="1:16" ht="15.75" customHeight="1" x14ac:dyDescent="0.15">
      <c r="A10" s="22">
        <v>44682</v>
      </c>
      <c r="B10" s="14">
        <v>101.06040040875</v>
      </c>
      <c r="C10" s="15">
        <v>588.46032726745398</v>
      </c>
      <c r="D10" s="15">
        <v>80.622654574438599</v>
      </c>
      <c r="E10" s="15">
        <v>464.40075954990402</v>
      </c>
      <c r="F10" s="15">
        <v>386.43882700420301</v>
      </c>
      <c r="G10" s="15">
        <v>280.105848918937</v>
      </c>
      <c r="H10" s="15">
        <v>325.85729168814601</v>
      </c>
      <c r="I10" s="15">
        <v>171.943329986555</v>
      </c>
      <c r="J10" s="15">
        <v>117.55215446944599</v>
      </c>
      <c r="K10" s="15">
        <v>155.36411212342799</v>
      </c>
      <c r="L10" s="15">
        <v>191.68260371895599</v>
      </c>
      <c r="M10" s="15">
        <v>243.69845021218799</v>
      </c>
      <c r="N10" s="15">
        <v>214.05714025198</v>
      </c>
      <c r="O10" s="15">
        <v>777.42753338643001</v>
      </c>
      <c r="P10" s="16">
        <v>292.76224525434401</v>
      </c>
    </row>
    <row r="11" spans="1:16" ht="15.75" customHeight="1" x14ac:dyDescent="0.15">
      <c r="A11" s="22">
        <v>44713</v>
      </c>
      <c r="B11" s="14">
        <v>89.076176927241704</v>
      </c>
      <c r="C11" s="15">
        <v>591.44352256288198</v>
      </c>
      <c r="D11" s="15">
        <v>75.095710935733194</v>
      </c>
      <c r="E11" s="15">
        <v>466.825255565205</v>
      </c>
      <c r="F11" s="15">
        <v>388.33786990491097</v>
      </c>
      <c r="G11" s="15">
        <v>281.690124021381</v>
      </c>
      <c r="H11" s="15">
        <v>327.66284999558599</v>
      </c>
      <c r="I11" s="15">
        <v>174.79286917086301</v>
      </c>
      <c r="J11" s="15">
        <v>113.650645287439</v>
      </c>
      <c r="K11" s="15">
        <v>157.407186864366</v>
      </c>
      <c r="L11" s="15">
        <v>194.38031713026399</v>
      </c>
      <c r="M11" s="15">
        <v>247.05766860419101</v>
      </c>
      <c r="N11" s="15">
        <v>217.05306705400099</v>
      </c>
      <c r="O11" s="15">
        <v>780.81449823100797</v>
      </c>
      <c r="P11" s="16">
        <v>293.23484016107659</v>
      </c>
    </row>
    <row r="12" spans="1:16" ht="15.75" customHeight="1" x14ac:dyDescent="0.15">
      <c r="A12" s="22">
        <v>44743</v>
      </c>
      <c r="B12" s="14">
        <v>75.906196455876398</v>
      </c>
      <c r="C12" s="15">
        <v>610.16218429303399</v>
      </c>
      <c r="D12" s="15">
        <v>68.390190887901497</v>
      </c>
      <c r="E12" s="15">
        <v>486.08189006899102</v>
      </c>
      <c r="F12" s="15">
        <v>405.827649143869</v>
      </c>
      <c r="G12" s="15">
        <v>296.55635422467299</v>
      </c>
      <c r="H12" s="15">
        <v>343.80124112400199</v>
      </c>
      <c r="I12" s="15">
        <v>196.097834361087</v>
      </c>
      <c r="J12" s="15">
        <v>103.796670971092</v>
      </c>
      <c r="K12" s="15">
        <v>172.66390139123601</v>
      </c>
      <c r="L12" s="15">
        <v>215.266524428515</v>
      </c>
      <c r="M12" s="15">
        <v>271.44564672107902</v>
      </c>
      <c r="N12" s="15">
        <v>238.82772633760601</v>
      </c>
      <c r="O12" s="15">
        <v>800.15201723287305</v>
      </c>
      <c r="P12" s="16">
        <v>306.06971626013103</v>
      </c>
    </row>
    <row r="13" spans="1:16" ht="15.75" customHeight="1" x14ac:dyDescent="0.15">
      <c r="A13" s="22">
        <v>44774</v>
      </c>
      <c r="B13" s="14">
        <v>88.064290150582806</v>
      </c>
      <c r="C13" s="15">
        <v>598.40872625146801</v>
      </c>
      <c r="D13" s="15">
        <v>72.104488620378405</v>
      </c>
      <c r="E13" s="15">
        <v>474.363395075016</v>
      </c>
      <c r="F13" s="15">
        <v>394.82709553680399</v>
      </c>
      <c r="G13" s="15">
        <v>287.12167036344999</v>
      </c>
      <c r="H13" s="15">
        <v>333.67192719585398</v>
      </c>
      <c r="I13" s="15">
        <v>178.89032031202501</v>
      </c>
      <c r="J13" s="15">
        <v>108.568714154684</v>
      </c>
      <c r="K13" s="15">
        <v>162.69436427873799</v>
      </c>
      <c r="L13" s="15">
        <v>197.417486086612</v>
      </c>
      <c r="M13" s="15">
        <v>250.41501863753399</v>
      </c>
      <c r="N13" s="15">
        <v>219.431937918823</v>
      </c>
      <c r="O13" s="15">
        <v>784.17792567844106</v>
      </c>
      <c r="P13" s="16">
        <v>296.43981144717219</v>
      </c>
    </row>
    <row r="14" spans="1:16" ht="15.75" customHeight="1" x14ac:dyDescent="0.15">
      <c r="A14" s="22">
        <v>44805</v>
      </c>
      <c r="B14" s="14">
        <v>93.268768655354293</v>
      </c>
      <c r="C14" s="15">
        <v>593.41155534060101</v>
      </c>
      <c r="D14" s="15">
        <v>70.721849702923805</v>
      </c>
      <c r="E14" s="15">
        <v>469.98980034848603</v>
      </c>
      <c r="F14" s="15">
        <v>390.89905913348599</v>
      </c>
      <c r="G14" s="15">
        <v>283.61080014297897</v>
      </c>
      <c r="H14" s="15">
        <v>330.00684920484002</v>
      </c>
      <c r="I14" s="15">
        <v>175.148190329805</v>
      </c>
      <c r="J14" s="15">
        <v>107.831327985916</v>
      </c>
      <c r="K14" s="15">
        <v>159.216042944674</v>
      </c>
      <c r="L14" s="15">
        <v>193.942563919023</v>
      </c>
      <c r="M14" s="15">
        <v>246.663170791287</v>
      </c>
      <c r="N14" s="15">
        <v>216.48793162963401</v>
      </c>
      <c r="O14" s="15">
        <v>776.82800344059899</v>
      </c>
      <c r="P14" s="16">
        <v>293.43042239782915</v>
      </c>
    </row>
    <row r="15" spans="1:16" ht="15.75" customHeight="1" x14ac:dyDescent="0.15">
      <c r="A15" s="22">
        <v>44835</v>
      </c>
      <c r="B15" s="14">
        <v>103.130635270556</v>
      </c>
      <c r="C15" s="15">
        <v>588.81133427065402</v>
      </c>
      <c r="D15" s="15">
        <v>72.692728913508603</v>
      </c>
      <c r="E15" s="15">
        <v>466.35683522453098</v>
      </c>
      <c r="F15" s="15">
        <v>387.611845909659</v>
      </c>
      <c r="G15" s="15">
        <v>280.77753396956803</v>
      </c>
      <c r="H15" s="15">
        <v>327.01211970590401</v>
      </c>
      <c r="I15" s="15">
        <v>172.36877358276999</v>
      </c>
      <c r="J15" s="15">
        <v>107.678133871488</v>
      </c>
      <c r="K15" s="15">
        <v>156.58611877041599</v>
      </c>
      <c r="L15" s="15">
        <v>191.23856853464301</v>
      </c>
      <c r="M15" s="15">
        <v>243.933982209997</v>
      </c>
      <c r="N15" s="15">
        <v>214.140888185362</v>
      </c>
      <c r="O15" s="15">
        <v>770.91225334540604</v>
      </c>
      <c r="P15" s="16">
        <v>291.6608394117473</v>
      </c>
    </row>
    <row r="16" spans="1:16" ht="15.75" customHeight="1" x14ac:dyDescent="0.15">
      <c r="A16" s="22">
        <v>44866</v>
      </c>
      <c r="B16" s="14">
        <v>92.720529280742895</v>
      </c>
      <c r="C16" s="15">
        <v>557.30108303629004</v>
      </c>
      <c r="D16" s="15">
        <v>64.355886437903195</v>
      </c>
      <c r="E16" s="15">
        <v>444.51927250867101</v>
      </c>
      <c r="F16" s="15">
        <v>370.56127719367498</v>
      </c>
      <c r="G16" s="15">
        <v>268.68522792992098</v>
      </c>
      <c r="H16" s="15">
        <v>313.28424053660098</v>
      </c>
      <c r="I16" s="15">
        <v>162.34834946079599</v>
      </c>
      <c r="J16" s="15">
        <v>95.622567687908301</v>
      </c>
      <c r="K16" s="15">
        <v>146.784052241056</v>
      </c>
      <c r="L16" s="15">
        <v>180.734986536527</v>
      </c>
      <c r="M16" s="15">
        <v>232.67695187048199</v>
      </c>
      <c r="N16" s="15">
        <v>203.895265803472</v>
      </c>
      <c r="O16" s="15">
        <v>722.30571058676298</v>
      </c>
      <c r="P16" s="16">
        <v>275.41395722220057</v>
      </c>
    </row>
    <row r="17" spans="1:16" ht="15.75" customHeight="1" x14ac:dyDescent="0.15">
      <c r="A17" s="22">
        <v>44896</v>
      </c>
      <c r="B17" s="14">
        <v>72.240288071014902</v>
      </c>
      <c r="C17" s="15">
        <v>607.88058614859403</v>
      </c>
      <c r="D17" s="15">
        <v>61.382259017974597</v>
      </c>
      <c r="E17" s="15">
        <v>488.59369590184798</v>
      </c>
      <c r="F17" s="15">
        <v>409.31149455962498</v>
      </c>
      <c r="G17" s="15">
        <v>299.51891353527202</v>
      </c>
      <c r="H17" s="15">
        <v>347.564984658448</v>
      </c>
      <c r="I17" s="15">
        <v>187.46318050491101</v>
      </c>
      <c r="J17" s="15">
        <v>94.874811899995606</v>
      </c>
      <c r="K17" s="15">
        <v>171.413219024695</v>
      </c>
      <c r="L17" s="15">
        <v>206.11037495672301</v>
      </c>
      <c r="M17" s="15">
        <v>260.97519017019999</v>
      </c>
      <c r="N17" s="15">
        <v>230.291718822299</v>
      </c>
      <c r="O17" s="15">
        <v>786.16203179380602</v>
      </c>
      <c r="P17" s="16">
        <v>301.69876779038617</v>
      </c>
    </row>
    <row r="18" spans="1:16" ht="15.75" customHeight="1" x14ac:dyDescent="0.15">
      <c r="A18" s="22">
        <v>44927</v>
      </c>
      <c r="B18" s="14">
        <v>99.796261462590707</v>
      </c>
      <c r="C18" s="15">
        <v>639.86243453729196</v>
      </c>
      <c r="D18" s="15">
        <v>67.801068207911598</v>
      </c>
      <c r="E18" s="15">
        <v>516.69228013723705</v>
      </c>
      <c r="F18" s="15">
        <v>433.83269880494902</v>
      </c>
      <c r="G18" s="15">
        <v>319.28687939417603</v>
      </c>
      <c r="H18" s="15">
        <v>369.53725910721698</v>
      </c>
      <c r="I18" s="15">
        <v>200.58000130687699</v>
      </c>
      <c r="J18" s="15">
        <v>105.699221013319</v>
      </c>
      <c r="K18" s="15">
        <v>183.64712885544901</v>
      </c>
      <c r="L18" s="15">
        <v>220.625016733135</v>
      </c>
      <c r="M18" s="15">
        <v>278.23531186371599</v>
      </c>
      <c r="N18" s="15">
        <v>246.055843186023</v>
      </c>
      <c r="O18" s="15">
        <v>821.15446214271196</v>
      </c>
      <c r="P18" s="16">
        <v>321.62899048232885</v>
      </c>
    </row>
    <row r="19" spans="1:16" ht="15.75" customHeight="1" x14ac:dyDescent="0.15">
      <c r="A19" s="22">
        <v>44958</v>
      </c>
      <c r="B19" s="14">
        <v>131.22857443211601</v>
      </c>
      <c r="C19" s="15">
        <v>642.79243865175602</v>
      </c>
      <c r="D19" s="15">
        <v>82.441619359259306</v>
      </c>
      <c r="E19" s="15">
        <v>514.90805937575794</v>
      </c>
      <c r="F19" s="15">
        <v>432.41368559216602</v>
      </c>
      <c r="G19" s="15">
        <v>318.76071629454901</v>
      </c>
      <c r="H19" s="15">
        <v>368.491174756536</v>
      </c>
      <c r="I19" s="15">
        <v>197.900212835508</v>
      </c>
      <c r="J19" s="15">
        <v>114.481683331882</v>
      </c>
      <c r="K19" s="15">
        <v>180.40723950854701</v>
      </c>
      <c r="L19" s="15">
        <v>218.13960382753299</v>
      </c>
      <c r="M19" s="15">
        <v>277.23064729221102</v>
      </c>
      <c r="N19" s="15">
        <v>245.531769078389</v>
      </c>
      <c r="O19" s="15">
        <v>833.76816607819899</v>
      </c>
      <c r="P19" s="16">
        <v>325.60682788674347</v>
      </c>
    </row>
    <row r="20" spans="1:16" ht="15.75" customHeight="1" x14ac:dyDescent="0.15">
      <c r="A20" s="23" t="s">
        <v>26</v>
      </c>
      <c r="B20" s="18">
        <v>94.251064747740642</v>
      </c>
      <c r="C20" s="19">
        <v>582.26542475787767</v>
      </c>
      <c r="D20" s="19">
        <v>72.98370935179355</v>
      </c>
      <c r="E20" s="19">
        <v>463.22917389313739</v>
      </c>
      <c r="F20" s="19">
        <v>386.34239757102944</v>
      </c>
      <c r="G20" s="19">
        <v>282.64882214204317</v>
      </c>
      <c r="H20" s="19">
        <v>327.29953971183056</v>
      </c>
      <c r="I20" s="19">
        <v>178.2487268906639</v>
      </c>
      <c r="J20" s="19">
        <v>108.14647225771233</v>
      </c>
      <c r="K20" s="19">
        <v>160.67409981597041</v>
      </c>
      <c r="L20" s="19">
        <v>197.21945044142848</v>
      </c>
      <c r="M20" s="19">
        <v>249.29706674304177</v>
      </c>
      <c r="N20" s="19">
        <v>219.37230456842744</v>
      </c>
      <c r="O20" s="19">
        <v>761.82975246601279</v>
      </c>
      <c r="P20" s="20">
        <v>291.70057181133643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P20"/>
  <sheetViews>
    <sheetView showGridLines="0" workbookViewId="0"/>
  </sheetViews>
  <sheetFormatPr baseColWidth="10" defaultColWidth="12.6640625" defaultRowHeight="15.75" customHeight="1" x14ac:dyDescent="0.15"/>
  <sheetData>
    <row r="1" spans="1:16" ht="15.75" customHeight="1" x14ac:dyDescent="0.15">
      <c r="A1" s="24" t="s">
        <v>1</v>
      </c>
      <c r="B1" s="25" t="s">
        <v>10</v>
      </c>
    </row>
    <row r="3" spans="1:16" ht="15.75" customHeight="1" x14ac:dyDescent="0.15">
      <c r="A3" s="4" t="s">
        <v>25</v>
      </c>
      <c r="B3" s="4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/>
    </row>
    <row r="4" spans="1:16" ht="15.75" customHeight="1" x14ac:dyDescent="0.15">
      <c r="A4" s="4" t="s">
        <v>0</v>
      </c>
      <c r="B4" s="7" t="s">
        <v>20</v>
      </c>
      <c r="C4" s="8" t="s">
        <v>17</v>
      </c>
      <c r="D4" s="8" t="s">
        <v>16</v>
      </c>
      <c r="E4" s="8" t="s">
        <v>19</v>
      </c>
      <c r="F4" s="8" t="s">
        <v>8</v>
      </c>
      <c r="G4" s="8" t="s">
        <v>24</v>
      </c>
      <c r="H4" s="8" t="s">
        <v>23</v>
      </c>
      <c r="I4" s="8" t="s">
        <v>9</v>
      </c>
      <c r="J4" s="8" t="s">
        <v>22</v>
      </c>
      <c r="K4" s="8" t="s">
        <v>18</v>
      </c>
      <c r="L4" s="8" t="s">
        <v>15</v>
      </c>
      <c r="M4" s="8" t="s">
        <v>7</v>
      </c>
      <c r="N4" s="8" t="s">
        <v>11</v>
      </c>
      <c r="O4" s="8" t="s">
        <v>21</v>
      </c>
      <c r="P4" s="9" t="s">
        <v>26</v>
      </c>
    </row>
    <row r="5" spans="1:16" ht="15.75" customHeight="1" x14ac:dyDescent="0.15">
      <c r="A5" s="21">
        <v>44531</v>
      </c>
      <c r="B5" s="10">
        <v>84.742477777688705</v>
      </c>
      <c r="C5" s="11">
        <v>527.881311823592</v>
      </c>
      <c r="D5" s="11">
        <v>77.598852266513603</v>
      </c>
      <c r="E5" s="11">
        <v>421.584621880643</v>
      </c>
      <c r="F5" s="11">
        <v>352.78548805864301</v>
      </c>
      <c r="G5" s="11">
        <v>272.25635728157999</v>
      </c>
      <c r="H5" s="11">
        <v>304.60094109584998</v>
      </c>
      <c r="I5" s="11">
        <v>193.432763938844</v>
      </c>
      <c r="J5" s="11">
        <v>112.801981189901</v>
      </c>
      <c r="K5" s="11">
        <v>172.403719469636</v>
      </c>
      <c r="L5" s="11">
        <v>211.49162812994399</v>
      </c>
      <c r="M5" s="11">
        <v>255.22311342675999</v>
      </c>
      <c r="N5" s="11">
        <v>227.57572933089401</v>
      </c>
      <c r="O5" s="11">
        <v>697.76344247078498</v>
      </c>
      <c r="P5" s="12">
        <v>279.43874486723388</v>
      </c>
    </row>
    <row r="6" spans="1:16" ht="15.75" customHeight="1" x14ac:dyDescent="0.15">
      <c r="A6" s="22">
        <v>44562</v>
      </c>
      <c r="B6" s="14">
        <v>92.179647373450095</v>
      </c>
      <c r="C6" s="15">
        <v>531.77385233994096</v>
      </c>
      <c r="D6" s="15">
        <v>72.593713891102695</v>
      </c>
      <c r="E6" s="15">
        <v>422.10263430159102</v>
      </c>
      <c r="F6" s="15">
        <v>350.80601629449302</v>
      </c>
      <c r="G6" s="15">
        <v>258.74918626825098</v>
      </c>
      <c r="H6" s="15">
        <v>297.35591036667199</v>
      </c>
      <c r="I6" s="15">
        <v>170.578919526807</v>
      </c>
      <c r="J6" s="15">
        <v>107.6703614483</v>
      </c>
      <c r="K6" s="15">
        <v>150.74422729516101</v>
      </c>
      <c r="L6" s="15">
        <v>189.14462465609199</v>
      </c>
      <c r="M6" s="15">
        <v>236.11987090641</v>
      </c>
      <c r="N6" s="15">
        <v>207.331410613835</v>
      </c>
      <c r="O6" s="15">
        <v>698.83867205545505</v>
      </c>
      <c r="P6" s="16">
        <v>270.42778909554011</v>
      </c>
    </row>
    <row r="7" spans="1:16" ht="15.75" customHeight="1" x14ac:dyDescent="0.15">
      <c r="A7" s="22">
        <v>44593</v>
      </c>
      <c r="B7" s="14">
        <v>97.479642338152402</v>
      </c>
      <c r="C7" s="15">
        <v>531.18064533721702</v>
      </c>
      <c r="D7" s="15">
        <v>69.440762730760596</v>
      </c>
      <c r="E7" s="15">
        <v>420.85933472027801</v>
      </c>
      <c r="F7" s="15">
        <v>349.57640692257399</v>
      </c>
      <c r="G7" s="15">
        <v>253.70413235606199</v>
      </c>
      <c r="H7" s="15">
        <v>294.610507146028</v>
      </c>
      <c r="I7" s="15">
        <v>157.21747193799899</v>
      </c>
      <c r="J7" s="15">
        <v>103.436478069293</v>
      </c>
      <c r="K7" s="15">
        <v>140.712635335513</v>
      </c>
      <c r="L7" s="15">
        <v>175.16751093871099</v>
      </c>
      <c r="M7" s="15">
        <v>222.46183162582</v>
      </c>
      <c r="N7" s="15">
        <v>194.51887903105199</v>
      </c>
      <c r="O7" s="15">
        <v>698.03355963271201</v>
      </c>
      <c r="P7" s="16">
        <v>264.88569986586947</v>
      </c>
    </row>
    <row r="8" spans="1:16" ht="15.75" customHeight="1" x14ac:dyDescent="0.15">
      <c r="A8" s="22">
        <v>44621</v>
      </c>
      <c r="B8" s="14">
        <v>96.002566327166406</v>
      </c>
      <c r="C8" s="15">
        <v>544.87181109786002</v>
      </c>
      <c r="D8" s="15">
        <v>76.4242555328739</v>
      </c>
      <c r="E8" s="15">
        <v>433.15203716660102</v>
      </c>
      <c r="F8" s="15">
        <v>360.45678907277102</v>
      </c>
      <c r="G8" s="15">
        <v>261.35142227166301</v>
      </c>
      <c r="H8" s="15">
        <v>303.97195562621198</v>
      </c>
      <c r="I8" s="15">
        <v>160.770080908186</v>
      </c>
      <c r="J8" s="15">
        <v>109.91060072033</v>
      </c>
      <c r="K8" s="15">
        <v>143.88338968446101</v>
      </c>
      <c r="L8" s="15">
        <v>179.39246368145601</v>
      </c>
      <c r="M8" s="15">
        <v>228.65575292549599</v>
      </c>
      <c r="N8" s="15">
        <v>200.01835251521601</v>
      </c>
      <c r="O8" s="15">
        <v>713.78969506702197</v>
      </c>
      <c r="P8" s="16">
        <v>272.33222661409388</v>
      </c>
    </row>
    <row r="9" spans="1:16" ht="15.75" customHeight="1" x14ac:dyDescent="0.15">
      <c r="A9" s="22">
        <v>44652</v>
      </c>
      <c r="B9" s="14">
        <v>96.869516284826304</v>
      </c>
      <c r="C9" s="15">
        <v>579.73955840953204</v>
      </c>
      <c r="D9" s="15">
        <v>83.089599197719593</v>
      </c>
      <c r="E9" s="15">
        <v>458.00773657230002</v>
      </c>
      <c r="F9" s="15">
        <v>381.44976043361299</v>
      </c>
      <c r="G9" s="15">
        <v>277.557165158185</v>
      </c>
      <c r="H9" s="15">
        <v>322.06384346956298</v>
      </c>
      <c r="I9" s="15">
        <v>174.198605196925</v>
      </c>
      <c r="J9" s="15">
        <v>118.62173176469101</v>
      </c>
      <c r="K9" s="15">
        <v>156.18415945218001</v>
      </c>
      <c r="L9" s="15">
        <v>193.557483343294</v>
      </c>
      <c r="M9" s="15">
        <v>244.663393888256</v>
      </c>
      <c r="N9" s="15">
        <v>215.36690876782501</v>
      </c>
      <c r="O9" s="15">
        <v>765.31831584798397</v>
      </c>
      <c r="P9" s="16">
        <v>290.47769841334957</v>
      </c>
    </row>
    <row r="10" spans="1:16" ht="15.75" customHeight="1" x14ac:dyDescent="0.15">
      <c r="A10" s="22">
        <v>44682</v>
      </c>
      <c r="B10" s="14">
        <v>101.06040040875</v>
      </c>
      <c r="C10" s="15">
        <v>588.46032726745398</v>
      </c>
      <c r="D10" s="15">
        <v>80.622654574438599</v>
      </c>
      <c r="E10" s="15">
        <v>464.40075954990402</v>
      </c>
      <c r="F10" s="15">
        <v>386.43882700420301</v>
      </c>
      <c r="G10" s="15">
        <v>280.105848918937</v>
      </c>
      <c r="H10" s="15">
        <v>325.85729168814601</v>
      </c>
      <c r="I10" s="15">
        <v>171.943329986555</v>
      </c>
      <c r="J10" s="15">
        <v>117.55215446944599</v>
      </c>
      <c r="K10" s="15">
        <v>155.36411212342799</v>
      </c>
      <c r="L10" s="15">
        <v>191.68260371895599</v>
      </c>
      <c r="M10" s="15">
        <v>243.69845021218799</v>
      </c>
      <c r="N10" s="15">
        <v>214.05714025198</v>
      </c>
      <c r="O10" s="15">
        <v>777.42753338643001</v>
      </c>
      <c r="P10" s="16">
        <v>292.76224525434401</v>
      </c>
    </row>
    <row r="11" spans="1:16" ht="15.75" customHeight="1" x14ac:dyDescent="0.15">
      <c r="A11" s="22">
        <v>44713</v>
      </c>
      <c r="B11" s="14">
        <v>89.076176927241704</v>
      </c>
      <c r="C11" s="15">
        <v>591.44352256288198</v>
      </c>
      <c r="D11" s="15">
        <v>75.095710935733194</v>
      </c>
      <c r="E11" s="15">
        <v>466.825255565205</v>
      </c>
      <c r="F11" s="15">
        <v>388.33786990491097</v>
      </c>
      <c r="G11" s="15">
        <v>281.690124021381</v>
      </c>
      <c r="H11" s="15">
        <v>327.66284999558599</v>
      </c>
      <c r="I11" s="15">
        <v>174.79286917086301</v>
      </c>
      <c r="J11" s="15">
        <v>113.650645287439</v>
      </c>
      <c r="K11" s="15">
        <v>157.407186864366</v>
      </c>
      <c r="L11" s="15">
        <v>194.38031713026399</v>
      </c>
      <c r="M11" s="15">
        <v>247.05766860419101</v>
      </c>
      <c r="N11" s="15">
        <v>217.05306705400099</v>
      </c>
      <c r="O11" s="15">
        <v>780.81449823100797</v>
      </c>
      <c r="P11" s="16">
        <v>293.23484016107659</v>
      </c>
    </row>
    <row r="12" spans="1:16" ht="15.75" customHeight="1" x14ac:dyDescent="0.15">
      <c r="A12" s="22">
        <v>44743</v>
      </c>
      <c r="B12" s="14">
        <v>75.906196455876398</v>
      </c>
      <c r="C12" s="15">
        <v>610.16218429303399</v>
      </c>
      <c r="D12" s="15">
        <v>68.390190887901497</v>
      </c>
      <c r="E12" s="15">
        <v>486.08189006899102</v>
      </c>
      <c r="F12" s="15">
        <v>405.827649143869</v>
      </c>
      <c r="G12" s="15">
        <v>296.55635422467299</v>
      </c>
      <c r="H12" s="15">
        <v>343.80124112400199</v>
      </c>
      <c r="I12" s="15">
        <v>196.097834361087</v>
      </c>
      <c r="J12" s="15">
        <v>103.796670971092</v>
      </c>
      <c r="K12" s="15">
        <v>172.66390139123601</v>
      </c>
      <c r="L12" s="15">
        <v>215.266524428515</v>
      </c>
      <c r="M12" s="15">
        <v>271.44564672107902</v>
      </c>
      <c r="N12" s="15">
        <v>238.82772633760601</v>
      </c>
      <c r="O12" s="15">
        <v>800.15201723287305</v>
      </c>
      <c r="P12" s="16">
        <v>306.06971626013103</v>
      </c>
    </row>
    <row r="13" spans="1:16" ht="15.75" customHeight="1" x14ac:dyDescent="0.15">
      <c r="A13" s="22">
        <v>44774</v>
      </c>
      <c r="B13" s="14">
        <v>88.064290150582806</v>
      </c>
      <c r="C13" s="15">
        <v>598.40872625146801</v>
      </c>
      <c r="D13" s="15">
        <v>72.104488620378405</v>
      </c>
      <c r="E13" s="15">
        <v>474.363395075016</v>
      </c>
      <c r="F13" s="15">
        <v>394.82709553680399</v>
      </c>
      <c r="G13" s="15">
        <v>287.12167036344999</v>
      </c>
      <c r="H13" s="15">
        <v>333.67192719585398</v>
      </c>
      <c r="I13" s="15">
        <v>178.89032031202501</v>
      </c>
      <c r="J13" s="15">
        <v>108.568714154684</v>
      </c>
      <c r="K13" s="15">
        <v>162.69436427873799</v>
      </c>
      <c r="L13" s="15">
        <v>197.417486086612</v>
      </c>
      <c r="M13" s="15">
        <v>250.41501863753399</v>
      </c>
      <c r="N13" s="15">
        <v>219.431937918823</v>
      </c>
      <c r="O13" s="15">
        <v>784.17792567844106</v>
      </c>
      <c r="P13" s="16">
        <v>296.43981144717219</v>
      </c>
    </row>
    <row r="14" spans="1:16" ht="15.75" customHeight="1" x14ac:dyDescent="0.15">
      <c r="A14" s="22">
        <v>44805</v>
      </c>
      <c r="B14" s="14">
        <v>93.268768655354293</v>
      </c>
      <c r="C14" s="15">
        <v>593.41155534060101</v>
      </c>
      <c r="D14" s="15">
        <v>70.721849702923805</v>
      </c>
      <c r="E14" s="15">
        <v>469.98980034848603</v>
      </c>
      <c r="F14" s="15">
        <v>390.89905913348599</v>
      </c>
      <c r="G14" s="15">
        <v>283.61080014297897</v>
      </c>
      <c r="H14" s="15">
        <v>330.00684920484002</v>
      </c>
      <c r="I14" s="15">
        <v>175.148190329805</v>
      </c>
      <c r="J14" s="15">
        <v>107.831327985916</v>
      </c>
      <c r="K14" s="15">
        <v>159.216042944674</v>
      </c>
      <c r="L14" s="15">
        <v>193.942563919023</v>
      </c>
      <c r="M14" s="15">
        <v>246.663170791287</v>
      </c>
      <c r="N14" s="15">
        <v>216.48793162963401</v>
      </c>
      <c r="O14" s="15">
        <v>776.82800344059899</v>
      </c>
      <c r="P14" s="16">
        <v>293.43042239782915</v>
      </c>
    </row>
    <row r="15" spans="1:16" ht="15.75" customHeight="1" x14ac:dyDescent="0.15">
      <c r="A15" s="22">
        <v>44835</v>
      </c>
      <c r="B15" s="14">
        <v>103.130635270556</v>
      </c>
      <c r="C15" s="15">
        <v>588.81133427065402</v>
      </c>
      <c r="D15" s="15">
        <v>72.692728913508603</v>
      </c>
      <c r="E15" s="15">
        <v>466.35683522453098</v>
      </c>
      <c r="F15" s="15">
        <v>387.611845909659</v>
      </c>
      <c r="G15" s="15">
        <v>280.77753396956803</v>
      </c>
      <c r="H15" s="15">
        <v>327.01211970590401</v>
      </c>
      <c r="I15" s="15">
        <v>172.36877358276999</v>
      </c>
      <c r="J15" s="15">
        <v>107.678133871488</v>
      </c>
      <c r="K15" s="15">
        <v>156.58611877041599</v>
      </c>
      <c r="L15" s="15">
        <v>191.23856853464301</v>
      </c>
      <c r="M15" s="15">
        <v>243.933982209997</v>
      </c>
      <c r="N15" s="15">
        <v>214.140888185362</v>
      </c>
      <c r="O15" s="15">
        <v>770.91225334540604</v>
      </c>
      <c r="P15" s="16">
        <v>291.6608394117473</v>
      </c>
    </row>
    <row r="16" spans="1:16" ht="15.75" customHeight="1" x14ac:dyDescent="0.15">
      <c r="A16" s="22">
        <v>44866</v>
      </c>
      <c r="B16" s="14">
        <v>92.720529280742895</v>
      </c>
      <c r="C16" s="15">
        <v>557.30108303629004</v>
      </c>
      <c r="D16" s="15">
        <v>64.355886437903195</v>
      </c>
      <c r="E16" s="15">
        <v>444.51927250867101</v>
      </c>
      <c r="F16" s="15">
        <v>370.56127719367498</v>
      </c>
      <c r="G16" s="15">
        <v>268.68522792992098</v>
      </c>
      <c r="H16" s="15">
        <v>313.28424053660098</v>
      </c>
      <c r="I16" s="15">
        <v>162.34834946079599</v>
      </c>
      <c r="J16" s="15">
        <v>95.622567687908301</v>
      </c>
      <c r="K16" s="15">
        <v>146.784052241056</v>
      </c>
      <c r="L16" s="15">
        <v>180.734986536527</v>
      </c>
      <c r="M16" s="15">
        <v>232.67695187048199</v>
      </c>
      <c r="N16" s="15">
        <v>203.895265803472</v>
      </c>
      <c r="O16" s="15">
        <v>722.30571058676298</v>
      </c>
      <c r="P16" s="16">
        <v>275.41395722220057</v>
      </c>
    </row>
    <row r="17" spans="1:16" ht="15.75" customHeight="1" x14ac:dyDescent="0.15">
      <c r="A17" s="22">
        <v>44896</v>
      </c>
      <c r="B17" s="14">
        <v>72.240288071014902</v>
      </c>
      <c r="C17" s="15">
        <v>607.88058614859403</v>
      </c>
      <c r="D17" s="15">
        <v>61.382259017974597</v>
      </c>
      <c r="E17" s="15">
        <v>488.59369590184798</v>
      </c>
      <c r="F17" s="15">
        <v>409.31149455962498</v>
      </c>
      <c r="G17" s="15">
        <v>299.51891353527202</v>
      </c>
      <c r="H17" s="15">
        <v>347.564984658448</v>
      </c>
      <c r="I17" s="15">
        <v>187.46318050491101</v>
      </c>
      <c r="J17" s="15">
        <v>94.874811899995606</v>
      </c>
      <c r="K17" s="15">
        <v>171.413219024695</v>
      </c>
      <c r="L17" s="15">
        <v>206.11037495672301</v>
      </c>
      <c r="M17" s="15">
        <v>260.97519017019999</v>
      </c>
      <c r="N17" s="15">
        <v>230.291718822299</v>
      </c>
      <c r="O17" s="15">
        <v>786.16203179380602</v>
      </c>
      <c r="P17" s="16">
        <v>301.69876779038617</v>
      </c>
    </row>
    <row r="18" spans="1:16" ht="15.75" customHeight="1" x14ac:dyDescent="0.15">
      <c r="A18" s="22">
        <v>44927</v>
      </c>
      <c r="B18" s="14">
        <v>99.796261462590707</v>
      </c>
      <c r="C18" s="15">
        <v>639.86243453729196</v>
      </c>
      <c r="D18" s="15">
        <v>67.801068207911598</v>
      </c>
      <c r="E18" s="15">
        <v>516.69228013723705</v>
      </c>
      <c r="F18" s="15">
        <v>433.83269880494902</v>
      </c>
      <c r="G18" s="15">
        <v>319.28687939417603</v>
      </c>
      <c r="H18" s="15">
        <v>369.53725910721698</v>
      </c>
      <c r="I18" s="15">
        <v>200.58000130687699</v>
      </c>
      <c r="J18" s="15">
        <v>105.699221013319</v>
      </c>
      <c r="K18" s="15">
        <v>183.64712885544901</v>
      </c>
      <c r="L18" s="15">
        <v>220.625016733135</v>
      </c>
      <c r="M18" s="15">
        <v>278.23531186371599</v>
      </c>
      <c r="N18" s="15">
        <v>246.055843186023</v>
      </c>
      <c r="O18" s="15">
        <v>821.15446214271196</v>
      </c>
      <c r="P18" s="16">
        <v>321.62899048232885</v>
      </c>
    </row>
    <row r="19" spans="1:16" ht="15.75" customHeight="1" x14ac:dyDescent="0.15">
      <c r="A19" s="22">
        <v>44958</v>
      </c>
      <c r="B19" s="14">
        <v>131.22857443211601</v>
      </c>
      <c r="C19" s="15">
        <v>642.79243865175602</v>
      </c>
      <c r="D19" s="15">
        <v>82.441619359259306</v>
      </c>
      <c r="E19" s="15">
        <v>514.90805937575794</v>
      </c>
      <c r="F19" s="15">
        <v>432.41368559216602</v>
      </c>
      <c r="G19" s="15">
        <v>318.76071629454901</v>
      </c>
      <c r="H19" s="15">
        <v>368.491174756536</v>
      </c>
      <c r="I19" s="15">
        <v>197.900212835508</v>
      </c>
      <c r="J19" s="15">
        <v>114.481683331882</v>
      </c>
      <c r="K19" s="15">
        <v>180.40723950854701</v>
      </c>
      <c r="L19" s="15">
        <v>218.13960382753299</v>
      </c>
      <c r="M19" s="15">
        <v>277.23064729221102</v>
      </c>
      <c r="N19" s="15">
        <v>245.531769078389</v>
      </c>
      <c r="O19" s="15">
        <v>833.76816607819899</v>
      </c>
      <c r="P19" s="16">
        <v>325.60682788674347</v>
      </c>
    </row>
    <row r="20" spans="1:16" ht="15.75" customHeight="1" x14ac:dyDescent="0.15">
      <c r="A20" s="23" t="s">
        <v>26</v>
      </c>
      <c r="B20" s="18">
        <v>94.251064747740642</v>
      </c>
      <c r="C20" s="19">
        <v>582.26542475787767</v>
      </c>
      <c r="D20" s="19">
        <v>72.98370935179355</v>
      </c>
      <c r="E20" s="19">
        <v>463.22917389313739</v>
      </c>
      <c r="F20" s="19">
        <v>386.34239757102944</v>
      </c>
      <c r="G20" s="19">
        <v>282.64882214204317</v>
      </c>
      <c r="H20" s="19">
        <v>327.29953971183056</v>
      </c>
      <c r="I20" s="19">
        <v>178.2487268906639</v>
      </c>
      <c r="J20" s="19">
        <v>108.14647225771233</v>
      </c>
      <c r="K20" s="19">
        <v>160.67409981597041</v>
      </c>
      <c r="L20" s="19">
        <v>197.21945044142848</v>
      </c>
      <c r="M20" s="19">
        <v>249.29706674304177</v>
      </c>
      <c r="N20" s="19">
        <v>219.37230456842744</v>
      </c>
      <c r="O20" s="19">
        <v>761.82975246601279</v>
      </c>
      <c r="P20" s="20">
        <v>291.70057181133643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p1</vt:lpstr>
      <vt:lpstr>data source</vt:lpstr>
      <vt:lpstr>descriptive</vt:lpstr>
      <vt:lpstr>regression</vt:lpstr>
      <vt:lpstr>p2</vt:lpstr>
      <vt:lpstr>transpose</vt:lpstr>
      <vt:lpstr>by regions</vt:lpstr>
      <vt:lpstr>overall</vt:lpstr>
      <vt:lpstr>Domestic Brazil</vt:lpstr>
      <vt:lpstr>Long Haul</vt:lpstr>
      <vt:lpstr>NorthCone</vt:lpstr>
      <vt:lpstr>SouthCone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2022-06-24T17:25:45Z</dcterms:created>
  <dcterms:modified xsi:type="dcterms:W3CDTF">2022-06-25T20:25:12Z</dcterms:modified>
</cp:coreProperties>
</file>